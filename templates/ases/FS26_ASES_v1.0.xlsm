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riventic-my.sharepoint.com/personal/oliver_clemens_driventic_com/Documents/FS/SES_2026/"/>
    </mc:Choice>
  </mc:AlternateContent>
  <xr:revisionPtr revIDLastSave="264" documentId="8_{8F4D86C5-144E-4CE6-916F-EE7027045EB5}" xr6:coauthVersionLast="47" xr6:coauthVersionMax="47" xr10:uidLastSave="{C2C16242-D368-4988-8339-4FB003D14CB0}"/>
  <bookViews>
    <workbookView xWindow="-120" yWindow="-120" windowWidth="29040" windowHeight="15720" tabRatio="878" xr2:uid="{00000000-000D-0000-FFFF-FFFF00000000}"/>
  </bookViews>
  <sheets>
    <sheet name="Read_Me" sheetId="33" r:id="rId1"/>
    <sheet name="Version History" sheetId="35" r:id="rId2"/>
    <sheet name="Rules Clarifications" sheetId="41" r:id="rId3"/>
    <sheet name="Cover Sheet" sheetId="14" r:id="rId4"/>
    <sheet name="Accumulator Pics" sheetId="112" r:id="rId5"/>
    <sheet name="EV5.5.1&amp;2 EV4.4 ACPS TSPS sidex" sheetId="39" state="hidden" r:id="rId6"/>
    <sheet name="EV5.5.1&amp;2 EV4.4 ACPS TSPS rearx" sheetId="92" state="hidden" r:id="rId7"/>
    <sheet name="EV5.5.5 Alt. Matls Summary" sheetId="63" r:id="rId8"/>
    <sheet name="EV5.5.5 Alt. Matl - 3pt Bending" sheetId="72" r:id="rId9"/>
    <sheet name="EV5.5.5 Alt. Matl - Shear" sheetId="71" r:id="rId10"/>
    <sheet name="Datasheets Fiber" sheetId="114" r:id="rId11"/>
    <sheet name="Datasheets Other Matl" sheetId="115" r:id="rId12"/>
    <sheet name="Datasheets Glue" sheetId="116" r:id="rId13"/>
    <sheet name="Materials Overview" sheetId="113" r:id="rId14"/>
    <sheet name="EV5.5.10-12 Cell Fixation" sheetId="106" r:id="rId15"/>
    <sheet name="EV5.5.9 Segment" sheetId="107" r:id="rId16"/>
    <sheet name="EV5.5.9 TSAC" sheetId="108" r:id="rId17"/>
    <sheet name="EV5.5.9 TSAC attachments" sheetId="109" r:id="rId18"/>
    <sheet name="EV5.5.13 Fasteners" sheetId="110" r:id="rId19"/>
    <sheet name="EV5.5.14-17 Openings&amp;Separation" sheetId="111" r:id="rId20"/>
    <sheet name="Additional Info" sheetId="30" r:id="rId21"/>
    <sheet name="T3.5.9 Guidance Notes" sheetId="55" r:id="rId22"/>
    <sheet name="EV5.5.3 Guidance Notes" sheetId="99" r:id="rId23"/>
    <sheet name="EV5.5.9 Guidance Notes" sheetId="101" r:id="rId24"/>
    <sheet name="EV5.5.10-11 Guidance Notes" sheetId="100" r:id="rId25"/>
    <sheet name="EV5.5.12 Guidance Notes" sheetId="105" r:id="rId26"/>
    <sheet name="EV5.5 TSAC Attachment Guidance" sheetId="81" r:id="rId27"/>
  </sheets>
  <definedNames>
    <definedName name="AIP">#REF!,#REF!</definedName>
    <definedName name="ConstructionType">#REF!</definedName>
    <definedName name="Guidance_notes_FBHS">#REF!</definedName>
    <definedName name="Guidance_notes_FHB">#REF!</definedName>
    <definedName name="Guidance_notes_IA_and_AIP">#REF!</definedName>
    <definedName name="Guidance_notes_MHBS">#REF!</definedName>
    <definedName name="Guidance_notes_Monocoque_Attachments">#REF!</definedName>
    <definedName name="Guidance_notes_Perimeter_Shear">'T3.5.9 Guidance Notes'!$A$1</definedName>
    <definedName name="Guidance_notes_SIS">#REF!</definedName>
    <definedName name="Guidance_notes_TSPS">#REF!</definedName>
    <definedName name="Innertable" localSheetId="24">#REF!</definedName>
    <definedName name="Innertable" localSheetId="25">#REF!</definedName>
    <definedName name="Innertable" localSheetId="22">#REF!</definedName>
    <definedName name="Innertable" localSheetId="9">#REF!</definedName>
    <definedName name="Innertable" localSheetId="23">#REF!</definedName>
    <definedName name="Innertable">#REF!</definedName>
    <definedName name="Lijst">#REF!</definedName>
    <definedName name="Link_to_guidance_notes" localSheetId="24">'EV5.5.10-11 Guidance Notes'!$A$1</definedName>
    <definedName name="Link_to_guidance_notes" localSheetId="25">'EV5.5.12 Guidance Notes'!$A$1</definedName>
    <definedName name="Link_to_guidance_notes" localSheetId="22">'EV5.5.3 Guidance Notes'!$A$1</definedName>
    <definedName name="Link_to_guidance_notes" localSheetId="23">'EV5.5.9 Guidance Notes'!$A$1</definedName>
    <definedName name="Link_to_guidance_notes">#REF!</definedName>
    <definedName name="Link_to_guidance_notes__Front_Hoop__FH__attachments" localSheetId="24">'EV5.5.10-11 Guidance Notes'!$A$1:$S$1</definedName>
    <definedName name="Link_to_guidance_notes__Front_Hoop__FH__attachments" localSheetId="25">'EV5.5.12 Guidance Notes'!$A$1:$S$1</definedName>
    <definedName name="Link_to_guidance_notes__Front_Hoop__FH__attachments" localSheetId="22">'EV5.5.3 Guidance Notes'!$A$1:$S$1</definedName>
    <definedName name="Link_to_guidance_notes__Front_Hoop__FH__attachments" localSheetId="23">'EV5.5.9 Guidance Notes'!$A$1:$S$1</definedName>
    <definedName name="Link_to_guidance_notes__Front_Hoop__FH__attachments">#REF!</definedName>
    <definedName name="Link_to_guidance_notes_cell_stacks" localSheetId="24">'EV5.5.10-11 Guidance Notes'!$A$1</definedName>
    <definedName name="Link_to_guidance_notes_cell_stacks" localSheetId="25">'EV5.5.12 Guidance Notes'!$A$1</definedName>
    <definedName name="Link_to_guidance_notes_cell_stacks" localSheetId="22">'EV5.5.3 Guidance Notes'!$A$1</definedName>
    <definedName name="Link_to_guidance_notes_cell_stacks" localSheetId="23">'EV5.5.9 Guidance Notes'!$A$1</definedName>
    <definedName name="Link_to_guidance_notes_cell_stacks">#REF!</definedName>
    <definedName name="Link_to_guidance_notes_TSAC_attachment">'EV5.5 TSAC Attachment Guidance'!$A$1</definedName>
    <definedName name="Material" localSheetId="24">#REF!</definedName>
    <definedName name="Material" localSheetId="25">#REF!</definedName>
    <definedName name="Material" localSheetId="22">#REF!</definedName>
    <definedName name="Material" localSheetId="23">#REF!</definedName>
    <definedName name="Material">#REF!</definedName>
    <definedName name="Materialname">#REF!</definedName>
    <definedName name="Materials" localSheetId="24">#REF!</definedName>
    <definedName name="Materials" localSheetId="25">#REF!</definedName>
    <definedName name="Materials" localSheetId="22">#REF!</definedName>
    <definedName name="Materials" localSheetId="9">#REF!</definedName>
    <definedName name="Materials" localSheetId="23">#REF!</definedName>
    <definedName name="Materials">#REF!</definedName>
    <definedName name="Metallic_Mats" localSheetId="24">#REF!</definedName>
    <definedName name="Metallic_Mats" localSheetId="25">#REF!</definedName>
    <definedName name="Metallic_Mats" localSheetId="22">#REF!</definedName>
    <definedName name="Metallic_Mats" localSheetId="9">#REF!</definedName>
    <definedName name="Metallic_Mats" localSheetId="23">#REF!</definedName>
    <definedName name="Metallic_Mats">#REF!</definedName>
    <definedName name="_xlnm.Print_Area" localSheetId="20">'Additional Info'!$A$1:$BX$63</definedName>
    <definedName name="_xlnm.Print_Area" localSheetId="26">'EV5.5 TSAC Attachment Guidance'!$A$1:$S$54</definedName>
    <definedName name="_xlnm.Print_Area" localSheetId="24">'EV5.5.10-11 Guidance Notes'!$A$1:$S$56</definedName>
    <definedName name="_xlnm.Print_Area" localSheetId="14">'EV5.5.10-12 Cell Fixation'!$A$1:$BP$59</definedName>
    <definedName name="_xlnm.Print_Area" localSheetId="25">'EV5.5.12 Guidance Notes'!$A$1:$S$56</definedName>
    <definedName name="_xlnm.Print_Area" localSheetId="19">'EV5.5.14-17 Openings&amp;Separation'!$A$1:$BX$62</definedName>
    <definedName name="_xlnm.Print_Area" localSheetId="22">'EV5.5.3 Guidance Notes'!$A$1:$S$56</definedName>
    <definedName name="_xlnm.Print_Area" localSheetId="9">'EV5.5.5 Alt. Matl - Shear'!$A$1:$S$55</definedName>
    <definedName name="_xlnm.Print_Area" localSheetId="7">'EV5.5.5 Alt. Matls Summary'!$A$1:$J$26</definedName>
    <definedName name="_xlnm.Print_Area" localSheetId="23">'EV5.5.9 Guidance Notes'!$A$1:$S$56</definedName>
    <definedName name="_xlnm.Print_Area" localSheetId="2">'Rules Clarifications'!$A$1:$O$177</definedName>
    <definedName name="_xlnm.Print_Area" localSheetId="21">'T3.5.9 Guidance Notes'!$A$1:$S$56</definedName>
    <definedName name="_xlnm.Print_Area" localSheetId="1">'Version History'!$A$1:$O$118</definedName>
    <definedName name="Table">#REF!</definedName>
    <definedName name="Tube_Type">#REF!</definedName>
  </definedNames>
  <calcPr calcId="191028"/>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09" l="1"/>
  <c r="A1" i="108"/>
  <c r="A1" i="107"/>
  <c r="M26" i="106"/>
  <c r="M27" i="106" s="1"/>
  <c r="A29" i="106"/>
  <c r="M24" i="113"/>
  <c r="DP13" i="115"/>
  <c r="CY13" i="115"/>
  <c r="CH13" i="115"/>
  <c r="BQ13" i="115"/>
  <c r="AZ13" i="115"/>
  <c r="AI13" i="115"/>
  <c r="R13" i="115"/>
  <c r="A13" i="115"/>
  <c r="AR83" i="110"/>
  <c r="AA83" i="110"/>
  <c r="J83" i="110"/>
  <c r="AR59" i="110"/>
  <c r="AA59" i="110"/>
  <c r="J59" i="110"/>
  <c r="AR35" i="110"/>
  <c r="AA35" i="110"/>
  <c r="J35" i="110"/>
  <c r="AR11" i="110"/>
  <c r="AA11" i="110"/>
  <c r="J24" i="113"/>
  <c r="M18" i="106"/>
  <c r="M19" i="106" s="1"/>
  <c r="M21" i="106" s="1"/>
  <c r="BI52" i="71"/>
  <c r="AP52" i="71"/>
  <c r="W52" i="71"/>
  <c r="D52" i="71"/>
  <c r="BK52" i="71"/>
  <c r="AR52" i="71"/>
  <c r="Y52" i="71"/>
  <c r="J6" i="63"/>
  <c r="H6" i="63"/>
  <c r="F52" i="71"/>
  <c r="J7" i="63"/>
  <c r="J8" i="63" s="1"/>
  <c r="H7" i="63"/>
  <c r="H8" i="63" s="1"/>
  <c r="F7" i="63"/>
  <c r="F6" i="63"/>
  <c r="D6" i="63"/>
  <c r="D7" i="63"/>
  <c r="D8" i="63" s="1"/>
  <c r="A1" i="30"/>
  <c r="A1" i="111"/>
  <c r="A1" i="110"/>
  <c r="A1" i="106"/>
  <c r="DW11" i="116"/>
  <c r="DF11" i="116"/>
  <c r="CO11" i="116"/>
  <c r="BX11" i="116"/>
  <c r="BG11" i="116"/>
  <c r="AP11" i="116"/>
  <c r="Y11" i="116"/>
  <c r="H11" i="116"/>
  <c r="DW13" i="115"/>
  <c r="DF13" i="115"/>
  <c r="CO13" i="115"/>
  <c r="BX13" i="115"/>
  <c r="BG13" i="115"/>
  <c r="H13" i="115"/>
  <c r="AP13" i="115"/>
  <c r="Y13" i="115"/>
  <c r="CO11" i="114"/>
  <c r="DF11" i="114"/>
  <c r="DW11" i="114"/>
  <c r="BX11" i="114"/>
  <c r="BG11" i="114"/>
  <c r="AP11" i="114"/>
  <c r="Y11" i="114"/>
  <c r="H11" i="114"/>
  <c r="A1" i="116"/>
  <c r="A1" i="115"/>
  <c r="A1" i="114"/>
  <c r="A1" i="113"/>
  <c r="A1" i="14"/>
  <c r="A1" i="112"/>
  <c r="E13" i="112"/>
  <c r="O3" i="30"/>
  <c r="N3" i="110"/>
  <c r="N3" i="106"/>
  <c r="N3" i="109"/>
  <c r="N3" i="108"/>
  <c r="N3" i="107"/>
  <c r="A58" i="112"/>
  <c r="N3" i="116"/>
  <c r="D3" i="116"/>
  <c r="N3" i="115"/>
  <c r="D3" i="115"/>
  <c r="N3" i="114"/>
  <c r="D3" i="114"/>
  <c r="L3" i="113"/>
  <c r="B20" i="14"/>
  <c r="M3" i="112"/>
  <c r="D3" i="112"/>
  <c r="D3" i="106"/>
  <c r="DP11" i="116"/>
  <c r="CY11" i="116"/>
  <c r="CH11" i="116"/>
  <c r="BQ11" i="116"/>
  <c r="AZ11" i="116"/>
  <c r="AI11" i="116"/>
  <c r="R11" i="116"/>
  <c r="A11" i="116"/>
  <c r="F8" i="63"/>
  <c r="I6" i="63"/>
  <c r="I7" i="63"/>
  <c r="I8" i="63"/>
  <c r="I9" i="63"/>
  <c r="I10" i="63"/>
  <c r="I11" i="63"/>
  <c r="I5" i="63"/>
  <c r="G6" i="63"/>
  <c r="G7" i="63"/>
  <c r="G8" i="63"/>
  <c r="G9" i="63"/>
  <c r="G10" i="63"/>
  <c r="G11" i="63"/>
  <c r="G5" i="63"/>
  <c r="E6" i="63"/>
  <c r="E7" i="63"/>
  <c r="E8" i="63"/>
  <c r="E9" i="63"/>
  <c r="E10" i="63"/>
  <c r="E11" i="63"/>
  <c r="E5" i="63"/>
  <c r="G35" i="113"/>
  <c r="A41" i="113"/>
  <c r="D41" i="113" s="1"/>
  <c r="A40" i="113"/>
  <c r="J40" i="113" s="1"/>
  <c r="A39" i="113"/>
  <c r="M39" i="113" s="1"/>
  <c r="A38" i="113"/>
  <c r="J38" i="113" s="1"/>
  <c r="A37" i="113"/>
  <c r="J37" i="113" s="1"/>
  <c r="A36" i="113"/>
  <c r="J36" i="113" s="1"/>
  <c r="A35" i="113"/>
  <c r="J35" i="113" s="1"/>
  <c r="A34" i="113"/>
  <c r="J34" i="113" s="1"/>
  <c r="A28" i="113"/>
  <c r="G28" i="113" s="1"/>
  <c r="A27" i="113"/>
  <c r="D27" i="113" s="1"/>
  <c r="A26" i="113"/>
  <c r="D26" i="113" s="1"/>
  <c r="A25" i="113"/>
  <c r="D25" i="113" s="1"/>
  <c r="A24" i="113"/>
  <c r="D24" i="113" s="1"/>
  <c r="A23" i="113"/>
  <c r="J23" i="113" s="1"/>
  <c r="A22" i="113"/>
  <c r="J22" i="113" s="1"/>
  <c r="A21" i="113"/>
  <c r="G21" i="113" s="1"/>
  <c r="S7" i="107"/>
  <c r="A15" i="113"/>
  <c r="D15" i="113" s="1"/>
  <c r="A14" i="113"/>
  <c r="J14" i="113" s="1"/>
  <c r="A13" i="113"/>
  <c r="J13" i="113" s="1"/>
  <c r="A12" i="113"/>
  <c r="G12" i="113" s="1"/>
  <c r="A11" i="113"/>
  <c r="G11" i="113" s="1"/>
  <c r="A10" i="113"/>
  <c r="G10" i="113" s="1"/>
  <c r="A9" i="113"/>
  <c r="A8" i="113"/>
  <c r="DP11" i="114"/>
  <c r="CY11" i="114"/>
  <c r="CH11" i="114"/>
  <c r="BQ11" i="114"/>
  <c r="AZ11" i="114"/>
  <c r="AI11" i="114"/>
  <c r="R11" i="114"/>
  <c r="A11" i="114"/>
  <c r="D3" i="113"/>
  <c r="J15" i="63"/>
  <c r="H15" i="63"/>
  <c r="F15" i="63"/>
  <c r="D15" i="63"/>
  <c r="Y11" i="112"/>
  <c r="W11" i="112"/>
  <c r="T11" i="112"/>
  <c r="Y10" i="112"/>
  <c r="W10" i="112"/>
  <c r="T10" i="112"/>
  <c r="Y9" i="112"/>
  <c r="W9" i="112"/>
  <c r="T9" i="112"/>
  <c r="Y8" i="112"/>
  <c r="W8" i="112"/>
  <c r="T8" i="112"/>
  <c r="J11" i="110"/>
  <c r="D3" i="110"/>
  <c r="S7" i="109"/>
  <c r="S4" i="109"/>
  <c r="D3" i="109"/>
  <c r="S4" i="107"/>
  <c r="S7" i="108"/>
  <c r="S4" i="108"/>
  <c r="D3" i="108"/>
  <c r="D3" i="107"/>
  <c r="BO57" i="72"/>
  <c r="BO56" i="72"/>
  <c r="AV57" i="72"/>
  <c r="AV56" i="72"/>
  <c r="AC57" i="72"/>
  <c r="AC56" i="72"/>
  <c r="J57" i="72"/>
  <c r="J56" i="72"/>
  <c r="J25" i="113" l="1"/>
  <c r="M22" i="113"/>
  <c r="M25" i="113"/>
  <c r="M26" i="113"/>
  <c r="M27" i="113"/>
  <c r="M28" i="113"/>
  <c r="M23" i="113"/>
  <c r="M21" i="113"/>
  <c r="M23" i="106"/>
  <c r="M24" i="106" s="1"/>
  <c r="M40" i="113"/>
  <c r="J41" i="113"/>
  <c r="D35" i="113"/>
  <c r="M34" i="113"/>
  <c r="G41" i="113"/>
  <c r="D36" i="113"/>
  <c r="G36" i="113"/>
  <c r="M35" i="113"/>
  <c r="M41" i="113"/>
  <c r="D37" i="113"/>
  <c r="G37" i="113"/>
  <c r="M36" i="113"/>
  <c r="G34" i="113"/>
  <c r="D38" i="113"/>
  <c r="G38" i="113"/>
  <c r="M37" i="113"/>
  <c r="D39" i="113"/>
  <c r="G40" i="113"/>
  <c r="M38" i="113"/>
  <c r="D34" i="113"/>
  <c r="D40" i="113"/>
  <c r="G39" i="113"/>
  <c r="J39" i="113"/>
  <c r="J26" i="113"/>
  <c r="G23" i="113"/>
  <c r="G24" i="113"/>
  <c r="D22" i="113"/>
  <c r="G22" i="113"/>
  <c r="D23" i="113"/>
  <c r="J21" i="113"/>
  <c r="G25" i="113"/>
  <c r="J27" i="113"/>
  <c r="D21" i="113"/>
  <c r="G26" i="113"/>
  <c r="J28" i="113"/>
  <c r="G27" i="113"/>
  <c r="D28" i="113"/>
  <c r="J11" i="113"/>
  <c r="G13" i="113"/>
  <c r="J15" i="113"/>
  <c r="G15" i="113"/>
  <c r="G14" i="113"/>
  <c r="J10" i="113"/>
  <c r="J12" i="113"/>
  <c r="S11" i="112"/>
  <c r="E85" i="112" s="1"/>
  <c r="S9" i="112"/>
  <c r="E37" i="112" s="1"/>
  <c r="S10" i="112"/>
  <c r="E61" i="112" s="1"/>
  <c r="S8" i="112"/>
  <c r="J9" i="113"/>
  <c r="G9" i="113"/>
  <c r="D9" i="113"/>
  <c r="D10" i="113"/>
  <c r="D11" i="113"/>
  <c r="D12" i="113"/>
  <c r="D13" i="113"/>
  <c r="D14" i="113"/>
  <c r="J8" i="113"/>
  <c r="G8" i="113"/>
  <c r="D8" i="113"/>
  <c r="BI54" i="71"/>
  <c r="J11" i="63" s="1"/>
  <c r="D54" i="71"/>
  <c r="D11" i="63" s="1"/>
  <c r="O3" i="72" l="1"/>
  <c r="D3" i="72"/>
  <c r="CA48" i="72" l="1"/>
  <c r="BH48" i="72"/>
  <c r="AO48" i="72"/>
  <c r="V48" i="72"/>
  <c r="C48" i="72"/>
  <c r="G36" i="92" l="1"/>
  <c r="F36" i="92"/>
  <c r="I35" i="92"/>
  <c r="G35" i="92"/>
  <c r="F35" i="92"/>
  <c r="I34" i="92"/>
  <c r="G34" i="92"/>
  <c r="F34" i="92"/>
  <c r="F33" i="92"/>
  <c r="I32" i="92"/>
  <c r="I31" i="92"/>
  <c r="G31" i="92"/>
  <c r="F31" i="92"/>
  <c r="I30" i="92"/>
  <c r="G30" i="92"/>
  <c r="F30" i="92"/>
  <c r="F29" i="92"/>
  <c r="I28" i="92"/>
  <c r="I27" i="92"/>
  <c r="G27" i="92"/>
  <c r="F27" i="92"/>
  <c r="I26" i="92"/>
  <c r="I33" i="92" s="1"/>
  <c r="G26" i="92"/>
  <c r="F26" i="92"/>
  <c r="G25" i="92"/>
  <c r="F25" i="92"/>
  <c r="E25" i="92"/>
  <c r="E26" i="92" s="1"/>
  <c r="H26" i="92" s="1"/>
  <c r="J26" i="92" s="1"/>
  <c r="C25" i="92"/>
  <c r="C26" i="92" s="1"/>
  <c r="G24" i="92"/>
  <c r="G32" i="92" s="1"/>
  <c r="F24" i="92"/>
  <c r="F32" i="92" s="1"/>
  <c r="E24" i="92"/>
  <c r="E28" i="92" s="1"/>
  <c r="C24" i="92"/>
  <c r="C28" i="92" s="1"/>
  <c r="I18" i="92"/>
  <c r="G18" i="92"/>
  <c r="F18" i="92"/>
  <c r="E18" i="92"/>
  <c r="M11" i="92"/>
  <c r="M10" i="92"/>
  <c r="I7" i="92"/>
  <c r="I12" i="92" s="1"/>
  <c r="G7" i="92"/>
  <c r="G12" i="92" s="1"/>
  <c r="F7" i="92"/>
  <c r="F11" i="92" s="1"/>
  <c r="E7" i="92"/>
  <c r="E11" i="92" s="1"/>
  <c r="C7" i="92"/>
  <c r="C9" i="92" s="1"/>
  <c r="N6" i="92"/>
  <c r="M6" i="92"/>
  <c r="M5" i="92"/>
  <c r="O8" i="92" s="1"/>
  <c r="C11" i="92" l="1"/>
  <c r="C31" i="92" s="1"/>
  <c r="C8" i="92"/>
  <c r="C27" i="92" s="1"/>
  <c r="C36" i="92" s="1"/>
  <c r="C29" i="92"/>
  <c r="E31" i="92"/>
  <c r="E9" i="92"/>
  <c r="E29" i="92" s="1"/>
  <c r="E8" i="92"/>
  <c r="E27" i="92" s="1"/>
  <c r="I11" i="92"/>
  <c r="E10" i="92"/>
  <c r="E33" i="92" s="1"/>
  <c r="N5" i="92"/>
  <c r="F10" i="92"/>
  <c r="G33" i="92"/>
  <c r="F9" i="92"/>
  <c r="G9" i="92"/>
  <c r="G11" i="92"/>
  <c r="F8" i="92"/>
  <c r="C10" i="92"/>
  <c r="C33" i="92" s="1"/>
  <c r="G8" i="92"/>
  <c r="C12" i="92"/>
  <c r="C32" i="92" s="1"/>
  <c r="G29" i="92"/>
  <c r="M8" i="92"/>
  <c r="G10" i="92"/>
  <c r="E12" i="92"/>
  <c r="E32" i="92" s="1"/>
  <c r="F12" i="92"/>
  <c r="F28" i="92"/>
  <c r="H28" i="92" s="1"/>
  <c r="J28" i="92" s="1"/>
  <c r="K28" i="92" s="1"/>
  <c r="L28" i="92" s="1"/>
  <c r="I29" i="92"/>
  <c r="G28" i="92"/>
  <c r="H32" i="92" l="1"/>
  <c r="J32" i="92" s="1"/>
  <c r="K32" i="92" s="1"/>
  <c r="L32" i="92" s="1"/>
  <c r="H29" i="92"/>
  <c r="J29" i="92" s="1"/>
  <c r="K29" i="92" s="1"/>
  <c r="L29" i="92" s="1"/>
  <c r="H31" i="92"/>
  <c r="J31" i="92" s="1"/>
  <c r="K31" i="92" s="1"/>
  <c r="L31" i="92" s="1"/>
  <c r="E30" i="92"/>
  <c r="M9" i="92"/>
  <c r="M12" i="92" s="1"/>
  <c r="O10" i="92" s="1"/>
  <c r="O9" i="92"/>
  <c r="H33" i="92"/>
  <c r="J33" i="92" s="1"/>
  <c r="K33" i="92" s="1"/>
  <c r="L33" i="92" s="1"/>
  <c r="E35" i="92"/>
  <c r="H35" i="92" s="1"/>
  <c r="J35" i="92" s="1"/>
  <c r="C30" i="92"/>
  <c r="H27" i="92"/>
  <c r="J27" i="92" s="1"/>
  <c r="K27" i="92" s="1"/>
  <c r="E36" i="92"/>
  <c r="C35" i="92"/>
  <c r="E34" i="92"/>
  <c r="C34" i="92"/>
  <c r="H34" i="92" l="1"/>
  <c r="J34" i="92" s="1"/>
  <c r="K34" i="92" s="1"/>
  <c r="L34" i="92" s="1"/>
  <c r="O11" i="92"/>
  <c r="O12" i="92" s="1"/>
  <c r="G17" i="92"/>
  <c r="L27" i="92"/>
  <c r="H30" i="92"/>
  <c r="J30" i="92" s="1"/>
  <c r="K30" i="92" s="1"/>
  <c r="L30" i="92" s="1"/>
  <c r="K35" i="92"/>
  <c r="L35" i="92" s="1"/>
  <c r="C62" i="72" l="1" a="1"/>
  <c r="C62" i="72" s="1"/>
  <c r="V62" i="72" a="1"/>
  <c r="V62" i="72" s="1"/>
  <c r="C15" i="63" l="1"/>
  <c r="G15" i="63"/>
  <c r="G16" i="63" s="1"/>
  <c r="I7" i="39"/>
  <c r="I12" i="39" s="1"/>
  <c r="I18" i="39"/>
  <c r="G7" i="39"/>
  <c r="G12" i="39" s="1"/>
  <c r="F7" i="39"/>
  <c r="F12" i="39" s="1"/>
  <c r="E7" i="39"/>
  <c r="E12" i="39" s="1"/>
  <c r="C7" i="39"/>
  <c r="C12" i="39" s="1"/>
  <c r="V59" i="72"/>
  <c r="V58" i="72"/>
  <c r="V60" i="72" s="1"/>
  <c r="BH62" i="72" a="1"/>
  <c r="BH62" i="72" s="1"/>
  <c r="AO62" i="72" a="1"/>
  <c r="AO62" i="72" s="1"/>
  <c r="G24" i="39"/>
  <c r="G25" i="39" s="1"/>
  <c r="F24" i="39"/>
  <c r="F32" i="39" s="1"/>
  <c r="E24" i="39"/>
  <c r="E25" i="39" s="1"/>
  <c r="G36" i="39"/>
  <c r="F36" i="39"/>
  <c r="C25" i="39"/>
  <c r="C24" i="39"/>
  <c r="C28" i="39" s="1"/>
  <c r="M11" i="39"/>
  <c r="G18" i="39"/>
  <c r="F18" i="39"/>
  <c r="E18" i="39"/>
  <c r="N6" i="39"/>
  <c r="M6" i="39"/>
  <c r="M10" i="39" s="1"/>
  <c r="M5" i="39"/>
  <c r="BS46" i="72"/>
  <c r="AZ46" i="72"/>
  <c r="AG46" i="72"/>
  <c r="N46" i="72"/>
  <c r="J14" i="63"/>
  <c r="J13" i="63"/>
  <c r="H14" i="63"/>
  <c r="H13" i="63"/>
  <c r="F14" i="63"/>
  <c r="F13" i="63"/>
  <c r="D14" i="63"/>
  <c r="D13" i="63"/>
  <c r="D12" i="63"/>
  <c r="F12" i="63"/>
  <c r="H12" i="63"/>
  <c r="J12" i="63"/>
  <c r="BT3" i="71"/>
  <c r="BA3" i="71"/>
  <c r="AH3" i="71"/>
  <c r="O3" i="71"/>
  <c r="BI3" i="71"/>
  <c r="AP3" i="71"/>
  <c r="W3" i="71"/>
  <c r="D3" i="71"/>
  <c r="W54" i="71"/>
  <c r="F11" i="63" s="1"/>
  <c r="AP54" i="71"/>
  <c r="H11" i="63" s="1"/>
  <c r="BH59" i="72"/>
  <c r="BH58" i="72"/>
  <c r="BH60" i="72" s="1"/>
  <c r="BT3" i="72"/>
  <c r="BI3" i="72"/>
  <c r="AH3" i="72"/>
  <c r="W3" i="72"/>
  <c r="AO59" i="72"/>
  <c r="AO58" i="72"/>
  <c r="AO60" i="72" s="1"/>
  <c r="BA3" i="72"/>
  <c r="AP3" i="72"/>
  <c r="CM3" i="72"/>
  <c r="CB3" i="72"/>
  <c r="C59" i="72"/>
  <c r="C58" i="72"/>
  <c r="C60" i="72" s="1"/>
  <c r="CL50" i="72"/>
  <c r="CA50" i="72"/>
  <c r="CL46" i="72"/>
  <c r="J18" i="63"/>
  <c r="E15" i="63"/>
  <c r="D3" i="30"/>
  <c r="G34" i="39"/>
  <c r="C26" i="39"/>
  <c r="H18" i="63" l="1"/>
  <c r="H19" i="63" s="1"/>
  <c r="H16" i="63"/>
  <c r="H17" i="63" s="1"/>
  <c r="D18" i="63"/>
  <c r="D19" i="63" s="1"/>
  <c r="I15" i="63"/>
  <c r="I16" i="63" s="1"/>
  <c r="I10" i="92"/>
  <c r="M8" i="39"/>
  <c r="I10" i="39"/>
  <c r="I11" i="39"/>
  <c r="G33" i="39"/>
  <c r="G32" i="39"/>
  <c r="O8" i="39"/>
  <c r="G31" i="39"/>
  <c r="N5" i="39"/>
  <c r="O9" i="39" s="1"/>
  <c r="G26" i="39"/>
  <c r="F27" i="39"/>
  <c r="G28" i="39"/>
  <c r="G29" i="39"/>
  <c r="F33" i="39"/>
  <c r="E26" i="39"/>
  <c r="F34" i="39"/>
  <c r="F26" i="39"/>
  <c r="F29" i="39"/>
  <c r="F35" i="39"/>
  <c r="G35" i="39"/>
  <c r="G27" i="39"/>
  <c r="F30" i="39"/>
  <c r="M9" i="39"/>
  <c r="G30" i="39"/>
  <c r="F25" i="39"/>
  <c r="E28" i="39"/>
  <c r="F31" i="39"/>
  <c r="C32" i="39"/>
  <c r="F28" i="39"/>
  <c r="C9" i="39"/>
  <c r="C29" i="39" s="1"/>
  <c r="C11" i="39"/>
  <c r="C31" i="39" s="1"/>
  <c r="E9" i="39"/>
  <c r="E11" i="39"/>
  <c r="F9" i="39"/>
  <c r="F11" i="39"/>
  <c r="G9" i="39"/>
  <c r="G11" i="39"/>
  <c r="C8" i="39"/>
  <c r="C27" i="39" s="1"/>
  <c r="C10" i="39"/>
  <c r="E8" i="39"/>
  <c r="E10" i="39"/>
  <c r="F8" i="39"/>
  <c r="F10" i="39"/>
  <c r="G8" i="39"/>
  <c r="G10" i="39"/>
  <c r="F24" i="63"/>
  <c r="J24" i="63"/>
  <c r="D24" i="63"/>
  <c r="H24" i="63"/>
  <c r="G17" i="63"/>
  <c r="H23" i="63" s="1"/>
  <c r="F18" i="63"/>
  <c r="F19" i="63" s="1"/>
  <c r="C16" i="63"/>
  <c r="G18" i="63"/>
  <c r="CL51" i="72"/>
  <c r="CN51" i="72" s="1"/>
  <c r="J19" i="63"/>
  <c r="E18" i="63"/>
  <c r="E19" i="63" s="1"/>
  <c r="F22" i="63" s="1"/>
  <c r="E16" i="63"/>
  <c r="J16" i="63"/>
  <c r="J17" i="63" s="1"/>
  <c r="F16" i="63"/>
  <c r="F17" i="63" s="1"/>
  <c r="CN50" i="72"/>
  <c r="D16" i="63"/>
  <c r="D17" i="63" s="1"/>
  <c r="I17" i="63" l="1"/>
  <c r="J23" i="63" s="1"/>
  <c r="I18" i="63"/>
  <c r="I19" i="63" s="1"/>
  <c r="J22" i="63" s="1"/>
  <c r="C17" i="63"/>
  <c r="D23" i="63" s="1"/>
  <c r="I9" i="92"/>
  <c r="CL52" i="72"/>
  <c r="I9" i="39"/>
  <c r="H28" i="39"/>
  <c r="E27" i="39"/>
  <c r="H27" i="39" s="1"/>
  <c r="H26" i="39"/>
  <c r="M12" i="39"/>
  <c r="O10" i="39" s="1"/>
  <c r="E31" i="39"/>
  <c r="E32" i="39"/>
  <c r="H32" i="39" s="1"/>
  <c r="E29" i="39"/>
  <c r="H29" i="39" s="1"/>
  <c r="E33" i="39"/>
  <c r="E30" i="39"/>
  <c r="C30" i="39"/>
  <c r="C33" i="39"/>
  <c r="C36" i="39"/>
  <c r="G19" i="63"/>
  <c r="H22" i="63" s="1"/>
  <c r="E17" i="63"/>
  <c r="F23" i="63" s="1"/>
  <c r="C18" i="63"/>
  <c r="C19" i="63" s="1"/>
  <c r="D22" i="63" s="1"/>
  <c r="H25" i="63" l="1"/>
  <c r="E36" i="39"/>
  <c r="H31" i="39"/>
  <c r="O11" i="39"/>
  <c r="O12" i="39" s="1"/>
  <c r="I26" i="39" s="1"/>
  <c r="E34" i="39"/>
  <c r="C34" i="39"/>
  <c r="C35" i="39"/>
  <c r="H34" i="39"/>
  <c r="H30" i="39"/>
  <c r="H33" i="39"/>
  <c r="E35" i="39"/>
  <c r="H35" i="39" s="1"/>
  <c r="F25" i="63"/>
  <c r="E39" i="112" s="1"/>
  <c r="J25" i="63"/>
  <c r="D25" i="63"/>
  <c r="E15" i="112" s="1"/>
  <c r="E87" i="112" l="1"/>
  <c r="E63" i="112"/>
  <c r="I8" i="39"/>
  <c r="I33" i="39"/>
  <c r="J33" i="39" s="1"/>
  <c r="K33" i="39" s="1"/>
  <c r="L33" i="39" s="1"/>
  <c r="I27" i="39"/>
  <c r="I28" i="39"/>
  <c r="I29" i="39" s="1"/>
  <c r="J29" i="39" s="1"/>
  <c r="K29" i="39" s="1"/>
  <c r="L29" i="39" s="1"/>
  <c r="J26" i="39"/>
  <c r="I8" i="92" l="1"/>
  <c r="I31" i="39"/>
  <c r="J31" i="39" s="1"/>
  <c r="K31" i="39" s="1"/>
  <c r="L31" i="39" s="1"/>
  <c r="I30" i="39"/>
  <c r="J30" i="39" s="1"/>
  <c r="K30" i="39" s="1"/>
  <c r="L30" i="39" s="1"/>
  <c r="I35" i="39"/>
  <c r="J35" i="39" s="1"/>
  <c r="K35" i="39" s="1"/>
  <c r="L35" i="39" s="1"/>
  <c r="I32" i="39"/>
  <c r="J32" i="39" s="1"/>
  <c r="K32" i="39" s="1"/>
  <c r="L32" i="39" s="1"/>
  <c r="J28" i="39"/>
  <c r="K28" i="39" s="1"/>
  <c r="L28" i="39" s="1"/>
  <c r="I34" i="39"/>
  <c r="J27" i="39"/>
  <c r="K27" i="39" l="1"/>
  <c r="J34" i="39"/>
  <c r="K34" i="39" s="1"/>
  <c r="L34" i="39" s="1"/>
  <c r="G17" i="39" l="1"/>
  <c r="L27"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00000000-0006-0000-2300-000001000000}">
      <text>
        <r>
          <rPr>
            <b/>
            <sz val="9"/>
            <color indexed="81"/>
            <rFont val="Tahoma"/>
            <family val="2"/>
          </rPr>
          <t>This is the side closest to the driver</t>
        </r>
      </text>
    </comment>
    <comment ref="B21" authorId="0" shapeId="0" xr:uid="{00000000-0006-0000-2300-000002000000}">
      <text>
        <r>
          <rPr>
            <b/>
            <sz val="9"/>
            <color indexed="81"/>
            <rFont val="Tahoma"/>
            <family val="2"/>
          </rPr>
          <t>This is the side outboard of the driver</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 Jones</author>
  </authors>
  <commentList>
    <comment ref="B20" authorId="0" shapeId="0" xr:uid="{83C3D763-DBAA-4D31-96E7-0E4D76362979}">
      <text>
        <r>
          <rPr>
            <b/>
            <sz val="9"/>
            <color indexed="81"/>
            <rFont val="Tahoma"/>
            <family val="2"/>
          </rPr>
          <t>This is the side closest to the driver</t>
        </r>
      </text>
    </comment>
    <comment ref="B21" authorId="0" shapeId="0" xr:uid="{89D650DA-A526-4A0D-BD86-E8E57E85D10E}">
      <text>
        <r>
          <rPr>
            <b/>
            <sz val="9"/>
            <color indexed="81"/>
            <rFont val="Tahoma"/>
            <family val="2"/>
          </rPr>
          <t>This is the side outboard of the driver</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C53" authorId="0" shapeId="0" xr:uid="{00000000-0006-0000-2000-000001000000}">
      <text>
        <r>
          <rPr>
            <b/>
            <sz val="9"/>
            <color indexed="81"/>
            <rFont val="Tahoma"/>
            <family val="2"/>
          </rPr>
          <t>Indicate which panel span (hence panel size is used)</t>
        </r>
      </text>
    </comment>
    <comment ref="V53" authorId="0" shapeId="0" xr:uid="{4B1157B3-D845-4676-B837-3CD714676ECA}">
      <text>
        <r>
          <rPr>
            <b/>
            <sz val="9"/>
            <color indexed="81"/>
            <rFont val="Tahoma"/>
            <family val="2"/>
          </rPr>
          <t>Indicate which panel span (hence panel size is used)</t>
        </r>
      </text>
    </comment>
    <comment ref="AO53" authorId="0" shapeId="0" xr:uid="{611BD8D6-0480-4BB1-B760-65E832F0D8C2}">
      <text>
        <r>
          <rPr>
            <b/>
            <sz val="9"/>
            <color indexed="81"/>
            <rFont val="Tahoma"/>
            <family val="2"/>
          </rPr>
          <t>Indicate which panel span (hence panel size is used)</t>
        </r>
      </text>
    </comment>
    <comment ref="BH53" authorId="0" shapeId="0" xr:uid="{6A36B3B9-E7CD-4A80-8B03-4A839A24444C}">
      <text>
        <r>
          <rPr>
            <b/>
            <sz val="9"/>
            <color indexed="81"/>
            <rFont val="Tahoma"/>
            <family val="2"/>
          </rPr>
          <t>Indicate which panel span (hence panel size is used)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<sst xmlns="http://schemas.openxmlformats.org/spreadsheetml/2006/main" count="1329" uniqueCount="476">
  <si>
    <t>Please enter your values in the yellow cells and paste all the images in the specific tabs which shows your entered values.</t>
  </si>
  <si>
    <t>All dimensions and units must follow the European SI System!</t>
  </si>
  <si>
    <t>Cells shaded grey are dependant on the data entered in yellow cells, the formulae in these grey cells have been left visible so you can see how the results are calculated.</t>
  </si>
  <si>
    <t>The vast majority of the tabs can be accessed using the hyperlinks on the cover sheet. If you enable macros when opening the document "Ctrl+e" will return you to the cover sheet.</t>
  </si>
  <si>
    <t>The ASES has been extensively tested, but if you think you have found a mistake in the document or have any questions on how to use the template please submit a question in the usual manner.</t>
  </si>
  <si>
    <t>Please read the guidance notes located at the end of the workbook.</t>
  </si>
  <si>
    <t>Revisions:</t>
  </si>
  <si>
    <t>V1.0</t>
  </si>
  <si>
    <t>If you have to resubmit your ASES then please update the table below, indicating what changes you have made from the previous submission.</t>
  </si>
  <si>
    <t>Submission Version</t>
  </si>
  <si>
    <t>Revision Comments</t>
  </si>
  <si>
    <t>Clarification ID</t>
  </si>
  <si>
    <t>Details of Clarification Question and Answer</t>
  </si>
  <si>
    <t>Proof requirement explanation</t>
  </si>
  <si>
    <t>Mandatory</t>
  </si>
  <si>
    <t>The proof is mandatory to show compliance to the rules/equivalency in any case, regardless of the accumulator concept.</t>
  </si>
  <si>
    <t>Optional</t>
  </si>
  <si>
    <t>University Name</t>
  </si>
  <si>
    <t>Car No.(s) &amp; Event(s)</t>
  </si>
  <si>
    <t>Team Contact</t>
  </si>
  <si>
    <t>Email Address</t>
  </si>
  <si>
    <t>Faculty Advisor</t>
  </si>
  <si>
    <t>Composite</t>
  </si>
  <si>
    <t>Is proof of equivalency for your design required for any of the rules?</t>
  </si>
  <si>
    <t>Inner Skin Thickness</t>
  </si>
  <si>
    <t>Outer Skin Thickness</t>
  </si>
  <si>
    <t>Panel Height</t>
  </si>
  <si>
    <t>Rule No.</t>
  </si>
  <si>
    <t>Compliance shown?</t>
  </si>
  <si>
    <t>CAD proof required?</t>
  </si>
  <si>
    <t>Datasheet proof required?</t>
  </si>
  <si>
    <t>Manual calculation required?</t>
  </si>
  <si>
    <t>X</t>
  </si>
  <si>
    <t>Y</t>
  </si>
  <si>
    <t>Z</t>
  </si>
  <si>
    <t>NO</t>
  </si>
  <si>
    <t>N/A</t>
  </si>
  <si>
    <t>No</t>
  </si>
  <si>
    <t>COMPLETE APPROPRIATE TABS TO PROVE EQUIVALENCY</t>
  </si>
  <si>
    <t xml:space="preserve">Please see </t>
  </si>
  <si>
    <t>NOTE: THIS FORM AND THE APPROVED COPY OF THE SUBMISSION MUST BE PRESENTED
AT TECHNICAL INSPECTION AT EVERY FORMULA STUDENT EVENT ENTERED</t>
  </si>
  <si>
    <t>Structure</t>
  </si>
  <si>
    <t>Overall Thickness [mm]</t>
  </si>
  <si>
    <t>Thickness outer skin [mm]</t>
  </si>
  <si>
    <t>Outer skin layup</t>
  </si>
  <si>
    <t>Core material</t>
  </si>
  <si>
    <t>Core thickness [mm]</t>
  </si>
  <si>
    <t>inner skin layup</t>
  </si>
  <si>
    <t>Thickness inner skin [mm]</t>
  </si>
  <si>
    <t>Proof of T3.4.3</t>
  </si>
  <si>
    <t>Floor</t>
  </si>
  <si>
    <t>Ext. Walls</t>
  </si>
  <si>
    <t>Accumulator Floor</t>
  </si>
  <si>
    <t>Int. Walls</t>
  </si>
  <si>
    <t>Cover</t>
  </si>
  <si>
    <t>Aluminium</t>
  </si>
  <si>
    <t>Floor Thickness [mm]</t>
  </si>
  <si>
    <t>Width [mm]</t>
  </si>
  <si>
    <t>Fail / Pass</t>
  </si>
  <si>
    <t>Paste Image of width of the accumulator floor.</t>
  </si>
  <si>
    <t>Paste Image of Floor Thickness.</t>
  </si>
  <si>
    <t>Accumulator Position in the Chassis</t>
  </si>
  <si>
    <t>Image provided</t>
  </si>
  <si>
    <t>Isometric View of Accumulator in chassis</t>
  </si>
  <si>
    <t>Sideview of Acc. in chassis</t>
  </si>
  <si>
    <t>Paste Image of Accumulator in chassis</t>
  </si>
  <si>
    <t>External Wall</t>
  </si>
  <si>
    <t>Wall Thickness [mm]</t>
  </si>
  <si>
    <t>Height [mm]</t>
  </si>
  <si>
    <t>Paste Image of height of the external wall.</t>
  </si>
  <si>
    <t>Paste Image of wall thickness.</t>
  </si>
  <si>
    <t>Paste Image of height of the internal wall.</t>
  </si>
  <si>
    <t>Paste Image of width of the internal wall.</t>
  </si>
  <si>
    <t>Paste Image of cover thickness.</t>
  </si>
  <si>
    <t>Accumulator Protection</t>
  </si>
  <si>
    <t>Enter construction type</t>
  </si>
  <si>
    <t>Tubing only</t>
  </si>
  <si>
    <t>BACK to COVER SHEET</t>
  </si>
  <si>
    <t>Material Property</t>
  </si>
  <si>
    <t>Baseline</t>
  </si>
  <si>
    <t>Your Tube type 1</t>
  </si>
  <si>
    <t>Your Tube type 2</t>
  </si>
  <si>
    <t>Your Tube type 3</t>
  </si>
  <si>
    <t>Your Tubes Total</t>
  </si>
  <si>
    <t>Your Composite</t>
  </si>
  <si>
    <t>Your Total</t>
  </si>
  <si>
    <t>Outer</t>
  </si>
  <si>
    <t>Inner</t>
  </si>
  <si>
    <t>Material type</t>
  </si>
  <si>
    <t>Steel</t>
  </si>
  <si>
    <t>Composite 1</t>
  </si>
  <si>
    <t>b (m)</t>
  </si>
  <si>
    <t>Tubing Type</t>
  </si>
  <si>
    <t>Round</t>
  </si>
  <si>
    <t>NA</t>
  </si>
  <si>
    <t>h (m)</t>
  </si>
  <si>
    <t>Material name /grade</t>
  </si>
  <si>
    <t>Youngs Modulus, E</t>
  </si>
  <si>
    <r>
      <t>A</t>
    </r>
    <r>
      <rPr>
        <vertAlign val="subscript"/>
        <sz val="10"/>
        <rFont val="Arial"/>
        <family val="2"/>
      </rPr>
      <t>1</t>
    </r>
    <r>
      <rPr>
        <sz val="10"/>
        <rFont val="Arial"/>
        <family val="2"/>
      </rPr>
      <t xml:space="preserve"> (m^2)</t>
    </r>
  </si>
  <si>
    <r>
      <t>I</t>
    </r>
    <r>
      <rPr>
        <vertAlign val="subscript"/>
        <sz val="10"/>
        <rFont val="Arial"/>
        <family val="2"/>
      </rPr>
      <t xml:space="preserve">1 </t>
    </r>
    <r>
      <rPr>
        <sz val="10"/>
        <rFont val="Arial"/>
        <family val="2"/>
      </rPr>
      <t>(m^4)</t>
    </r>
  </si>
  <si>
    <t>Yield strength, Pa</t>
  </si>
  <si>
    <r>
      <t>A</t>
    </r>
    <r>
      <rPr>
        <vertAlign val="subscript"/>
        <sz val="10"/>
        <rFont val="Arial"/>
        <family val="2"/>
      </rPr>
      <t>2</t>
    </r>
    <r>
      <rPr>
        <sz val="10"/>
        <rFont val="Arial"/>
        <family val="2"/>
      </rPr>
      <t xml:space="preserve"> (m^2)</t>
    </r>
  </si>
  <si>
    <r>
      <t>I</t>
    </r>
    <r>
      <rPr>
        <vertAlign val="subscript"/>
        <sz val="10"/>
        <rFont val="Arial"/>
        <family val="2"/>
      </rPr>
      <t xml:space="preserve">2 </t>
    </r>
    <r>
      <rPr>
        <sz val="10"/>
        <rFont val="Arial"/>
        <family val="2"/>
      </rPr>
      <t>(m^4)</t>
    </r>
  </si>
  <si>
    <t>UTS, Pa</t>
  </si>
  <si>
    <r>
      <t>y</t>
    </r>
    <r>
      <rPr>
        <vertAlign val="subscript"/>
        <sz val="10"/>
        <rFont val="Arial"/>
        <family val="2"/>
      </rPr>
      <t>1</t>
    </r>
    <r>
      <rPr>
        <sz val="10"/>
        <rFont val="Arial"/>
        <family val="2"/>
      </rPr>
      <t xml:space="preserve"> (m)</t>
    </r>
  </si>
  <si>
    <r>
      <t>Ic</t>
    </r>
    <r>
      <rPr>
        <vertAlign val="subscript"/>
        <sz val="10"/>
        <rFont val="Arial"/>
        <family val="2"/>
      </rPr>
      <t>1</t>
    </r>
    <r>
      <rPr>
        <sz val="10"/>
        <rFont val="Arial"/>
        <family val="2"/>
      </rPr>
      <t xml:space="preserve"> (m^4)</t>
    </r>
  </si>
  <si>
    <t>Yield strength, welded, Pa</t>
  </si>
  <si>
    <r>
      <t>y</t>
    </r>
    <r>
      <rPr>
        <vertAlign val="subscript"/>
        <sz val="10"/>
        <rFont val="Arial"/>
        <family val="2"/>
      </rPr>
      <t xml:space="preserve">2 </t>
    </r>
    <r>
      <rPr>
        <sz val="10"/>
        <rFont val="Arial"/>
        <family val="2"/>
      </rPr>
      <t>(m)</t>
    </r>
  </si>
  <si>
    <r>
      <t>Ic</t>
    </r>
    <r>
      <rPr>
        <vertAlign val="subscript"/>
        <sz val="10"/>
        <rFont val="Arial"/>
        <family val="2"/>
      </rPr>
      <t>2</t>
    </r>
    <r>
      <rPr>
        <sz val="10"/>
        <rFont val="Arial"/>
        <family val="2"/>
      </rPr>
      <t xml:space="preserve"> (m^4)</t>
    </r>
  </si>
  <si>
    <t>UTS welded, Pa</t>
  </si>
  <si>
    <t>Centroid (m)</t>
  </si>
  <si>
    <r>
      <t>Ic</t>
    </r>
    <r>
      <rPr>
        <vertAlign val="subscript"/>
        <sz val="10"/>
        <rFont val="Arial"/>
        <family val="2"/>
      </rPr>
      <t>12</t>
    </r>
    <r>
      <rPr>
        <sz val="10"/>
        <rFont val="Arial"/>
        <family val="2"/>
      </rPr>
      <t xml:space="preserve"> (m^4)</t>
    </r>
  </si>
  <si>
    <t>Number of tubes</t>
  </si>
  <si>
    <t>Tube OD, mm</t>
  </si>
  <si>
    <t>Wall, mm</t>
  </si>
  <si>
    <t>Baseline design?</t>
  </si>
  <si>
    <t>Thickness of panel, mm</t>
  </si>
  <si>
    <t>Thickness of core, mm</t>
  </si>
  <si>
    <t>Thickness of inner skin, mm</t>
  </si>
  <si>
    <t>Thickness of outer skin, mm</t>
  </si>
  <si>
    <t>Panel height,mm</t>
  </si>
  <si>
    <t>OD, m</t>
  </si>
  <si>
    <t>Wall, m</t>
  </si>
  <si>
    <t>I, m^4</t>
  </si>
  <si>
    <t>EI</t>
  </si>
  <si>
    <t>Area, mm^2</t>
  </si>
  <si>
    <t>Yield tensile strength, N</t>
  </si>
  <si>
    <t>UTS, N</t>
  </si>
  <si>
    <t>Yield tensile strength, N as welded</t>
  </si>
  <si>
    <t>UTS, N as welded</t>
  </si>
  <si>
    <t>Max load at mid span to give UTS for 1m long tube, N</t>
  </si>
  <si>
    <t>Max deflection at baseline load for 1m long tube, m</t>
  </si>
  <si>
    <t>Energy absorbed up to UTS, J</t>
  </si>
  <si>
    <t>CAD Screenshots / Images proving all panel dimensions and any additional proof must be appended below</t>
  </si>
  <si>
    <t xml:space="preserve">Alternative designs as per side/rear and floor division similarly to TAB T3.15 T3.5 SIS are allowed. Copy the 'T3.15 T3.5 SIS' TAB and rename accordingly. </t>
  </si>
  <si>
    <t>Include and clearly mark your design in the space below:</t>
  </si>
  <si>
    <t>Alternative Material Proof of Equivalency</t>
  </si>
  <si>
    <t>Baseline Floor</t>
  </si>
  <si>
    <t>Your Floor</t>
  </si>
  <si>
    <t>Baseline Ext. Wall</t>
  </si>
  <si>
    <t>Your Ext. Wall</t>
  </si>
  <si>
    <t>Baseline Int. Wall</t>
  </si>
  <si>
    <t>Your Int. Walls</t>
  </si>
  <si>
    <t>Baseline Cover</t>
  </si>
  <si>
    <t>Your Cover</t>
  </si>
  <si>
    <t>Your Ext. Walls</t>
  </si>
  <si>
    <t>UTS shear, Pa</t>
  </si>
  <si>
    <t>Panel height/width,mm</t>
  </si>
  <si>
    <t>Safety Factors</t>
  </si>
  <si>
    <t>Bending Strength</t>
  </si>
  <si>
    <t>Flexural Rigidity</t>
  </si>
  <si>
    <t>Shear</t>
  </si>
  <si>
    <t>Paste images of test setup here</t>
  </si>
  <si>
    <t>All test specimens must be presented at Tech. Inspection</t>
  </si>
  <si>
    <t>Please note the changed rules: T3.5.1 &amp; T3.5.4 wrt. identifiable pictures!</t>
  </si>
  <si>
    <r>
      <t>Figure 1: Test setup - Laminate Panel [</t>
    </r>
    <r>
      <rPr>
        <sz val="10"/>
        <color indexed="10"/>
        <rFont val="Verdana"/>
        <family val="2"/>
      </rPr>
      <t>Your Structure</t>
    </r>
    <r>
      <rPr>
        <sz val="10"/>
        <rFont val="Verdana"/>
        <family val="2"/>
      </rPr>
      <t>]</t>
    </r>
  </si>
  <si>
    <t>Figure 3: Test setup - Steel tube(s)</t>
  </si>
  <si>
    <t>Paste load deflection curve here</t>
  </si>
  <si>
    <t>Logged data must be appended in the section below</t>
  </si>
  <si>
    <t>Please note the change rule T3.5.3 wrt. a.o. only thicker cores may be tested!</t>
  </si>
  <si>
    <t>Add your stiffness gradient to your load deflection curve, and include markers</t>
  </si>
  <si>
    <t>for the two data points taken!</t>
  </si>
  <si>
    <t>Figure 2: Load Deflection Curve</t>
  </si>
  <si>
    <t>Figure 4: Load Deflection Curve - Steel Tube(s)</t>
  </si>
  <si>
    <t>Enter values for minimum and maximum load/deflection in linear-elastic region</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</si>
  <si>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</si>
  <si>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</si>
  <si>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t>Gradient (N/mm)</t>
  </si>
  <si>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</si>
  <si>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</si>
  <si>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t>Enter value for force at panel failure or maximum tested force</t>
  </si>
  <si>
    <t>Enter details of tube(s) tested</t>
  </si>
  <si>
    <r>
      <t>y</t>
    </r>
    <r>
      <rPr>
        <vertAlign val="subscript"/>
        <sz val="10"/>
        <rFont val="Verdana"/>
        <family val="2"/>
      </rPr>
      <t>max</t>
    </r>
    <r>
      <rPr>
        <sz val="10"/>
        <rFont val="Verdana"/>
        <family val="2"/>
      </rPr>
      <t xml:space="preserve"> (N)</t>
    </r>
  </si>
  <si>
    <t>l (mm)</t>
  </si>
  <si>
    <t>Tube Support Span</t>
  </si>
  <si>
    <r>
      <t>Theoretical EI (N.mm</t>
    </r>
    <r>
      <rPr>
        <vertAlign val="superscript"/>
        <sz val="10"/>
        <rFont val="Verdana"/>
        <family val="2"/>
      </rPr>
      <t>2</t>
    </r>
    <r>
      <rPr>
        <sz val="10"/>
        <rFont val="Verdana"/>
        <family val="2"/>
      </rPr>
      <t>)</t>
    </r>
  </si>
  <si>
    <t>n</t>
  </si>
  <si>
    <t>Number of Tubes</t>
  </si>
  <si>
    <r>
      <t>Tested EI (N.mm</t>
    </r>
    <r>
      <rPr>
        <vertAlign val="superscript"/>
        <sz val="10"/>
        <rFont val="Verdana"/>
        <family val="2"/>
      </rPr>
      <t>2</t>
    </r>
    <r>
      <rPr>
        <sz val="10"/>
        <rFont val="Verdana"/>
        <family val="2"/>
      </rPr>
      <t>)</t>
    </r>
  </si>
  <si>
    <t>Enter details of test setup, panel core and skin thicknesses below</t>
  </si>
  <si>
    <r>
      <t>D</t>
    </r>
    <r>
      <rPr>
        <vertAlign val="subscript"/>
        <sz val="10"/>
        <rFont val="Verdana"/>
        <family val="2"/>
      </rPr>
      <t>o</t>
    </r>
    <r>
      <rPr>
        <sz val="10"/>
        <rFont val="Verdana"/>
        <family val="2"/>
      </rPr>
      <t xml:space="preserve"> (mm)</t>
    </r>
  </si>
  <si>
    <t>Tube Outer Diameter</t>
  </si>
  <si>
    <t>Rig Compliance (N/mm)</t>
  </si>
  <si>
    <t>Panel Support Span</t>
  </si>
  <si>
    <r>
      <t>D</t>
    </r>
    <r>
      <rPr>
        <vertAlign val="subscript"/>
        <sz val="10"/>
        <rFont val="Verdana"/>
        <family val="2"/>
      </rPr>
      <t>i</t>
    </r>
    <r>
      <rPr>
        <sz val="10"/>
        <rFont val="Verdana"/>
        <family val="2"/>
      </rPr>
      <t xml:space="preserve"> (mm)</t>
    </r>
  </si>
  <si>
    <t>Tube Inner Diameter</t>
  </si>
  <si>
    <t>h (mm)</t>
  </si>
  <si>
    <t>b (mm)</t>
  </si>
  <si>
    <t>Core Thickness</t>
  </si>
  <si>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</si>
  <si>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</si>
  <si>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</si>
  <si>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Second moment of area</t>
  </si>
  <si>
    <t>E (GPa)</t>
  </si>
  <si>
    <t>Skin modulus of elasticity</t>
  </si>
  <si>
    <r>
      <t>σ</t>
    </r>
    <r>
      <rPr>
        <vertAlign val="subscript"/>
        <sz val="8"/>
        <rFont val="Verdana"/>
        <family val="2"/>
      </rPr>
      <t>UTS</t>
    </r>
    <r>
      <rPr>
        <sz val="10"/>
        <rFont val="Verdana"/>
        <family val="2"/>
      </rPr>
      <t>(MPa)</t>
    </r>
  </si>
  <si>
    <t>UTS of skins</t>
  </si>
  <si>
    <t>tx (mm)</t>
  </si>
  <si>
    <t>Thickness for fire resistance rating in data sheet (FAR: Use laminate thickness)</t>
  </si>
  <si>
    <t>Paste in logged data from test below (no pictures of data):</t>
  </si>
  <si>
    <r>
      <t xml:space="preserve">The given units are mandatory. </t>
    </r>
    <r>
      <rPr>
        <b/>
        <sz val="10"/>
        <rFont val="Verdana"/>
        <family val="2"/>
      </rPr>
      <t>Paste as values with correct decimal separator.</t>
    </r>
  </si>
  <si>
    <t>If there are more than 300 datapoints, you must resample the data at a lower frequency.</t>
  </si>
  <si>
    <t>F 
(kN)</t>
  </si>
  <si>
    <t>s (mm)</t>
  </si>
  <si>
    <t>Picture of measured testpiece thickness</t>
  </si>
  <si>
    <t>Paste image of measured testpieve between an accurate measuring device,</t>
  </si>
  <si>
    <t>with clearly redable measurment</t>
  </si>
  <si>
    <r>
      <t>Figure 1: Test setup - Laminate Panel [</t>
    </r>
    <r>
      <rPr>
        <sz val="10"/>
        <color indexed="10"/>
        <rFont val="Verdana"/>
        <family val="2"/>
      </rPr>
      <t>Floor</t>
    </r>
    <r>
      <rPr>
        <sz val="10"/>
        <rFont val="Verdana"/>
        <family val="2"/>
      </rPr>
      <t>]</t>
    </r>
  </si>
  <si>
    <r>
      <t>Figure 1: Test setup - Laminate Panel [</t>
    </r>
    <r>
      <rPr>
        <sz val="10"/>
        <color indexed="10"/>
        <rFont val="Verdana"/>
        <family val="2"/>
      </rPr>
      <t>External Walls</t>
    </r>
    <r>
      <rPr>
        <sz val="10"/>
        <rFont val="Verdana"/>
        <family val="2"/>
      </rPr>
      <t>]</t>
    </r>
  </si>
  <si>
    <r>
      <t>Figure 1: Test setup - Laminate Panel [</t>
    </r>
    <r>
      <rPr>
        <sz val="10"/>
        <color rgb="FFFF0000"/>
        <rFont val="Verdana"/>
        <family val="2"/>
      </rPr>
      <t>Internal Walls</t>
    </r>
    <r>
      <rPr>
        <sz val="10"/>
        <rFont val="Verdana"/>
        <family val="2"/>
      </rPr>
      <t>]</t>
    </r>
  </si>
  <si>
    <r>
      <t>Figure 1: Test setup - Laminate Panel [</t>
    </r>
    <r>
      <rPr>
        <sz val="10"/>
        <color indexed="10"/>
        <rFont val="Verdana"/>
        <family val="2"/>
      </rPr>
      <t>Cover</t>
    </r>
    <r>
      <rPr>
        <sz val="10"/>
        <rFont val="Verdana"/>
        <family val="2"/>
      </rPr>
      <t>]</t>
    </r>
  </si>
  <si>
    <t>Enter values for force at first and second peak (see guidance notes)</t>
  </si>
  <si>
    <t>(N)</t>
  </si>
  <si>
    <t>(Determines Shear Strength)</t>
  </si>
  <si>
    <t>Higher Peak (N)</t>
  </si>
  <si>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</si>
  <si>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</si>
  <si>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</si>
  <si>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Link to GUIDANCE NOTES</t>
  </si>
  <si>
    <t>Fiber Composite Materials</t>
  </si>
  <si>
    <t>Plastic, Metal &amp; Others</t>
  </si>
  <si>
    <t>Glue</t>
  </si>
  <si>
    <t>Shear strength at 60° [MPa]</t>
  </si>
  <si>
    <t>Twill 22x</t>
  </si>
  <si>
    <t>Your Material 2</t>
  </si>
  <si>
    <t>Your Material 3</t>
  </si>
  <si>
    <t>Your Material 4</t>
  </si>
  <si>
    <t>Your Material 5</t>
  </si>
  <si>
    <t>Your Material 6</t>
  </si>
  <si>
    <t>Your Material 7</t>
  </si>
  <si>
    <t>Your Material 8</t>
  </si>
  <si>
    <t>Carbon Fiber</t>
  </si>
  <si>
    <t>mechanical properties shown?</t>
  </si>
  <si>
    <t>Data Sheet</t>
  </si>
  <si>
    <t>Your Material 1</t>
  </si>
  <si>
    <t>Shear strength at 60°  [MPa]</t>
  </si>
  <si>
    <t>Any non-metallic materials used that are not continuous fiber reinforced laminates?</t>
  </si>
  <si>
    <t xml:space="preserve">Please use this tab to prove that your cell mounting (within segment and attachment to </t>
  </si>
  <si>
    <t>Any bonded joints?</t>
  </si>
  <si>
    <t>Vehicle coordinate system according to ISO 8855-2011.</t>
  </si>
  <si>
    <t>Direction X</t>
  </si>
  <si>
    <t>Direction Y</t>
  </si>
  <si>
    <t>Direction Z</t>
  </si>
  <si>
    <t>surface(s) only.</t>
  </si>
  <si>
    <t>If other, specify:</t>
  </si>
  <si>
    <t>Large surface means only the surface shown in the picture on the right.</t>
  </si>
  <si>
    <t>This may be done by friction or adhesive.</t>
  </si>
  <si>
    <t>The other surfaces of the cell must not carry any major load. However,</t>
  </si>
  <si>
    <t>touching other surfaces for packaging reasons is acceptable.</t>
  </si>
  <si>
    <t>2. Each used surface must be fixed on at least 80 %.</t>
  </si>
  <si>
    <t>80 % is the absolute minimum surface to be used. If possible, use more</t>
  </si>
  <si>
    <t>to distribute the force more evenly and improve safety.</t>
  </si>
  <si>
    <t>press into the pouch.</t>
  </si>
  <si>
    <t xml:space="preserve">Absolutely no mechanical load is permitted on the cell tabs. Busbars, </t>
  </si>
  <si>
    <t xml:space="preserve">PCB and/or other parts that are connected with the cell tabs must have </t>
  </si>
  <si>
    <t>a separate mounting from the cell tabs.</t>
  </si>
  <si>
    <t>Show all fasteners, regardless if they have to follow (parts of) T10 or not.</t>
  </si>
  <si>
    <t>Summarize the fasteners in appropriate groups (e.g. same size/application).</t>
  </si>
  <si>
    <t>Used for structural parts?</t>
  </si>
  <si>
    <t>Positive Locking mechanism</t>
  </si>
  <si>
    <t>Show (CAD) pictures of the fasteners and complementary explanations if necessary.</t>
  </si>
  <si>
    <t>Images must include dimensions/labels indicating the following:</t>
  </si>
  <si>
    <t>Total cutout area must be below 25 % of the area of the respective single wall.</t>
  </si>
  <si>
    <t>External openings in the TSAC or mounted ducts must not point toward the driver.</t>
  </si>
  <si>
    <t>Please use this sheet to include additional information required for your proof of equivalency that isn't covered by the standard forms e.g. material receipts. This tab may be copied if one page isn't sufficient.</t>
  </si>
  <si>
    <t>PERIMETER SHEAR TEST GUIDANCE NOTES</t>
  </si>
  <si>
    <t>When entering peak loads please ensure they are in accordance with the image below:</t>
  </si>
  <si>
    <t>Note: Make sure to include BOTH peaks. Also, in case of assymetrical laminates.</t>
  </si>
  <si>
    <t>Note: If the first peak is higher than the second then it can be used for the punch through</t>
  </si>
  <si>
    <t>strength requirement.</t>
  </si>
  <si>
    <t>BACK</t>
  </si>
  <si>
    <t xml:space="preserve"> ACCUMULATOR MATERIALS GUIDANCE NOTES</t>
  </si>
  <si>
    <t>Materials except metallic and continuous fiber-reinforced laminates</t>
  </si>
  <si>
    <t>Mechanical properties must be valid for ≥ 60 °C !</t>
  </si>
  <si>
    <t>1. Values from Datasheet</t>
  </si>
  <si>
    <t>- Must explicitly show mechanical properties at or above 60 °C.</t>
  </si>
  <si>
    <t>2. Values from own tests</t>
  </si>
  <si>
    <t>- Test procedure shows mechanical properties ≥ 60 °C.</t>
  </si>
  <si>
    <t>- Must be well documented (report, pictures).</t>
  </si>
  <si>
    <t>3. Scientific justification</t>
  </si>
  <si>
    <t>- Least favourable.</t>
  </si>
  <si>
    <t>- Generous knock-down factor applied to ambient temperature values.</t>
  </si>
  <si>
    <t>- Backed up by known behavior of the explicit material, must be explained scientifically.</t>
  </si>
  <si>
    <t>TSAC, STACK AND CELL FIXATION GUIDANCE NOTES</t>
  </si>
  <si>
    <t>All mentioned parts and assembly mentioned in EV5.5.8, as well as the interface between</t>
  </si>
  <si>
    <t>must withstand the mentioned accelerations.</t>
  </si>
  <si>
    <t>This must be shown for every part/interface and every direction (x, y, z) in the respective</t>
  </si>
  <si>
    <t>Please note:</t>
  </si>
  <si>
    <t xml:space="preserve">Showing some flashy and colourfull FEM images without legends, full model description or </t>
  </si>
  <si>
    <t>unreadable numbers, no information on meshing etc. result in a "FAIL" directly.</t>
  </si>
  <si>
    <t>CELL FIXATION GUIDANCE NOTES</t>
  </si>
  <si>
    <t xml:space="preserve">Pouch cells must be fixed using one or both of the large </t>
  </si>
  <si>
    <t>Each used surface must be fixed on at least 80 %.</t>
  </si>
  <si>
    <t xml:space="preserve">Tabs of pouch cells must not carry mechanical loads and must not </t>
  </si>
  <si>
    <t>FRICTION-BASED CELL FIXATION GUIDANCE NOTES</t>
  </si>
  <si>
    <t>For friction based cell fixation, i.e. using a preload force to clamp the cells, testing is</t>
  </si>
  <si>
    <t>required to determine the coefficient of friction between the cells and the material</t>
  </si>
  <si>
    <t>they are attached to.</t>
  </si>
  <si>
    <t>A suggestion for a test setup is shown below.</t>
  </si>
  <si>
    <t>Cell or mockup</t>
  </si>
  <si>
    <t xml:space="preserve">For the test, you can use a an actual cell (respecting all necessary safety measures) </t>
  </si>
  <si>
    <t>or a representative cell mockup.</t>
  </si>
  <si>
    <t>If a mockup is used, it must have respresentative size (area of friction), surface condition,</t>
  </si>
  <si>
    <t>and stiffness as the actual cell. Pouch cell foil may be available at the manufacturer.</t>
  </si>
  <si>
    <t>Testing Pressure</t>
  </si>
  <si>
    <t>The coefficient of friction may be non-linear towards the application pressure. This</t>
  </si>
  <si>
    <t>must be respected in the testing and calculation.</t>
  </si>
  <si>
    <t>However, the actual pressure in the stack may be inappropriate/too high for the test.</t>
  </si>
  <si>
    <t xml:space="preserve">Conduct tests with different testing pressure values and then extrapolate in the </t>
  </si>
  <si>
    <t>calculation to your real application pressure.</t>
  </si>
  <si>
    <t>Testing procedure and documentation</t>
  </si>
  <si>
    <t>For each testing pressure, also conduct multiple tests to exclude random influences.</t>
  </si>
  <si>
    <t>Show pictures of and describe your test setup. Briefly summarize your test and</t>
  </si>
  <si>
    <t>argue, which coefficient of friction was chosen.</t>
  </si>
  <si>
    <t>ACCUMULATOR CONTAINER ATTACHMENT GUIDANCE NOTES</t>
  </si>
  <si>
    <t>!</t>
  </si>
  <si>
    <t>Tab</t>
  </si>
  <si>
    <t>Alt. Matls Summary</t>
  </si>
  <si>
    <t>Fire rating shown?</t>
  </si>
  <si>
    <t>Highlight the releveant areas for fire rating, mechanical properties (@ 60 °C if applicable).</t>
  </si>
  <si>
    <t>Accumulator Pics</t>
  </si>
  <si>
    <t>Materials Overview</t>
  </si>
  <si>
    <t>EV5.5.6/8</t>
  </si>
  <si>
    <t>EV5.5.4/5</t>
  </si>
  <si>
    <t>External openings in the TSAC or mounted ducts must not point toward the handcart operator.</t>
  </si>
  <si>
    <t>Segment 1</t>
  </si>
  <si>
    <t>Segment 2</t>
  </si>
  <si>
    <t>Segment 3</t>
  </si>
  <si>
    <t>Segment 4</t>
  </si>
  <si>
    <t>Segment 5</t>
  </si>
  <si>
    <t>Mass
kg</t>
  </si>
  <si>
    <t>Voltage
V</t>
  </si>
  <si>
    <t>Segment 6</t>
  </si>
  <si>
    <t>Segment 7</t>
  </si>
  <si>
    <t>Segment 8</t>
  </si>
  <si>
    <t>Holes, both internal and external, in the TSAC, are only allowed for the wiring harness, ventilation, cooling, or fasteners.</t>
  </si>
  <si>
    <t>EV5.5.7/14-18, EV5.4.6</t>
  </si>
  <si>
    <t>ASES tab.</t>
  </si>
  <si>
    <t xml:space="preserve">For a quick review and pass, use the structure in the respective tab. This will help the </t>
  </si>
  <si>
    <t>reviewer to quickly understand your design and calculations.</t>
  </si>
  <si>
    <t>Analytical calculations always required, FEM can be supportive</t>
  </si>
  <si>
    <t>Analytical calculations must at least be used to verify the FEM calculations.</t>
  </si>
  <si>
    <t>Insert pictures of your cell fastening methode showing the force path.</t>
  </si>
  <si>
    <t xml:space="preserve">In case of friction based concept, please add test procedure and results. </t>
  </si>
  <si>
    <t>Add at least following items for the test (also see Guidance Notes):</t>
  </si>
  <si>
    <t>Guidance notes: Pouch cell fixation</t>
  </si>
  <si>
    <t>Guidance notes: Friction based cell fixation</t>
  </si>
  <si>
    <t>- Test procedure description and link to execution video.</t>
  </si>
  <si>
    <t>1. Pouch cells must be fixed using one or both of the large surface(s) only.</t>
  </si>
  <si>
    <t xml:space="preserve">3. Tabs of pouch cells must not carry mechanical loads and must not </t>
  </si>
  <si>
    <t>Insert pictures of fixation concept. Please show at least the following points:</t>
  </si>
  <si>
    <t>ASES - DIFFERENT LAYUP RIG COMPLIANCE TEST RESULTS (OPTIONAL)</t>
  </si>
  <si>
    <t xml:space="preserve">Paste image of sideview of accumulator in chassis, with the height clearly marked </t>
  </si>
  <si>
    <t>of the accumulator protection</t>
  </si>
  <si>
    <t>Additional Pictures</t>
  </si>
  <si>
    <t>FS Accumulator Structural Equivalency Spreadsheet Guide</t>
  </si>
  <si>
    <t>The ASES template has been created to simplify the process of proving structural equivalency of the Tractive System Accumulator (TSAC).</t>
  </si>
  <si>
    <t xml:space="preserve">As downloaded, the spreadsheet assumes a baseline steel/aluminium TSAC design. The majority of the cells in the spreadsheet are locked, you can only edit the cells shaded yellow. </t>
  </si>
  <si>
    <t>Teams are not permitted to rename the name of the TAB or to delete any TAB.</t>
  </si>
  <si>
    <r>
      <t xml:space="preserve">The proof may be required, depending on the accumulator concept, to show equivalency. </t>
    </r>
    <r>
      <rPr>
        <b/>
        <sz val="10"/>
        <rFont val="Arial"/>
        <family val="2"/>
      </rPr>
      <t>If so, it must be included.</t>
    </r>
  </si>
  <si>
    <t>"Accumulator Structural Equivalency Spreadsheet Guide"</t>
  </si>
  <si>
    <t>in the Read_Me tab of the ASES Workbook.</t>
  </si>
  <si>
    <r>
      <t xml:space="preserve">Please attach pictures of your accumulator in the table below for review during the ASES process. 
</t>
    </r>
    <r>
      <rPr>
        <b/>
        <sz val="10"/>
        <color rgb="FF000000"/>
        <rFont val="Arial"/>
      </rPr>
      <t>All walls/panels/lay-ups must be colour coded to show different walls</t>
    </r>
    <r>
      <rPr>
        <sz val="10"/>
        <color rgb="FF000000"/>
        <rFont val="Arial"/>
      </rPr>
      <t>. Three view drawings and isometric views of the structure (CAD, FEA models, etc) are acceptable.</t>
    </r>
  </si>
  <si>
    <t>Any pictures (e.g. full view, sections) that might be in interest of the reviewer/scrutineer.</t>
  </si>
  <si>
    <t>Alt. Matl - 3pt Bending</t>
  </si>
  <si>
    <t>Alt. Matl - Shear</t>
  </si>
  <si>
    <t>Datasheets Fiber</t>
  </si>
  <si>
    <t>Datasheets Glue</t>
  </si>
  <si>
    <t>EV5.5.3/4</t>
  </si>
  <si>
    <t>Analytical calculations always preferred</t>
  </si>
  <si>
    <t>Showing some flashy and colourful FEM images without legends, full model description or lettertypes are unreadable, nothing given about the meshing etc. result in a "FAIL" directly.</t>
  </si>
  <si>
    <t>Material name</t>
  </si>
  <si>
    <t>Fulfills T1.2.1</t>
  </si>
  <si>
    <t>Mechanical properties at 60° shown?</t>
  </si>
  <si>
    <t xml:space="preserve">Mechanical properties shown </t>
  </si>
  <si>
    <t>Link to guidance notes</t>
  </si>
  <si>
    <t>Segment 9</t>
  </si>
  <si>
    <t>Segment 10</t>
  </si>
  <si>
    <t>Segment 11</t>
  </si>
  <si>
    <t>Segment 12</t>
  </si>
  <si>
    <t>Segment 13</t>
  </si>
  <si>
    <t>Segment 14</t>
  </si>
  <si>
    <t>Segment 15</t>
  </si>
  <si>
    <t>Segment 16</t>
  </si>
  <si>
    <t>Energy
MJ</t>
  </si>
  <si>
    <t>Separation shown?</t>
  </si>
  <si>
    <t>Highlight the releveant areas for fire rating, mechanical properties.</t>
  </si>
  <si>
    <t>This chart below is for laminated structures of the Accumulator!</t>
  </si>
  <si>
    <t>This chart below is for metalic structures of the Accumulator!</t>
  </si>
  <si>
    <t>Insert image of relevant datasheet pages (name of material must be visible on the pages).</t>
  </si>
  <si>
    <t>In case of shared datasheets of more materials please highlight the used material.</t>
  </si>
  <si>
    <t>Mechanical properties shown?</t>
  </si>
  <si>
    <t xml:space="preserve">The chassis-side part of the attachment is not within the scope of this sheet. However, </t>
  </si>
  <si>
    <t>it shall be shown for context.</t>
  </si>
  <si>
    <t>Fixation method</t>
  </si>
  <si>
    <t>Cell type</t>
  </si>
  <si>
    <t>Insert necessary calculations (e.g. of the bonding or friction connection).</t>
  </si>
  <si>
    <t>- Pictures of test setup.</t>
  </si>
  <si>
    <t>External holes must be sealed according to EV4.5.</t>
  </si>
  <si>
    <t>Is ventilation of explosive gases or a pressure relief valve required? If yes, then provide relevant description of the system.</t>
  </si>
  <si>
    <t>AIRs and main fuse must be separated (T1.2.1) from the TS accumulator.</t>
  </si>
  <si>
    <t>In general 3 possibilities to show compliance:</t>
  </si>
  <si>
    <t>- Glass transition/vicat temperature alone is not sufficient.</t>
  </si>
  <si>
    <t>If you find a new problem with the ASES template or require a clarification 72 hours or less before the ASES submission deadline please include your own proof of equivalency in the "Additional Info" tab and additionally submit a rules question.</t>
  </si>
  <si>
    <t>Cell height (h) / mm</t>
  </si>
  <si>
    <t>Cell width (w) / mm</t>
  </si>
  <si>
    <t>Cell mass / g</t>
  </si>
  <si>
    <t>Cell surface nominal / mm²</t>
  </si>
  <si>
    <t>Cell surface according EV 5.5.10 / mm²</t>
  </si>
  <si>
    <t>is limited.</t>
  </si>
  <si>
    <t>The number of cells in series can be determined based on the following explanation:</t>
  </si>
  <si>
    <t>If cells are supported on both sides, i.e. between</t>
  </si>
  <si>
    <t xml:space="preserve">supports, the number of cells mechanically in </t>
  </si>
  <si>
    <t>series is the number of cells between the supports</t>
  </si>
  <si>
    <t>divided by 2.</t>
  </si>
  <si>
    <t>(Left image)</t>
  </si>
  <si>
    <t>If cells are supported from one side only, the</t>
  </si>
  <si>
    <t>overall number of cells attached to that support</t>
  </si>
  <si>
    <t>shall be considered the cells mechanically in series.</t>
  </si>
  <si>
    <t>(Right image)</t>
  </si>
  <si>
    <t>Max. number of cells between support (n)</t>
  </si>
  <si>
    <t>Pouch</t>
  </si>
  <si>
    <t>Compression force for friction based fixation (N)</t>
  </si>
  <si>
    <t>Shear Stress on most critical cell / MPa</t>
  </si>
  <si>
    <t>Compression stress / MPa</t>
  </si>
  <si>
    <t>Friction coefficent by testing</t>
  </si>
  <si>
    <t>Friction force / N</t>
  </si>
  <si>
    <t>Friction based fixation according to EV5.5.8?</t>
  </si>
  <si>
    <t>Friction based</t>
  </si>
  <si>
    <t>Cell fixation according to EV5.5.10?</t>
  </si>
  <si>
    <t>Electrically conductive &amp; inside TSAC?</t>
  </si>
  <si>
    <t>First release for 2026 rules</t>
  </si>
  <si>
    <t>This form must be completed and submitted by all teams no later than the date specified in the action deadlines in the Event Handbook. The technical committee will review all submissions which deviate from the FS rules and reply with a decision about the requested deviation. All requests will have a confirmation of receipt sent to the team. The ASES must be submitted electronically in Microsoft Excel Format (*.xlsx). Please submit as described in the action deadlines for each event.</t>
  </si>
  <si>
    <t>In the event that the FS technical committee requests additional information or calculations, teams must submit the requested information within the deadline specified by the respective competition.</t>
  </si>
  <si>
    <t>The final decision about all designs will be made at technical inspection. Approval of an ASES does not guarantee passing Tech. Inspection nor a fully rules compliant accumulator!</t>
  </si>
  <si>
    <t>- TAB EV5.5.14-18 Openings&amp;Separation: Allowed N/A for some cases and removed</t>
  </si>
  <si>
    <t>redundant check.</t>
  </si>
  <si>
    <t>Any ducts outside of the TSAC and their mountings are fire retardant.</t>
  </si>
  <si>
    <t>Compressible materials (e. g. PCBs) in cell tab fixation stack-up?</t>
  </si>
  <si>
    <t>Material</t>
  </si>
  <si>
    <t>Cover Thickness / mm</t>
  </si>
  <si>
    <t>- TAB Datasheets Other Matl: Added cells for properties at 60 °C</t>
  </si>
  <si>
    <t>- TAB Materials Overview: Added cells for properties at 60 °C for Other Materials</t>
  </si>
  <si>
    <t>- TAB Materials Overview: Fixed formula error</t>
  </si>
  <si>
    <t>- TAB EV5.5.10-12 Cell Fixation: Updated name and sheet due to new rules.</t>
  </si>
  <si>
    <t>- TAB Accumulator Pics: Removed name before "Material" for correction.</t>
  </si>
  <si>
    <t xml:space="preserve">Insert values above for the calculation of maximal forces of fixation concept. </t>
  </si>
  <si>
    <t>EV5.5.3-7</t>
  </si>
  <si>
    <t>Please use this tab to prove that your fasteners are compliant with EV5.5.13.</t>
  </si>
  <si>
    <t>Please use this tab to prove that your TSAC attachments are compliant with EV 5.5.9.</t>
  </si>
  <si>
    <t>Please use this tab to prove that your TSAC is compliant with EV 5.5.9.</t>
  </si>
  <si>
    <t>TSAC) is compliant with EV 5.5.9.</t>
  </si>
  <si>
    <t>EV5.5.9 Segment</t>
  </si>
  <si>
    <t>EV5.5.9 TSAC</t>
  </si>
  <si>
    <t>EV5.5.9 TSAC attachment</t>
  </si>
  <si>
    <t>EV5.5.10-12 Cell Fixation</t>
  </si>
  <si>
    <t>EV5.5.13 Fasteners</t>
  </si>
  <si>
    <t>EV5.5.14-17 Openings&amp;Separation</t>
  </si>
  <si>
    <t>EV5.5.10-12, EV4.5.12</t>
  </si>
  <si>
    <t>EV5.5.13, T10</t>
  </si>
  <si>
    <t xml:space="preserve"> ASES - EV5.5.5 LAMINATE TEST RESULTS - FLOOR</t>
  </si>
  <si>
    <t xml:space="preserve"> ASES - EV5.5.5 LAMINATE TEST RESULTS - EXT. WALLS</t>
  </si>
  <si>
    <t xml:space="preserve"> ASES - EV5.5.5 LAMINATE TEST RESULTS - INT. WALLS</t>
  </si>
  <si>
    <t xml:space="preserve"> ASES - EV5.5.5 LAMINATE TEST RESULTS - COVER</t>
  </si>
  <si>
    <t xml:space="preserve"> ASES - EV5.5.5 SHEAR TEST RESULTS - FLOOR</t>
  </si>
  <si>
    <t xml:space="preserve"> ASES - EV5.5.5 SHEAR TEST RESULTS - EXT WALLS</t>
  </si>
  <si>
    <t xml:space="preserve"> ASES - EV5.5.5 SHEAR TEST RESULTS - INT WALLS</t>
  </si>
  <si>
    <t>ASES - EV5.5.5 SHEAR TEST RESULTS - COVER</t>
  </si>
  <si>
    <t>To be able to fulfill EV5.5.11, the number of cells mechanically attached in series</t>
  </si>
  <si>
    <t>Document every test result in the EV5.5.10-12 Cell Fixation tab in a table.</t>
  </si>
  <si>
    <t>Datasheets Other Matl</t>
  </si>
  <si>
    <t>Guidance notes: Cell fixation general</t>
  </si>
  <si>
    <t>BACK: Cell fixation</t>
  </si>
  <si>
    <t>BACK: Segment</t>
  </si>
  <si>
    <t>BACK: TSAC</t>
  </si>
  <si>
    <r>
      <t xml:space="preserve">Details of any rules clarifications must be referenced and appended in this tab. 
</t>
    </r>
    <r>
      <rPr>
        <b/>
        <sz val="10"/>
        <color rgb="FFFF0000"/>
        <rFont val="Arial"/>
        <family val="2"/>
      </rPr>
      <t>Rules clarifications not listed here will be ignored during the review!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</si>
</sst>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E+00"/>
    <numFmt numFmtId="167" formatCode="0.000"/>
  </numFmts>
  <fonts count="53">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sz val="11"/>
      <color indexed="6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sz val="8"/>
      <name val="Arial"/>
      <family val="2"/>
    </font>
    <font>
      <vertAlign val="subscript"/>
      <sz val="10"/>
      <name val="Arial"/>
      <family val="2"/>
    </font>
    <font>
      <sz val="10"/>
      <name val="Arial"/>
      <family val="2"/>
    </font>
    <font>
      <sz val="10"/>
      <color indexed="8"/>
      <name val="Arial"/>
      <family val="2"/>
    </font>
    <font>
      <sz val="10"/>
      <color indexed="10"/>
      <name val="Arial"/>
      <family val="2"/>
    </font>
    <font>
      <sz val="10"/>
      <color indexed="10"/>
      <name val="Verdana"/>
      <family val="2"/>
    </font>
    <font>
      <b/>
      <sz val="10"/>
      <color indexed="10"/>
      <name val="Verdana"/>
      <family val="2"/>
    </font>
    <font>
      <sz val="10"/>
      <name val="Arial Unicode MS"/>
      <family val="2"/>
    </font>
    <font>
      <b/>
      <sz val="10"/>
      <color indexed="30"/>
      <name val="Arial"/>
      <family val="2"/>
    </font>
    <font>
      <sz val="8"/>
      <name val="Arial"/>
      <family val="2"/>
    </font>
    <font>
      <sz val="26"/>
      <name val="Arial"/>
      <family val="2"/>
    </font>
    <font>
      <sz val="11"/>
      <color theme="1"/>
      <name val="Calibri"/>
      <family val="2"/>
      <scheme val="minor"/>
    </font>
    <font>
      <sz val="10"/>
      <color rgb="FFFF0000"/>
      <name val="Arial"/>
      <family val="2"/>
    </font>
    <font>
      <sz val="14"/>
      <color rgb="FFFF0000"/>
      <name val="Arial"/>
      <family val="2"/>
    </font>
    <font>
      <sz val="14"/>
      <color rgb="FFFF0000"/>
      <name val="Verdana"/>
      <family val="2"/>
    </font>
    <font>
      <sz val="11"/>
      <color theme="9" tint="0.39997558519241921"/>
      <name val="Calibri"/>
      <family val="2"/>
      <scheme val="minor"/>
    </font>
    <font>
      <b/>
      <sz val="10"/>
      <color rgb="FFFF0000"/>
      <name val="Verdana"/>
      <family val="2"/>
    </font>
    <font>
      <b/>
      <sz val="10"/>
      <color rgb="FFFF0000"/>
      <name val="Arial"/>
      <family val="2"/>
    </font>
    <font>
      <sz val="10"/>
      <color rgb="FFFF0000"/>
      <name val="Verdana"/>
      <family val="2"/>
    </font>
    <font>
      <sz val="9"/>
      <name val="Arial"/>
      <family val="2"/>
    </font>
    <font>
      <sz val="11"/>
      <color rgb="FF444444"/>
      <name val="Arial"/>
      <family val="2"/>
    </font>
    <font>
      <sz val="10"/>
      <color rgb="FF000000"/>
      <name val="Verdana"/>
      <family val="2"/>
    </font>
    <font>
      <u/>
      <sz val="10"/>
      <color indexed="12"/>
      <name val="Verdana"/>
      <family val="2"/>
    </font>
    <font>
      <sz val="26"/>
      <name val="Verdana"/>
      <family val="2"/>
    </font>
    <font>
      <sz val="10"/>
      <color rgb="FF000000"/>
      <name val="Arial"/>
    </font>
    <font>
      <b/>
      <sz val="10"/>
      <color rgb="FF000000"/>
      <name val="Arial"/>
    </font>
    <font>
      <b/>
      <sz val="14"/>
      <name val="Arial"/>
    </font>
    <font>
      <sz val="14"/>
      <name val="Arial"/>
    </font>
    <font>
      <b/>
      <sz val="12"/>
      <name val="Arial"/>
    </font>
    <font>
      <sz val="10"/>
      <color rgb="FF000000"/>
      <name val="Arial"/>
      <family val="2"/>
    </font>
    <font>
      <b/>
      <sz val="14"/>
      <name val="Arial"/>
      <family val="2"/>
    </font>
    <font>
      <u/>
      <sz val="10"/>
      <color theme="10"/>
      <name val="Arial"/>
    </font>
    <font>
      <b/>
      <sz val="10"/>
      <color theme="9" tint="-0.249977111117893"/>
      <name val="Arial"/>
      <family val="2"/>
    </font>
    <font>
      <u/>
      <sz val="10"/>
      <color theme="10"/>
      <name val="Arial"/>
      <family val="2"/>
    </font>
    <font>
      <i/>
      <sz val="10"/>
      <name val="Arial"/>
      <family val="2"/>
    </font>
  </fonts>
  <fills count="23">
    <fill>
      <patternFill patternType="none"/>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49"/>
        <bgColor indexed="64"/>
      </patternFill>
    </fill>
    <fill>
      <patternFill patternType="solid">
        <fgColor indexed="10"/>
        <bgColor indexed="64"/>
      </patternFill>
    </fill>
    <fill>
      <patternFill patternType="solid">
        <fgColor indexed="17"/>
        <bgColor indexed="64"/>
      </patternFill>
    </fill>
    <fill>
      <patternFill patternType="solid">
        <fgColor theme="0"/>
        <bgColor indexed="64"/>
      </patternFill>
    </fill>
    <fill>
      <patternFill patternType="solid">
        <fgColor rgb="FFFFFF00"/>
        <bgColor indexed="64"/>
      </patternFill>
    </fill>
    <fill>
      <patternFill patternType="solid">
        <fgColor theme="9"/>
        <bgColor indexed="64"/>
      </patternFill>
    </fill>
    <fill>
      <patternFill patternType="solid">
        <fgColor rgb="FFFFFFFF"/>
        <bgColor indexed="64"/>
      </patternFill>
    </fill>
    <fill>
      <patternFill patternType="solid">
        <fgColor rgb="FFFFFF00"/>
        <bgColor rgb="FF000000"/>
      </patternFill>
    </fill>
    <fill>
      <patternFill patternType="solid">
        <fgColor theme="7" tint="0.39997558519241921"/>
        <bgColor indexed="64"/>
      </patternFill>
    </fill>
    <fill>
      <patternFill patternType="solid">
        <fgColor rgb="FFCCFF99"/>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C0C0C0"/>
        <bgColor indexed="64"/>
      </patternFill>
    </fill>
    <fill>
      <patternFill patternType="solid">
        <fgColor rgb="FFC0C0C0"/>
        <bgColor rgb="FF000000"/>
      </patternFill>
    </fill>
    <fill>
      <patternFill patternType="solid">
        <fgColor theme="0" tint="-0.499984740745262"/>
        <bgColor indexed="64"/>
      </patternFill>
    </fill>
  </fills>
  <borders count="12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000000"/>
      </right>
      <top/>
      <bottom style="thin">
        <color indexed="64"/>
      </bottom>
      <diagonal/>
    </border>
    <border>
      <left/>
      <right style="thin">
        <color rgb="FF000000"/>
      </right>
      <top style="thin">
        <color indexed="64"/>
      </top>
      <bottom/>
      <diagonal/>
    </border>
    <border>
      <left style="thin">
        <color rgb="FF000000"/>
      </left>
      <right style="thin">
        <color rgb="FF000000"/>
      </right>
      <top/>
      <bottom style="thin">
        <color rgb="FF000000"/>
      </bottom>
      <diagonal/>
    </border>
    <border>
      <left style="thin">
        <color indexed="64"/>
      </left>
      <right style="medium">
        <color rgb="FF000000"/>
      </right>
      <top style="thin">
        <color indexed="64"/>
      </top>
      <bottom style="thin">
        <color indexed="64"/>
      </bottom>
      <diagonal/>
    </border>
    <border>
      <left style="medium">
        <color indexed="64"/>
      </left>
      <right style="thin">
        <color indexed="64"/>
      </right>
      <top style="thin">
        <color indexed="64"/>
      </top>
      <bottom style="medium">
        <color rgb="FF000000"/>
      </bottom>
      <diagonal/>
    </border>
    <border>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rgb="FF000000"/>
      </right>
      <top style="thin">
        <color indexed="64"/>
      </top>
      <bottom style="medium">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medium">
        <color rgb="FF000000"/>
      </right>
      <top/>
      <bottom style="thin">
        <color rgb="FF000000"/>
      </bottom>
      <diagonal/>
    </border>
    <border>
      <left style="thin">
        <color rgb="FF000000"/>
      </left>
      <right/>
      <top style="medium">
        <color rgb="FF000000"/>
      </top>
      <bottom/>
      <diagonal/>
    </border>
    <border>
      <left/>
      <right style="medium">
        <color rgb="FF000000"/>
      </right>
      <top/>
      <bottom style="thin">
        <color rgb="FF000000"/>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thin">
        <color rgb="FF000000"/>
      </right>
      <top style="medium">
        <color rgb="FF000000"/>
      </top>
      <bottom style="thin">
        <color rgb="FF000000"/>
      </bottom>
      <diagonal/>
    </border>
    <border>
      <left style="medium">
        <color rgb="FF000000"/>
      </left>
      <right style="medium">
        <color rgb="FF000000"/>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
      <left/>
      <right style="thin">
        <color indexed="64"/>
      </right>
      <top style="thin">
        <color rgb="FF000000"/>
      </top>
      <bottom style="medium">
        <color rgb="FF000000"/>
      </bottom>
      <diagonal/>
    </border>
    <border>
      <left/>
      <right style="medium">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style="medium">
        <color rgb="FF00000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thin">
        <color rgb="FF000000"/>
      </right>
      <top style="medium">
        <color rgb="FF000000"/>
      </top>
      <bottom style="thin">
        <color rgb="FF000000"/>
      </bottom>
      <diagonal/>
    </border>
    <border>
      <left style="medium">
        <color indexed="64"/>
      </left>
      <right style="thin">
        <color rgb="FF000000"/>
      </right>
      <top style="thin">
        <color rgb="FF000000"/>
      </top>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rgb="FF000000"/>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medium">
        <color indexed="64"/>
      </right>
      <top/>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rgb="FF000000"/>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right style="thin">
        <color rgb="FF000000"/>
      </right>
      <top style="thin">
        <color indexed="64"/>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style="thin">
        <color indexed="64"/>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s>
  <cellStyleXfs count="13">
    <xf numFmtId="0" fontId="0" fillId="0" borderId="0"/>
    <xf numFmtId="0" fontId="8" fillId="2" borderId="0" applyNumberFormat="0" applyBorder="0" applyAlignment="0" applyProtection="0"/>
    <xf numFmtId="0" fontId="8" fillId="2" borderId="0" applyNumberFormat="0" applyBorder="0" applyAlignment="0" applyProtection="0"/>
    <xf numFmtId="0" fontId="4" fillId="0" borderId="0"/>
    <xf numFmtId="0" fontId="29" fillId="0" borderId="0"/>
    <xf numFmtId="0" fontId="29" fillId="0" borderId="0"/>
    <xf numFmtId="0" fontId="4" fillId="0" borderId="0"/>
    <xf numFmtId="0" fontId="4" fillId="0" borderId="0"/>
    <xf numFmtId="0" fontId="4" fillId="0" borderId="0"/>
    <xf numFmtId="0" fontId="4" fillId="0" borderId="0"/>
    <xf numFmtId="0" fontId="6" fillId="0" borderId="0" applyNumberFormat="0" applyFill="0" applyBorder="0" applyAlignment="0" applyProtection="0">
      <alignment vertical="top"/>
      <protection locked="0"/>
    </xf>
    <xf numFmtId="0" fontId="1" fillId="0" borderId="0"/>
    <xf numFmtId="0" fontId="49" fillId="0" borderId="0" applyNumberFormat="0" applyFill="0" applyBorder="0" applyAlignment="0" applyProtection="0"/>
  </cellStyleXfs>
  <cellXfs count="909">
    <xf numFmtId="0" fontId="0" fillId="0" borderId="0" xfId="0"/>
    <xf numFmtId="0" fontId="1" fillId="10" borderId="0" xfId="0" applyFont="1" applyFill="1" applyAlignment="1">
      <alignment horizontal="left" wrapText="1"/>
    </xf>
    <xf numFmtId="0" fontId="7" fillId="0" borderId="0" xfId="0" applyFont="1"/>
    <xf numFmtId="0" fontId="3" fillId="0" borderId="0" xfId="0" applyFont="1"/>
    <xf numFmtId="0" fontId="0" fillId="0" borderId="3" xfId="0" applyBorder="1"/>
    <xf numFmtId="0" fontId="9" fillId="0" borderId="0" xfId="0" applyFont="1" applyAlignment="1">
      <alignment wrapText="1"/>
    </xf>
    <xf numFmtId="0" fontId="0" fillId="0" borderId="4" xfId="0" applyBorder="1"/>
    <xf numFmtId="0" fontId="0" fillId="3" borderId="1" xfId="0" applyFill="1" applyBorder="1" applyProtection="1">
      <protection locked="0"/>
    </xf>
    <xf numFmtId="0" fontId="0" fillId="3" borderId="5" xfId="0" applyFill="1" applyBorder="1" applyProtection="1">
      <protection locked="0"/>
    </xf>
    <xf numFmtId="0" fontId="0" fillId="3" borderId="2" xfId="0" applyFill="1" applyBorder="1" applyProtection="1">
      <protection locked="0"/>
    </xf>
    <xf numFmtId="0" fontId="0" fillId="3" borderId="6" xfId="0" applyFill="1" applyBorder="1" applyProtection="1">
      <protection locked="0"/>
    </xf>
    <xf numFmtId="0" fontId="0" fillId="3" borderId="3" xfId="0" applyFill="1" applyBorder="1" applyProtection="1">
      <protection locked="0"/>
    </xf>
    <xf numFmtId="0" fontId="0" fillId="3" borderId="0" xfId="0" applyFill="1" applyProtection="1">
      <protection locked="0"/>
    </xf>
    <xf numFmtId="0" fontId="0" fillId="3" borderId="4" xfId="0" applyFill="1" applyBorder="1" applyProtection="1">
      <protection locked="0"/>
    </xf>
    <xf numFmtId="0" fontId="9" fillId="3" borderId="0" xfId="0" applyFont="1" applyFill="1" applyProtection="1">
      <protection locked="0"/>
    </xf>
    <xf numFmtId="0" fontId="0" fillId="3" borderId="8" xfId="0" applyFill="1" applyBorder="1" applyProtection="1">
      <protection locked="0"/>
    </xf>
    <xf numFmtId="0" fontId="0" fillId="3" borderId="7" xfId="0" applyFill="1" applyBorder="1" applyProtection="1">
      <protection locked="0"/>
    </xf>
    <xf numFmtId="0" fontId="0" fillId="3" borderId="9" xfId="0" applyFill="1" applyBorder="1" applyProtection="1">
      <protection locked="0"/>
    </xf>
    <xf numFmtId="0" fontId="0" fillId="4" borderId="1" xfId="0" applyFill="1" applyBorder="1"/>
    <xf numFmtId="11" fontId="0" fillId="4" borderId="1" xfId="0" applyNumberFormat="1" applyFill="1" applyBorder="1"/>
    <xf numFmtId="164" fontId="0" fillId="4" borderId="1" xfId="0" applyNumberFormat="1" applyFill="1" applyBorder="1"/>
    <xf numFmtId="0" fontId="0" fillId="3" borderId="10" xfId="0" applyFill="1" applyBorder="1" applyProtection="1">
      <protection locked="0"/>
    </xf>
    <xf numFmtId="0" fontId="0" fillId="0" borderId="11" xfId="0" applyBorder="1"/>
    <xf numFmtId="164" fontId="0" fillId="0" borderId="1" xfId="0" applyNumberFormat="1" applyBorder="1"/>
    <xf numFmtId="0" fontId="3" fillId="0" borderId="1" xfId="0" applyFont="1" applyBorder="1"/>
    <xf numFmtId="0" fontId="0" fillId="0" borderId="1" xfId="0" applyBorder="1"/>
    <xf numFmtId="11" fontId="0" fillId="0" borderId="0" xfId="0" applyNumberFormat="1"/>
    <xf numFmtId="2" fontId="0" fillId="0" borderId="0" xfId="0" applyNumberFormat="1"/>
    <xf numFmtId="0" fontId="0" fillId="4" borderId="1" xfId="0" applyFill="1" applyBorder="1" applyAlignment="1">
      <alignment horizontal="center"/>
    </xf>
    <xf numFmtId="0" fontId="14" fillId="0" borderId="0" xfId="0" applyFont="1"/>
    <xf numFmtId="11" fontId="0" fillId="0" borderId="13" xfId="0" applyNumberFormat="1" applyBorder="1"/>
    <xf numFmtId="0" fontId="3" fillId="0" borderId="1" xfId="0" applyFont="1" applyBorder="1" applyAlignment="1">
      <alignment wrapText="1"/>
    </xf>
    <xf numFmtId="0" fontId="0" fillId="0" borderId="14" xfId="0" applyBorder="1"/>
    <xf numFmtId="0" fontId="0" fillId="4" borderId="11" xfId="0" applyFill="1" applyBorder="1" applyAlignment="1">
      <alignment horizontal="right"/>
    </xf>
    <xf numFmtId="0" fontId="0" fillId="0" borderId="13" xfId="0" applyBorder="1"/>
    <xf numFmtId="0" fontId="0" fillId="0" borderId="15" xfId="0" applyBorder="1"/>
    <xf numFmtId="11" fontId="0" fillId="4" borderId="1" xfId="0" applyNumberFormat="1" applyFill="1" applyBorder="1" applyAlignment="1">
      <alignment horizontal="right"/>
    </xf>
    <xf numFmtId="0" fontId="3" fillId="0" borderId="12" xfId="0" applyFont="1" applyBorder="1" applyAlignment="1">
      <alignment wrapText="1"/>
    </xf>
    <xf numFmtId="0" fontId="0" fillId="0" borderId="12" xfId="0" applyBorder="1" applyAlignment="1">
      <alignment horizontal="right"/>
    </xf>
    <xf numFmtId="0" fontId="0" fillId="0" borderId="7" xfId="0" applyBorder="1"/>
    <xf numFmtId="0" fontId="0" fillId="0" borderId="8" xfId="0" applyBorder="1"/>
    <xf numFmtId="0" fontId="0" fillId="0" borderId="9" xfId="0" applyBorder="1"/>
    <xf numFmtId="164" fontId="0" fillId="0" borderId="13" xfId="0" applyNumberFormat="1" applyBorder="1"/>
    <xf numFmtId="0" fontId="0" fillId="3" borderId="3" xfId="0" applyFill="1" applyBorder="1" applyAlignment="1" applyProtection="1">
      <alignment vertical="top" wrapText="1"/>
      <protection locked="0"/>
    </xf>
    <xf numFmtId="0" fontId="0" fillId="3" borderId="4" xfId="0" applyFill="1" applyBorder="1" applyAlignment="1" applyProtection="1">
      <alignment vertical="top" wrapText="1"/>
      <protection locked="0"/>
    </xf>
    <xf numFmtId="0" fontId="0" fillId="3" borderId="7" xfId="0" applyFill="1" applyBorder="1" applyAlignment="1" applyProtection="1">
      <alignment vertical="top" wrapText="1"/>
      <protection locked="0"/>
    </xf>
    <xf numFmtId="0" fontId="0" fillId="3" borderId="8" xfId="0" applyFill="1" applyBorder="1" applyAlignment="1" applyProtection="1">
      <alignment vertical="top" wrapText="1"/>
      <protection locked="0"/>
    </xf>
    <xf numFmtId="0" fontId="0" fillId="3" borderId="9" xfId="0" applyFill="1" applyBorder="1" applyAlignment="1" applyProtection="1">
      <alignment vertical="top" wrapText="1"/>
      <protection locked="0"/>
    </xf>
    <xf numFmtId="0" fontId="14" fillId="0" borderId="3" xfId="0" applyFont="1" applyBorder="1" applyAlignment="1">
      <alignment horizontal="center"/>
    </xf>
    <xf numFmtId="0" fontId="14" fillId="0" borderId="0" xfId="0" applyFont="1" applyAlignment="1">
      <alignment horizontal="center"/>
    </xf>
    <xf numFmtId="0" fontId="14" fillId="0" borderId="4" xfId="0" applyFont="1" applyBorder="1" applyAlignment="1">
      <alignment horizontal="center"/>
    </xf>
    <xf numFmtId="0" fontId="4" fillId="0" borderId="0" xfId="3"/>
    <xf numFmtId="0" fontId="0" fillId="5" borderId="10" xfId="0" applyFill="1" applyBorder="1"/>
    <xf numFmtId="0" fontId="0" fillId="0" borderId="0" xfId="0" applyAlignment="1">
      <alignment horizontal="right"/>
    </xf>
    <xf numFmtId="165" fontId="0" fillId="0" borderId="0" xfId="0" applyNumberFormat="1"/>
    <xf numFmtId="0" fontId="3" fillId="0" borderId="0" xfId="0" applyFont="1" applyAlignment="1">
      <alignment horizontal="center"/>
    </xf>
    <xf numFmtId="11" fontId="0" fillId="5" borderId="1" xfId="0" applyNumberFormat="1" applyFill="1" applyBorder="1"/>
    <xf numFmtId="11" fontId="0" fillId="4" borderId="11" xfId="0" applyNumberFormat="1" applyFill="1" applyBorder="1"/>
    <xf numFmtId="0" fontId="6" fillId="0" borderId="0" xfId="12" applyFont="1" applyAlignment="1" applyProtection="1"/>
    <xf numFmtId="0" fontId="0" fillId="0" borderId="3"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9" xfId="0" applyBorder="1" applyAlignment="1">
      <alignment vertical="top"/>
    </xf>
    <xf numFmtId="0" fontId="4" fillId="3" borderId="3" xfId="3" applyFill="1" applyBorder="1" applyAlignment="1" applyProtection="1">
      <alignment wrapText="1"/>
      <protection locked="0"/>
    </xf>
    <xf numFmtId="0" fontId="4" fillId="3" borderId="0" xfId="3" applyFill="1" applyAlignment="1" applyProtection="1">
      <alignment wrapText="1"/>
      <protection locked="0"/>
    </xf>
    <xf numFmtId="0" fontId="4" fillId="3" borderId="4" xfId="3" applyFill="1" applyBorder="1" applyAlignment="1" applyProtection="1">
      <alignment wrapText="1"/>
      <protection locked="0"/>
    </xf>
    <xf numFmtId="0" fontId="4" fillId="3" borderId="0" xfId="3" applyFill="1" applyProtection="1">
      <protection locked="0"/>
    </xf>
    <xf numFmtId="0" fontId="9" fillId="3" borderId="0" xfId="3" applyFont="1" applyFill="1" applyProtection="1">
      <protection locked="0"/>
    </xf>
    <xf numFmtId="0" fontId="4" fillId="3" borderId="7" xfId="3" applyFill="1" applyBorder="1" applyAlignment="1" applyProtection="1">
      <alignment wrapText="1"/>
      <protection locked="0"/>
    </xf>
    <xf numFmtId="0" fontId="4" fillId="3" borderId="8" xfId="3" applyFill="1" applyBorder="1" applyAlignment="1" applyProtection="1">
      <alignment wrapText="1"/>
      <protection locked="0"/>
    </xf>
    <xf numFmtId="0" fontId="4" fillId="3" borderId="8" xfId="3" applyFill="1" applyBorder="1" applyProtection="1">
      <protection locked="0"/>
    </xf>
    <xf numFmtId="0" fontId="4" fillId="3" borderId="9" xfId="3" applyFill="1" applyBorder="1" applyAlignment="1" applyProtection="1">
      <alignment wrapText="1"/>
      <protection locked="0"/>
    </xf>
    <xf numFmtId="0" fontId="4" fillId="3" borderId="3" xfId="3" applyFill="1" applyBorder="1" applyProtection="1">
      <protection locked="0"/>
    </xf>
    <xf numFmtId="0" fontId="4" fillId="3" borderId="7" xfId="3" applyFill="1" applyBorder="1" applyProtection="1">
      <protection locked="0"/>
    </xf>
    <xf numFmtId="0" fontId="9" fillId="0" borderId="0" xfId="3" applyFont="1"/>
    <xf numFmtId="0" fontId="0" fillId="0" borderId="5" xfId="0" applyBorder="1" applyAlignment="1">
      <alignment vertical="top"/>
    </xf>
    <xf numFmtId="0" fontId="0" fillId="0" borderId="2" xfId="0" applyBorder="1" applyAlignment="1">
      <alignment vertical="top"/>
    </xf>
    <xf numFmtId="0" fontId="0" fillId="0" borderId="6" xfId="0" applyBorder="1" applyAlignment="1">
      <alignment vertical="top"/>
    </xf>
    <xf numFmtId="0" fontId="0" fillId="0" borderId="7" xfId="0" applyBorder="1" applyAlignment="1">
      <alignment vertical="top"/>
    </xf>
    <xf numFmtId="0" fontId="28" fillId="0" borderId="4" xfId="0" applyFont="1" applyBorder="1" applyAlignment="1">
      <alignment vertical="top"/>
    </xf>
    <xf numFmtId="0" fontId="28" fillId="0" borderId="3" xfId="0" applyFont="1" applyBorder="1" applyAlignment="1">
      <alignment horizontal="right" vertical="top"/>
    </xf>
    <xf numFmtId="0" fontId="0" fillId="11" borderId="0" xfId="0" applyFill="1" applyProtection="1">
      <protection locked="0"/>
    </xf>
    <xf numFmtId="11" fontId="14" fillId="0" borderId="0" xfId="0" applyNumberFormat="1" applyFont="1"/>
    <xf numFmtId="0" fontId="9" fillId="10" borderId="3" xfId="3" applyFont="1" applyFill="1" applyBorder="1" applyAlignment="1">
      <alignment vertical="top"/>
    </xf>
    <xf numFmtId="0" fontId="9" fillId="10" borderId="0" xfId="3" applyFont="1" applyFill="1" applyAlignment="1">
      <alignment vertical="top"/>
    </xf>
    <xf numFmtId="0" fontId="9" fillId="10" borderId="7" xfId="3" applyFont="1" applyFill="1" applyBorder="1" applyAlignment="1">
      <alignment vertical="top"/>
    </xf>
    <xf numFmtId="0" fontId="9" fillId="10" borderId="8" xfId="3" applyFont="1" applyFill="1" applyBorder="1" applyAlignment="1">
      <alignment vertical="top"/>
    </xf>
    <xf numFmtId="0" fontId="1" fillId="0" borderId="0" xfId="0" applyFont="1" applyAlignment="1">
      <alignment horizontal="right"/>
    </xf>
    <xf numFmtId="0" fontId="0" fillId="11" borderId="3" xfId="0" applyFill="1" applyBorder="1" applyAlignment="1" applyProtection="1">
      <alignment vertical="top" wrapText="1"/>
      <protection locked="0"/>
    </xf>
    <xf numFmtId="0" fontId="1" fillId="0" borderId="1" xfId="0" applyFont="1" applyBorder="1"/>
    <xf numFmtId="0" fontId="1" fillId="3" borderId="13" xfId="0" applyFont="1" applyFill="1" applyBorder="1" applyProtection="1">
      <protection locked="0"/>
    </xf>
    <xf numFmtId="0" fontId="35" fillId="3" borderId="3" xfId="0" applyFont="1" applyFill="1" applyBorder="1"/>
    <xf numFmtId="0" fontId="9" fillId="0" borderId="0" xfId="9" applyFont="1" applyAlignment="1">
      <alignment vertical="top"/>
    </xf>
    <xf numFmtId="0" fontId="9" fillId="0" borderId="0" xfId="9" quotePrefix="1" applyFont="1" applyAlignment="1">
      <alignment vertical="top"/>
    </xf>
    <xf numFmtId="0" fontId="9" fillId="0" borderId="0" xfId="9" quotePrefix="1" applyFont="1"/>
    <xf numFmtId="0" fontId="9" fillId="0" borderId="0" xfId="9" applyFont="1"/>
    <xf numFmtId="0" fontId="32" fillId="0" borderId="0" xfId="9" applyFont="1"/>
    <xf numFmtId="0" fontId="1" fillId="0" borderId="0" xfId="0" applyFont="1"/>
    <xf numFmtId="0" fontId="1" fillId="11" borderId="1" xfId="0" applyFont="1" applyFill="1" applyBorder="1" applyAlignment="1" applyProtection="1">
      <alignment horizontal="left" vertical="center" wrapText="1"/>
      <protection locked="0"/>
    </xf>
    <xf numFmtId="0" fontId="1" fillId="11" borderId="1" xfId="0" applyFont="1" applyFill="1" applyBorder="1" applyAlignment="1" applyProtection="1">
      <alignment horizontal="left" vertical="center"/>
      <protection locked="0"/>
    </xf>
    <xf numFmtId="0" fontId="1" fillId="11" borderId="24" xfId="0" applyFont="1" applyFill="1" applyBorder="1" applyAlignment="1" applyProtection="1">
      <alignment horizontal="left" vertical="center"/>
      <protection locked="0"/>
    </xf>
    <xf numFmtId="0" fontId="1" fillId="11" borderId="0" xfId="0" applyFont="1" applyFill="1" applyProtection="1">
      <protection locked="0"/>
    </xf>
    <xf numFmtId="0" fontId="6" fillId="13" borderId="0" xfId="12" applyFont="1" applyFill="1" applyBorder="1" applyAlignment="1" applyProtection="1"/>
    <xf numFmtId="0" fontId="39" fillId="0" borderId="0" xfId="0" applyFont="1"/>
    <xf numFmtId="0" fontId="39" fillId="0" borderId="0" xfId="0" quotePrefix="1" applyFont="1"/>
    <xf numFmtId="0" fontId="40" fillId="0" borderId="0" xfId="10" quotePrefix="1" applyFont="1" applyFill="1" applyBorder="1" applyAlignment="1" applyProtection="1"/>
    <xf numFmtId="0" fontId="41" fillId="0" borderId="3" xfId="9" applyFont="1" applyBorder="1" applyAlignment="1">
      <alignment horizontal="right" vertical="top"/>
    </xf>
    <xf numFmtId="0" fontId="41" fillId="0" borderId="29" xfId="9" applyFont="1" applyBorder="1" applyAlignment="1">
      <alignment vertical="top"/>
    </xf>
    <xf numFmtId="0" fontId="0" fillId="11" borderId="2" xfId="0" applyFill="1" applyBorder="1" applyProtection="1">
      <protection locked="0"/>
    </xf>
    <xf numFmtId="0" fontId="1" fillId="0" borderId="0" xfId="3" applyFont="1"/>
    <xf numFmtId="0" fontId="9" fillId="0" borderId="5" xfId="9" applyFont="1" applyBorder="1" applyAlignment="1">
      <alignment vertical="top"/>
    </xf>
    <xf numFmtId="0" fontId="9" fillId="0" borderId="2" xfId="9" applyFont="1" applyBorder="1" applyAlignment="1">
      <alignment vertical="top"/>
    </xf>
    <xf numFmtId="0" fontId="9" fillId="0" borderId="6" xfId="9" applyFont="1" applyBorder="1" applyAlignment="1">
      <alignment vertical="top"/>
    </xf>
    <xf numFmtId="0" fontId="9" fillId="0" borderId="3" xfId="9" applyFont="1" applyBorder="1" applyAlignment="1">
      <alignment vertical="top"/>
    </xf>
    <xf numFmtId="0" fontId="9" fillId="0" borderId="4" xfId="9" applyFont="1" applyBorder="1" applyAlignment="1">
      <alignment vertical="top"/>
    </xf>
    <xf numFmtId="0" fontId="9" fillId="0" borderId="29" xfId="9" applyFont="1" applyBorder="1" applyAlignment="1">
      <alignment vertical="top"/>
    </xf>
    <xf numFmtId="0" fontId="9" fillId="0" borderId="29" xfId="9" applyFont="1" applyBorder="1"/>
    <xf numFmtId="0" fontId="11" fillId="0" borderId="0" xfId="9" applyFont="1" applyAlignment="1">
      <alignment vertical="top"/>
    </xf>
    <xf numFmtId="0" fontId="36" fillId="0" borderId="0" xfId="9" applyFont="1" applyAlignment="1">
      <alignment vertical="top"/>
    </xf>
    <xf numFmtId="0" fontId="32" fillId="0" borderId="0" xfId="9" applyFont="1" applyAlignment="1">
      <alignment vertical="top"/>
    </xf>
    <xf numFmtId="0" fontId="36" fillId="0" borderId="0" xfId="9" applyFont="1"/>
    <xf numFmtId="0" fontId="9" fillId="0" borderId="0" xfId="10" quotePrefix="1" applyFont="1" applyAlignment="1" applyProtection="1"/>
    <xf numFmtId="0" fontId="9" fillId="0" borderId="3" xfId="9" applyFont="1" applyBorder="1" applyAlignment="1">
      <alignment horizontal="right" vertical="top"/>
    </xf>
    <xf numFmtId="0" fontId="11" fillId="0" borderId="0" xfId="9" applyFont="1"/>
    <xf numFmtId="0" fontId="11" fillId="0" borderId="0" xfId="3" applyFont="1"/>
    <xf numFmtId="0" fontId="11" fillId="0" borderId="0" xfId="9" quotePrefix="1" applyFont="1" applyAlignment="1">
      <alignment vertical="top"/>
    </xf>
    <xf numFmtId="0" fontId="11" fillId="0" borderId="0" xfId="9" quotePrefix="1" applyFont="1"/>
    <xf numFmtId="0" fontId="9" fillId="0" borderId="40" xfId="9" applyFont="1" applyBorder="1" applyAlignment="1">
      <alignment vertical="top"/>
    </xf>
    <xf numFmtId="0" fontId="9" fillId="0" borderId="0" xfId="3" applyFont="1" applyAlignment="1">
      <alignment vertical="top"/>
    </xf>
    <xf numFmtId="0" fontId="9" fillId="0" borderId="29" xfId="3" applyFont="1" applyBorder="1" applyAlignment="1">
      <alignment vertical="top"/>
    </xf>
    <xf numFmtId="0" fontId="9" fillId="0" borderId="3" xfId="3" applyFont="1" applyBorder="1" applyAlignment="1">
      <alignment vertical="top"/>
    </xf>
    <xf numFmtId="0" fontId="9" fillId="0" borderId="7" xfId="3" applyFont="1" applyBorder="1" applyAlignment="1">
      <alignment vertical="top"/>
    </xf>
    <xf numFmtId="0" fontId="9" fillId="0" borderId="8" xfId="3" applyFont="1" applyBorder="1" applyAlignment="1">
      <alignment vertical="top"/>
    </xf>
    <xf numFmtId="0" fontId="9" fillId="0" borderId="39" xfId="3" applyFont="1" applyBorder="1" applyAlignment="1">
      <alignment vertical="top"/>
    </xf>
    <xf numFmtId="0" fontId="40" fillId="0" borderId="0" xfId="10" quotePrefix="1" applyFont="1" applyAlignment="1" applyProtection="1"/>
    <xf numFmtId="0" fontId="0" fillId="11" borderId="50" xfId="0" applyFill="1" applyBorder="1" applyProtection="1">
      <protection locked="0"/>
    </xf>
    <xf numFmtId="0" fontId="0" fillId="11" borderId="51" xfId="0" applyFill="1" applyBorder="1" applyProtection="1">
      <protection locked="0"/>
    </xf>
    <xf numFmtId="0" fontId="1" fillId="11" borderId="0" xfId="0" quotePrefix="1" applyFont="1" applyFill="1" applyProtection="1">
      <protection locked="0"/>
    </xf>
    <xf numFmtId="0" fontId="0" fillId="11" borderId="52" xfId="0" applyFill="1" applyBorder="1" applyProtection="1">
      <protection locked="0"/>
    </xf>
    <xf numFmtId="0" fontId="0" fillId="11" borderId="53" xfId="0" applyFill="1" applyBorder="1" applyProtection="1">
      <protection locked="0"/>
    </xf>
    <xf numFmtId="0" fontId="0" fillId="11" borderId="54" xfId="0" applyFill="1" applyBorder="1" applyProtection="1">
      <protection locked="0"/>
    </xf>
    <xf numFmtId="0" fontId="1" fillId="11" borderId="12" xfId="0" applyFont="1" applyFill="1" applyBorder="1" applyAlignment="1" applyProtection="1">
      <alignment horizontal="left" vertical="center"/>
      <protection locked="0"/>
    </xf>
    <xf numFmtId="0" fontId="1" fillId="11" borderId="44" xfId="0" applyFont="1" applyFill="1" applyBorder="1" applyAlignment="1" applyProtection="1">
      <alignment horizontal="left" vertical="center"/>
      <protection locked="0"/>
    </xf>
    <xf numFmtId="0" fontId="0" fillId="3" borderId="0" xfId="0" applyFill="1" applyAlignment="1" applyProtection="1">
      <alignment wrapText="1"/>
      <protection locked="0"/>
    </xf>
    <xf numFmtId="0" fontId="1" fillId="3" borderId="0" xfId="0" applyFont="1" applyFill="1" applyProtection="1">
      <protection locked="0"/>
    </xf>
    <xf numFmtId="0" fontId="1" fillId="3" borderId="4" xfId="0" applyFont="1" applyFill="1" applyBorder="1" applyProtection="1">
      <protection locked="0"/>
    </xf>
    <xf numFmtId="0" fontId="0" fillId="11" borderId="5" xfId="0" applyFill="1" applyBorder="1" applyProtection="1">
      <protection locked="0"/>
    </xf>
    <xf numFmtId="0" fontId="0" fillId="11" borderId="3" xfId="0" applyFill="1" applyBorder="1" applyProtection="1">
      <protection locked="0"/>
    </xf>
    <xf numFmtId="0" fontId="0" fillId="11" borderId="0" xfId="0" applyFill="1" applyAlignment="1" applyProtection="1">
      <alignment wrapText="1"/>
      <protection locked="0"/>
    </xf>
    <xf numFmtId="0" fontId="0" fillId="11" borderId="4" xfId="0" applyFill="1" applyBorder="1" applyProtection="1">
      <protection locked="0"/>
    </xf>
    <xf numFmtId="0" fontId="1" fillId="3" borderId="3" xfId="0" applyFont="1" applyFill="1" applyBorder="1" applyProtection="1">
      <protection locked="0"/>
    </xf>
    <xf numFmtId="0" fontId="1" fillId="3" borderId="7" xfId="0" applyFont="1" applyFill="1" applyBorder="1" applyProtection="1">
      <protection locked="0"/>
    </xf>
    <xf numFmtId="0" fontId="1" fillId="3" borderId="8" xfId="0" applyFont="1" applyFill="1" applyBorder="1" applyProtection="1">
      <protection locked="0"/>
    </xf>
    <xf numFmtId="0" fontId="1" fillId="3" borderId="9" xfId="0" applyFont="1" applyFill="1" applyBorder="1" applyProtection="1">
      <protection locked="0"/>
    </xf>
    <xf numFmtId="0" fontId="1" fillId="11" borderId="85" xfId="0" applyFont="1" applyFill="1" applyBorder="1" applyAlignment="1" applyProtection="1">
      <alignment horizontal="left" vertical="center" wrapText="1"/>
      <protection locked="0"/>
    </xf>
    <xf numFmtId="0" fontId="1" fillId="11" borderId="85" xfId="0" applyFont="1" applyFill="1" applyBorder="1" applyAlignment="1" applyProtection="1">
      <alignment horizontal="left" vertical="center"/>
      <protection locked="0"/>
    </xf>
    <xf numFmtId="0" fontId="1" fillId="11" borderId="86" xfId="0" applyFont="1" applyFill="1" applyBorder="1" applyAlignment="1" applyProtection="1">
      <alignment horizontal="left" vertical="center"/>
      <protection locked="0"/>
    </xf>
    <xf numFmtId="0" fontId="1" fillId="11" borderId="9" xfId="0" applyFont="1" applyFill="1" applyBorder="1" applyAlignment="1" applyProtection="1">
      <alignment horizontal="left" vertical="center"/>
      <protection locked="0"/>
    </xf>
    <xf numFmtId="0" fontId="49" fillId="10" borderId="0" xfId="12" applyFill="1" applyBorder="1" applyAlignment="1" applyProtection="1"/>
    <xf numFmtId="0" fontId="49" fillId="0" borderId="0" xfId="12" applyAlignment="1">
      <alignment vertical="top"/>
    </xf>
    <xf numFmtId="0" fontId="6" fillId="0" borderId="8" xfId="12" applyFont="1" applyBorder="1" applyAlignment="1" applyProtection="1"/>
    <xf numFmtId="0" fontId="6" fillId="10" borderId="7" xfId="12" applyFont="1" applyFill="1" applyBorder="1" applyAlignment="1" applyProtection="1">
      <alignment vertical="top"/>
    </xf>
    <xf numFmtId="0" fontId="6" fillId="10" borderId="8" xfId="12" applyFont="1" applyFill="1" applyBorder="1" applyAlignment="1" applyProtection="1">
      <alignment vertical="top" wrapText="1"/>
    </xf>
    <xf numFmtId="0" fontId="0" fillId="11" borderId="0" xfId="0" applyFill="1" applyAlignment="1" applyProtection="1">
      <alignment vertical="top" wrapText="1"/>
      <protection locked="0"/>
    </xf>
    <xf numFmtId="0" fontId="0" fillId="3" borderId="0" xfId="0" applyFill="1" applyAlignment="1" applyProtection="1">
      <alignment vertical="top" wrapText="1"/>
      <protection locked="0"/>
    </xf>
    <xf numFmtId="0" fontId="1" fillId="3" borderId="0" xfId="0" applyFont="1" applyFill="1" applyAlignment="1" applyProtection="1">
      <alignment vertical="top" wrapText="1"/>
      <protection locked="0"/>
    </xf>
    <xf numFmtId="0" fontId="6" fillId="10" borderId="8" xfId="12" applyFont="1" applyFill="1" applyBorder="1" applyAlignment="1" applyProtection="1">
      <alignment vertical="top"/>
    </xf>
    <xf numFmtId="0" fontId="49" fillId="0" borderId="0" xfId="12" applyFill="1" applyBorder="1" applyAlignment="1" applyProtection="1">
      <alignment vertical="top"/>
    </xf>
    <xf numFmtId="0" fontId="6" fillId="10" borderId="0" xfId="12" applyFont="1" applyFill="1" applyBorder="1" applyAlignment="1" applyProtection="1"/>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Alignment="1">
      <alignment vertical="center" wrapText="1"/>
    </xf>
    <xf numFmtId="0" fontId="3" fillId="0" borderId="0" xfId="0" applyFont="1" applyAlignment="1">
      <alignment vertical="center"/>
    </xf>
    <xf numFmtId="0" fontId="3" fillId="10" borderId="0" xfId="0" applyFont="1" applyFill="1"/>
    <xf numFmtId="0" fontId="0" fillId="10" borderId="0" xfId="0" applyFill="1"/>
    <xf numFmtId="0" fontId="3" fillId="10" borderId="0" xfId="0" applyFont="1" applyFill="1" applyAlignment="1">
      <alignment horizontal="center"/>
    </xf>
    <xf numFmtId="0" fontId="0" fillId="10" borderId="0" xfId="0" applyFill="1" applyAlignment="1">
      <alignment horizontal="center"/>
    </xf>
    <xf numFmtId="0" fontId="0" fillId="0" borderId="0" xfId="0" applyAlignment="1">
      <alignment horizontal="center"/>
    </xf>
    <xf numFmtId="0" fontId="3" fillId="0" borderId="7" xfId="0" applyFont="1" applyBorder="1" applyAlignment="1">
      <alignment vertical="center" wrapText="1"/>
    </xf>
    <xf numFmtId="0" fontId="3" fillId="0" borderId="8" xfId="0" applyFont="1" applyBorder="1" applyAlignment="1">
      <alignment vertical="center" wrapText="1"/>
    </xf>
    <xf numFmtId="0" fontId="3" fillId="0" borderId="8" xfId="0" applyFont="1" applyBorder="1" applyAlignment="1">
      <alignment vertical="center"/>
    </xf>
    <xf numFmtId="0" fontId="0" fillId="0" borderId="2" xfId="0" applyBorder="1"/>
    <xf numFmtId="0" fontId="0" fillId="0" borderId="2" xfId="0" applyBorder="1" applyAlignment="1">
      <alignment wrapText="1"/>
    </xf>
    <xf numFmtId="0" fontId="0" fillId="0" borderId="0" xfId="0" applyAlignment="1">
      <alignment wrapText="1"/>
    </xf>
    <xf numFmtId="0" fontId="0" fillId="11" borderId="2" xfId="0" applyFill="1" applyBorder="1" applyAlignment="1" applyProtection="1">
      <alignment wrapText="1"/>
      <protection locked="0"/>
    </xf>
    <xf numFmtId="0" fontId="0" fillId="10" borderId="0" xfId="0" applyFill="1" applyAlignment="1">
      <alignment horizontal="left"/>
    </xf>
    <xf numFmtId="0" fontId="0" fillId="0" borderId="0" xfId="0" applyAlignment="1">
      <alignment horizontal="left"/>
    </xf>
    <xf numFmtId="0" fontId="5" fillId="10" borderId="0" xfId="0" applyFont="1" applyFill="1" applyAlignment="1">
      <alignment horizontal="left"/>
    </xf>
    <xf numFmtId="0" fontId="0" fillId="0" borderId="0" xfId="0" applyAlignment="1">
      <alignment horizontal="left" wrapText="1"/>
    </xf>
    <xf numFmtId="0" fontId="0" fillId="10" borderId="0" xfId="0" applyFill="1" applyAlignment="1">
      <alignment horizontal="left" wrapText="1"/>
    </xf>
    <xf numFmtId="0" fontId="1" fillId="10" borderId="0" xfId="0" applyFont="1" applyFill="1" applyAlignment="1">
      <alignment horizontal="left"/>
    </xf>
    <xf numFmtId="0" fontId="5" fillId="10" borderId="0" xfId="0" applyFont="1" applyFill="1"/>
    <xf numFmtId="0" fontId="5" fillId="0" borderId="0" xfId="0" applyFont="1"/>
    <xf numFmtId="0" fontId="0" fillId="10" borderId="8" xfId="0" applyFill="1" applyBorder="1"/>
    <xf numFmtId="0" fontId="1" fillId="10" borderId="0" xfId="0" applyFont="1" applyFill="1" applyAlignment="1">
      <alignment horizontal="center"/>
    </xf>
    <xf numFmtId="0" fontId="1" fillId="10" borderId="0" xfId="0" applyFont="1" applyFill="1"/>
    <xf numFmtId="0" fontId="1" fillId="10" borderId="0" xfId="0" quotePrefix="1" applyFont="1" applyFill="1"/>
    <xf numFmtId="0" fontId="0" fillId="10" borderId="0" xfId="0" quotePrefix="1" applyFill="1"/>
    <xf numFmtId="0" fontId="0" fillId="10" borderId="7" xfId="0" applyFill="1" applyBorder="1"/>
    <xf numFmtId="0" fontId="0" fillId="10" borderId="4" xfId="0" applyFill="1" applyBorder="1"/>
    <xf numFmtId="0" fontId="3" fillId="0" borderId="1" xfId="0" applyFont="1" applyBorder="1" applyAlignment="1">
      <alignment horizontal="center"/>
    </xf>
    <xf numFmtId="0" fontId="20" fillId="0" borderId="0" xfId="0" applyFont="1"/>
    <xf numFmtId="0" fontId="21" fillId="0" borderId="0" xfId="0" applyFont="1" applyAlignment="1">
      <alignment vertical="top" wrapText="1"/>
    </xf>
    <xf numFmtId="0" fontId="21" fillId="0" borderId="0" xfId="0" applyFont="1" applyAlignment="1">
      <alignment horizontal="left" vertical="center" wrapText="1"/>
    </xf>
    <xf numFmtId="1" fontId="3" fillId="0" borderId="0" xfId="0" applyNumberFormat="1" applyFont="1"/>
    <xf numFmtId="0" fontId="21" fillId="0" borderId="0" xfId="0" applyFont="1" applyAlignment="1">
      <alignment vertical="center" wrapText="1"/>
    </xf>
    <xf numFmtId="0" fontId="1" fillId="0" borderId="0" xfId="3" applyFont="1" applyAlignment="1">
      <alignment horizontal="center"/>
    </xf>
    <xf numFmtId="0" fontId="22" fillId="0" borderId="0" xfId="0" applyFont="1" applyAlignment="1">
      <alignment horizontal="left" wrapText="1"/>
    </xf>
    <xf numFmtId="0" fontId="22" fillId="0" borderId="0" xfId="0" applyFont="1" applyAlignment="1">
      <alignment wrapText="1"/>
    </xf>
    <xf numFmtId="49" fontId="1" fillId="10" borderId="0" xfId="0" applyNumberFormat="1" applyFont="1" applyFill="1" applyAlignment="1">
      <alignment horizontal="center"/>
    </xf>
    <xf numFmtId="0" fontId="20" fillId="10" borderId="0" xfId="0" applyFont="1" applyFill="1"/>
    <xf numFmtId="0" fontId="21" fillId="10" borderId="0" xfId="0" applyFont="1" applyFill="1"/>
    <xf numFmtId="0" fontId="1" fillId="10" borderId="0" xfId="0" applyFont="1" applyFill="1" applyAlignment="1">
      <alignment horizontal="center" wrapText="1"/>
    </xf>
    <xf numFmtId="0" fontId="3" fillId="0" borderId="7"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9" xfId="0" applyFont="1" applyBorder="1" applyAlignment="1">
      <alignment horizontal="center" vertical="center" wrapText="1"/>
    </xf>
    <xf numFmtId="0" fontId="0" fillId="10" borderId="0" xfId="0" applyFill="1" applyAlignment="1">
      <alignment vertical="center"/>
    </xf>
    <xf numFmtId="49" fontId="1" fillId="0" borderId="0" xfId="0" applyNumberFormat="1" applyFont="1" applyAlignment="1">
      <alignment horizontal="center"/>
    </xf>
    <xf numFmtId="0" fontId="38" fillId="0" borderId="0" xfId="0" applyFont="1"/>
    <xf numFmtId="0" fontId="5" fillId="0" borderId="0" xfId="0" applyFont="1" applyAlignment="1">
      <alignment horizontal="center" wrapText="1"/>
    </xf>
    <xf numFmtId="0" fontId="5" fillId="0" borderId="0" xfId="0" applyFont="1" applyAlignment="1">
      <alignment wrapText="1"/>
    </xf>
    <xf numFmtId="0" fontId="0" fillId="0" borderId="31"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10" borderId="0" xfId="0" applyFill="1" applyAlignment="1">
      <alignment wrapText="1"/>
    </xf>
    <xf numFmtId="0" fontId="0" fillId="10" borderId="3" xfId="0" applyFill="1" applyBorder="1"/>
    <xf numFmtId="0" fontId="42" fillId="10" borderId="32" xfId="0" applyFont="1" applyFill="1" applyBorder="1" applyAlignment="1">
      <alignment vertical="top" wrapText="1"/>
    </xf>
    <xf numFmtId="0" fontId="42" fillId="10" borderId="0" xfId="0" applyFont="1" applyFill="1" applyAlignment="1">
      <alignment vertical="top" wrapText="1"/>
    </xf>
    <xf numFmtId="0" fontId="42" fillId="10" borderId="29" xfId="0" applyFont="1" applyFill="1" applyBorder="1" applyAlignment="1">
      <alignment vertical="top" wrapText="1"/>
    </xf>
    <xf numFmtId="0" fontId="0" fillId="9" borderId="25" xfId="0" applyFill="1" applyBorder="1"/>
    <xf numFmtId="0" fontId="0" fillId="0" borderId="23" xfId="0" applyBorder="1" applyAlignment="1">
      <alignment horizontal="left" vertical="center"/>
    </xf>
    <xf numFmtId="2"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0" fontId="0" fillId="12" borderId="26" xfId="0" applyFill="1" applyBorder="1"/>
    <xf numFmtId="0" fontId="0" fillId="7" borderId="26" xfId="0" applyFill="1" applyBorder="1"/>
    <xf numFmtId="0" fontId="0" fillId="8" borderId="110" xfId="0" applyFill="1" applyBorder="1"/>
    <xf numFmtId="0" fontId="0" fillId="0" borderId="84" xfId="0" applyBorder="1" applyAlignment="1">
      <alignment horizontal="left" vertical="center"/>
    </xf>
    <xf numFmtId="2" fontId="0" fillId="4" borderId="85" xfId="0" applyNumberFormat="1" applyFill="1" applyBorder="1" applyAlignment="1">
      <alignment horizontal="center" vertical="center"/>
    </xf>
    <xf numFmtId="164" fontId="0" fillId="4" borderId="85" xfId="0" applyNumberFormat="1" applyFill="1" applyBorder="1" applyAlignment="1">
      <alignment horizontal="center" vertical="center"/>
    </xf>
    <xf numFmtId="0" fontId="0" fillId="10" borderId="0" xfId="0" applyFill="1" applyAlignment="1">
      <alignment horizontal="left" vertical="center"/>
    </xf>
    <xf numFmtId="2" fontId="0" fillId="10" borderId="0" xfId="0" applyNumberFormat="1" applyFill="1" applyAlignment="1">
      <alignment horizontal="center" vertical="center"/>
    </xf>
    <xf numFmtId="0" fontId="1" fillId="10" borderId="0" xfId="0" applyFont="1" applyFill="1" applyAlignment="1">
      <alignment horizontal="left" vertical="center" wrapText="1"/>
    </xf>
    <xf numFmtId="0" fontId="1" fillId="10" borderId="0" xfId="0" applyFont="1" applyFill="1" applyAlignment="1">
      <alignment horizontal="left" vertical="center"/>
    </xf>
    <xf numFmtId="164" fontId="0" fillId="10" borderId="0" xfId="0" applyNumberFormat="1" applyFill="1" applyAlignment="1">
      <alignment horizontal="center" vertical="center"/>
    </xf>
    <xf numFmtId="0" fontId="0" fillId="19" borderId="64" xfId="0" applyFill="1" applyBorder="1" applyAlignment="1">
      <alignment horizontal="center"/>
    </xf>
    <xf numFmtId="0" fontId="0" fillId="0" borderId="77" xfId="0" applyBorder="1"/>
    <xf numFmtId="0" fontId="0" fillId="16" borderId="111" xfId="0" applyFill="1" applyBorder="1"/>
    <xf numFmtId="0" fontId="1" fillId="6" borderId="21" xfId="0" applyFont="1" applyFill="1" applyBorder="1" applyAlignment="1">
      <alignment horizontal="left" vertical="center"/>
    </xf>
    <xf numFmtId="0" fontId="1" fillId="19" borderId="15" xfId="0" applyFont="1" applyFill="1" applyBorder="1" applyAlignment="1">
      <alignment horizontal="center" vertical="center"/>
    </xf>
    <xf numFmtId="0" fontId="1" fillId="19" borderId="15" xfId="0" applyFont="1" applyFill="1" applyBorder="1" applyAlignment="1">
      <alignment horizontal="left" vertical="center" wrapText="1"/>
    </xf>
    <xf numFmtId="0" fontId="1" fillId="19" borderId="15" xfId="0" applyFont="1" applyFill="1" applyBorder="1" applyAlignment="1">
      <alignment horizontal="left" vertical="center"/>
    </xf>
    <xf numFmtId="0" fontId="1" fillId="19" borderId="112" xfId="0" applyFont="1" applyFill="1" applyBorder="1" applyAlignment="1">
      <alignment horizontal="left" vertical="center"/>
    </xf>
    <xf numFmtId="0" fontId="3" fillId="0" borderId="46" xfId="0" applyFont="1" applyBorder="1" applyAlignment="1">
      <alignment horizontal="center"/>
    </xf>
    <xf numFmtId="0" fontId="0" fillId="17" borderId="90" xfId="0" applyFill="1" applyBorder="1"/>
    <xf numFmtId="0" fontId="1" fillId="19" borderId="1" xfId="0" applyFont="1" applyFill="1" applyBorder="1" applyAlignment="1">
      <alignment horizontal="center" vertical="center"/>
    </xf>
    <xf numFmtId="0" fontId="1" fillId="19" borderId="1" xfId="0" applyFont="1" applyFill="1" applyBorder="1" applyAlignment="1">
      <alignment horizontal="left" vertical="center" wrapText="1"/>
    </xf>
    <xf numFmtId="0" fontId="1" fillId="19" borderId="1" xfId="0" applyFont="1" applyFill="1" applyBorder="1" applyAlignment="1">
      <alignment horizontal="left" vertical="center"/>
    </xf>
    <xf numFmtId="0" fontId="1" fillId="19" borderId="42" xfId="0" applyFont="1" applyFill="1" applyBorder="1" applyAlignment="1">
      <alignment horizontal="left" vertical="center"/>
    </xf>
    <xf numFmtId="0" fontId="0" fillId="18" borderId="90" xfId="0" applyFill="1" applyBorder="1"/>
    <xf numFmtId="0" fontId="0" fillId="15" borderId="92" xfId="0" applyFill="1" applyBorder="1"/>
    <xf numFmtId="0" fontId="0" fillId="0" borderId="43" xfId="0" applyBorder="1" applyAlignment="1">
      <alignment horizontal="left" vertical="center"/>
    </xf>
    <xf numFmtId="0" fontId="1" fillId="19" borderId="45" xfId="0" applyFont="1" applyFill="1" applyBorder="1" applyAlignment="1">
      <alignment horizontal="center" vertical="center"/>
    </xf>
    <xf numFmtId="0" fontId="1" fillId="19" borderId="45" xfId="0" applyFont="1" applyFill="1" applyBorder="1" applyAlignment="1">
      <alignment horizontal="left" vertical="center" wrapText="1"/>
    </xf>
    <xf numFmtId="0" fontId="1" fillId="19" borderId="45" xfId="0" applyFont="1" applyFill="1" applyBorder="1" applyAlignment="1">
      <alignment horizontal="left" vertical="center"/>
    </xf>
    <xf numFmtId="0" fontId="1" fillId="19" borderId="46" xfId="0" applyFont="1" applyFill="1" applyBorder="1" applyAlignment="1">
      <alignment horizontal="left" vertical="center"/>
    </xf>
    <xf numFmtId="0" fontId="0" fillId="10" borderId="106" xfId="0" applyFill="1" applyBorder="1" applyAlignment="1">
      <alignment horizontal="center" wrapText="1"/>
    </xf>
    <xf numFmtId="0" fontId="0" fillId="19" borderId="59" xfId="0" applyFill="1" applyBorder="1" applyAlignment="1">
      <alignment horizontal="center"/>
    </xf>
    <xf numFmtId="0" fontId="0" fillId="0" borderId="57" xfId="0" applyBorder="1" applyProtection="1">
      <protection locked="0"/>
    </xf>
    <xf numFmtId="0" fontId="0" fillId="11" borderId="59" xfId="0" applyFill="1" applyBorder="1" applyProtection="1">
      <protection locked="0"/>
    </xf>
    <xf numFmtId="0" fontId="0" fillId="11" borderId="91" xfId="0" applyFill="1" applyBorder="1" applyProtection="1">
      <protection locked="0"/>
    </xf>
    <xf numFmtId="0" fontId="0" fillId="11" borderId="104" xfId="0" applyFill="1" applyBorder="1" applyProtection="1">
      <protection locked="0"/>
    </xf>
    <xf numFmtId="0" fontId="0" fillId="11" borderId="105" xfId="0" applyFill="1" applyBorder="1" applyProtection="1">
      <protection locked="0"/>
    </xf>
    <xf numFmtId="0" fontId="0" fillId="11" borderId="102" xfId="0" applyFill="1" applyBorder="1" applyProtection="1">
      <protection locked="0"/>
    </xf>
    <xf numFmtId="0" fontId="0" fillId="11" borderId="103" xfId="0" applyFill="1" applyBorder="1" applyProtection="1">
      <protection locked="0"/>
    </xf>
    <xf numFmtId="0" fontId="0" fillId="11" borderId="83" xfId="0" applyFill="1" applyBorder="1" applyAlignment="1" applyProtection="1">
      <alignment horizontal="center"/>
      <protection locked="0"/>
    </xf>
    <xf numFmtId="0" fontId="0" fillId="11" borderId="86" xfId="0" applyFill="1" applyBorder="1" applyAlignment="1" applyProtection="1">
      <alignment horizontal="center"/>
      <protection locked="0"/>
    </xf>
    <xf numFmtId="0" fontId="0" fillId="11" borderId="80" xfId="0" applyFill="1" applyBorder="1" applyProtection="1">
      <protection locked="0"/>
    </xf>
    <xf numFmtId="0" fontId="0" fillId="11" borderId="81" xfId="0" applyFill="1" applyBorder="1" applyProtection="1">
      <protection locked="0"/>
    </xf>
    <xf numFmtId="0" fontId="0" fillId="11" borderId="95" xfId="0" applyFill="1" applyBorder="1" applyProtection="1">
      <protection locked="0"/>
    </xf>
    <xf numFmtId="0" fontId="0" fillId="9" borderId="1" xfId="0" applyFill="1" applyBorder="1"/>
    <xf numFmtId="0" fontId="0" fillId="12" borderId="1" xfId="0" applyFill="1" applyBorder="1"/>
    <xf numFmtId="0" fontId="0" fillId="7" borderId="1" xfId="0" applyFill="1" applyBorder="1"/>
    <xf numFmtId="0" fontId="0" fillId="8" borderId="1" xfId="0" applyFill="1" applyBorder="1"/>
    <xf numFmtId="0" fontId="1" fillId="5" borderId="1" xfId="0" applyFont="1" applyFill="1" applyBorder="1"/>
    <xf numFmtId="11" fontId="1" fillId="4" borderId="1" xfId="0" applyNumberFormat="1" applyFont="1" applyFill="1" applyBorder="1"/>
    <xf numFmtId="11" fontId="0" fillId="21" borderId="1" xfId="0" applyNumberFormat="1" applyFill="1" applyBorder="1"/>
    <xf numFmtId="11" fontId="1" fillId="4" borderId="1" xfId="0" applyNumberFormat="1" applyFont="1" applyFill="1" applyBorder="1" applyAlignment="1">
      <alignment horizontal="right"/>
    </xf>
    <xf numFmtId="0" fontId="0" fillId="5" borderId="1" xfId="0" applyFill="1" applyBorder="1" applyAlignment="1">
      <alignment horizontal="right"/>
    </xf>
    <xf numFmtId="0" fontId="1" fillId="5" borderId="1" xfId="0" applyFont="1" applyFill="1" applyBorder="1" applyAlignment="1">
      <alignment horizontal="right"/>
    </xf>
    <xf numFmtId="0" fontId="0" fillId="5" borderId="1" xfId="0" applyFill="1" applyBorder="1"/>
    <xf numFmtId="166" fontId="0" fillId="5" borderId="1" xfId="0" applyNumberFormat="1" applyFill="1" applyBorder="1"/>
    <xf numFmtId="166" fontId="0" fillId="5" borderId="1" xfId="0" applyNumberFormat="1" applyFill="1" applyBorder="1" applyAlignment="1">
      <alignment horizontal="right"/>
    </xf>
    <xf numFmtId="2" fontId="0" fillId="0" borderId="1" xfId="0" applyNumberFormat="1" applyBorder="1" applyAlignment="1">
      <alignment horizontal="center"/>
    </xf>
    <xf numFmtId="11" fontId="0" fillId="10" borderId="0" xfId="0" applyNumberFormat="1" applyFill="1"/>
    <xf numFmtId="0" fontId="9" fillId="0" borderId="3" xfId="0" applyFont="1" applyBorder="1"/>
    <xf numFmtId="0" fontId="0" fillId="0" borderId="4" xfId="0" applyBorder="1" applyAlignment="1">
      <alignment wrapText="1"/>
    </xf>
    <xf numFmtId="0" fontId="0" fillId="0" borderId="3" xfId="0" applyBorder="1" applyAlignment="1">
      <alignment wrapText="1"/>
    </xf>
    <xf numFmtId="0" fontId="9" fillId="0" borderId="0" xfId="0" applyFont="1"/>
    <xf numFmtId="0" fontId="9" fillId="0" borderId="4" xfId="0" applyFont="1" applyBorder="1"/>
    <xf numFmtId="0" fontId="9" fillId="0" borderId="3" xfId="0" applyFont="1" applyBorder="1" applyAlignment="1">
      <alignment horizontal="left"/>
    </xf>
    <xf numFmtId="0" fontId="9" fillId="0" borderId="4" xfId="0" applyFont="1" applyBorder="1" applyAlignment="1">
      <alignment wrapText="1"/>
    </xf>
    <xf numFmtId="0" fontId="9" fillId="0" borderId="0" xfId="0" applyFont="1" applyAlignment="1">
      <alignment horizontal="right"/>
    </xf>
    <xf numFmtId="0" fontId="9" fillId="0" borderId="3" xfId="0" applyFont="1" applyBorder="1" applyAlignment="1">
      <alignment wrapText="1"/>
    </xf>
    <xf numFmtId="0" fontId="34" fillId="0" borderId="0" xfId="0" applyFont="1"/>
    <xf numFmtId="11" fontId="13" fillId="0" borderId="0" xfId="0" applyNumberFormat="1" applyFont="1"/>
    <xf numFmtId="0" fontId="9" fillId="0" borderId="4" xfId="0" applyFont="1" applyBorder="1" applyAlignment="1">
      <alignment horizontal="right"/>
    </xf>
    <xf numFmtId="0" fontId="35" fillId="0" borderId="0" xfId="0" applyFont="1"/>
    <xf numFmtId="0" fontId="9" fillId="0" borderId="0" xfId="0" applyFont="1" applyAlignment="1">
      <alignment horizontal="center"/>
    </xf>
    <xf numFmtId="0" fontId="11" fillId="0" borderId="3" xfId="0" applyFont="1" applyBorder="1" applyAlignment="1">
      <alignment horizontal="right"/>
    </xf>
    <xf numFmtId="0" fontId="9" fillId="0" borderId="7" xfId="0" applyFont="1" applyBorder="1" applyAlignment="1">
      <alignment wrapText="1"/>
    </xf>
    <xf numFmtId="0" fontId="2" fillId="0" borderId="8" xfId="0" applyFont="1" applyBorder="1" applyAlignment="1">
      <alignment horizontal="right"/>
    </xf>
    <xf numFmtId="0" fontId="9" fillId="0" borderId="8" xfId="0" applyFont="1" applyBorder="1"/>
    <xf numFmtId="0" fontId="9" fillId="0" borderId="8" xfId="0" applyFont="1" applyBorder="1" applyAlignment="1">
      <alignment wrapText="1"/>
    </xf>
    <xf numFmtId="0" fontId="9" fillId="0" borderId="9" xfId="0" applyFont="1" applyBorder="1" applyAlignment="1">
      <alignment wrapText="1"/>
    </xf>
    <xf numFmtId="0" fontId="9" fillId="0" borderId="7" xfId="0" applyFont="1" applyBorder="1"/>
    <xf numFmtId="0" fontId="9" fillId="0" borderId="9" xfId="0" applyFont="1" applyBorder="1"/>
    <xf numFmtId="0" fontId="2" fillId="0" borderId="0" xfId="0" applyFont="1" applyAlignment="1">
      <alignment horizontal="right"/>
    </xf>
    <xf numFmtId="0" fontId="11" fillId="0" borderId="3" xfId="0" applyFont="1" applyBorder="1"/>
    <xf numFmtId="0" fontId="0" fillId="0" borderId="1" xfId="0" applyBorder="1" applyAlignment="1">
      <alignment horizontal="center" vertical="center" wrapText="1"/>
    </xf>
    <xf numFmtId="0" fontId="37" fillId="0" borderId="11" xfId="0" applyFont="1" applyBorder="1" applyAlignment="1">
      <alignment horizontal="center" vertical="center" wrapText="1"/>
    </xf>
    <xf numFmtId="0" fontId="37" fillId="0" borderId="1" xfId="0" applyFont="1" applyBorder="1" applyAlignment="1">
      <alignment horizontal="center" vertical="center" wrapText="1"/>
    </xf>
    <xf numFmtId="0" fontId="4" fillId="0" borderId="1" xfId="8" applyBorder="1"/>
    <xf numFmtId="0" fontId="33" fillId="11" borderId="0" xfId="0" applyFont="1" applyFill="1" applyAlignment="1" applyProtection="1">
      <alignment horizontal="center" vertical="center" wrapText="1"/>
      <protection locked="0"/>
    </xf>
    <xf numFmtId="164" fontId="9" fillId="14" borderId="11" xfId="0" applyNumberFormat="1" applyFont="1" applyFill="1" applyBorder="1" applyProtection="1">
      <protection locked="0"/>
    </xf>
    <xf numFmtId="164" fontId="9" fillId="14" borderId="1" xfId="0" applyNumberFormat="1" applyFont="1" applyFill="1" applyBorder="1" applyProtection="1">
      <protection locked="0"/>
    </xf>
    <xf numFmtId="164" fontId="9" fillId="14" borderId="7" xfId="0" applyNumberFormat="1" applyFont="1" applyFill="1" applyBorder="1" applyProtection="1">
      <protection locked="0"/>
    </xf>
    <xf numFmtId="164" fontId="9" fillId="14" borderId="15" xfId="0" applyNumberFormat="1" applyFont="1" applyFill="1" applyBorder="1" applyProtection="1">
      <protection locked="0"/>
    </xf>
    <xf numFmtId="164" fontId="9" fillId="11" borderId="11" xfId="8" applyNumberFormat="1" applyFont="1" applyFill="1" applyBorder="1" applyProtection="1">
      <protection locked="0"/>
    </xf>
    <xf numFmtId="164" fontId="9" fillId="11" borderId="1" xfId="8" applyNumberFormat="1" applyFont="1" applyFill="1" applyBorder="1" applyProtection="1">
      <protection locked="0"/>
    </xf>
    <xf numFmtId="164" fontId="9" fillId="11" borderId="1" xfId="0" applyNumberFormat="1" applyFont="1" applyFill="1" applyBorder="1" applyProtection="1">
      <protection locked="0"/>
    </xf>
    <xf numFmtId="164" fontId="9" fillId="11" borderId="11" xfId="0" applyNumberFormat="1" applyFont="1" applyFill="1" applyBorder="1" applyProtection="1">
      <protection locked="0"/>
    </xf>
    <xf numFmtId="0" fontId="4" fillId="0" borderId="0" xfId="3" applyAlignment="1">
      <alignment wrapText="1"/>
    </xf>
    <xf numFmtId="0" fontId="4" fillId="0" borderId="4" xfId="3" applyBorder="1" applyAlignment="1">
      <alignment wrapText="1"/>
    </xf>
    <xf numFmtId="0" fontId="4" fillId="0" borderId="3" xfId="3" applyBorder="1" applyAlignment="1">
      <alignment wrapText="1"/>
    </xf>
    <xf numFmtId="0" fontId="9" fillId="0" borderId="3" xfId="3" applyFont="1" applyBorder="1"/>
    <xf numFmtId="0" fontId="9" fillId="0" borderId="0" xfId="3" applyFont="1" applyAlignment="1">
      <alignment wrapText="1"/>
    </xf>
    <xf numFmtId="0" fontId="9" fillId="0" borderId="4" xfId="3" applyFont="1" applyBorder="1" applyAlignment="1">
      <alignment wrapText="1"/>
    </xf>
    <xf numFmtId="0" fontId="23" fillId="0" borderId="32" xfId="0" applyFont="1" applyBorder="1"/>
    <xf numFmtId="0" fontId="9" fillId="0" borderId="3" xfId="3" applyFont="1" applyBorder="1" applyAlignment="1">
      <alignment wrapText="1"/>
    </xf>
    <xf numFmtId="0" fontId="9" fillId="0" borderId="3" xfId="3" applyFont="1" applyBorder="1" applyAlignment="1">
      <alignment horizontal="left"/>
    </xf>
    <xf numFmtId="0" fontId="9" fillId="0" borderId="3" xfId="3" applyFont="1" applyBorder="1" applyAlignment="1">
      <alignment horizontal="right"/>
    </xf>
    <xf numFmtId="0" fontId="9" fillId="0" borderId="0" xfId="3" applyFont="1" applyAlignment="1">
      <alignment horizontal="right"/>
    </xf>
    <xf numFmtId="0" fontId="9" fillId="0" borderId="0" xfId="3" applyFont="1" applyAlignment="1">
      <alignment horizontal="center"/>
    </xf>
    <xf numFmtId="0" fontId="9" fillId="0" borderId="2" xfId="3" applyFont="1" applyBorder="1" applyAlignment="1">
      <alignment horizontal="center"/>
    </xf>
    <xf numFmtId="0" fontId="9" fillId="0" borderId="7" xfId="3" applyFont="1" applyBorder="1" applyAlignment="1">
      <alignment wrapText="1"/>
    </xf>
    <xf numFmtId="0" fontId="9" fillId="0" borderId="8" xfId="3" applyFont="1" applyBorder="1" applyAlignment="1">
      <alignment wrapText="1"/>
    </xf>
    <xf numFmtId="0" fontId="9" fillId="0" borderId="9" xfId="3" applyFont="1" applyBorder="1" applyAlignment="1">
      <alignment wrapText="1"/>
    </xf>
    <xf numFmtId="164" fontId="0" fillId="11" borderId="11" xfId="8" applyNumberFormat="1" applyFont="1" applyFill="1" applyBorder="1" applyProtection="1">
      <protection locked="0"/>
    </xf>
    <xf numFmtId="164" fontId="0" fillId="11" borderId="1" xfId="8" applyNumberFormat="1" applyFont="1" applyFill="1" applyBorder="1" applyProtection="1">
      <protection locked="0"/>
    </xf>
    <xf numFmtId="164" fontId="0" fillId="11" borderId="1" xfId="0" applyNumberFormat="1" applyFill="1" applyBorder="1" applyProtection="1">
      <protection locked="0"/>
    </xf>
    <xf numFmtId="164" fontId="0" fillId="11" borderId="11" xfId="0" applyNumberFormat="1" applyFill="1" applyBorder="1" applyProtection="1">
      <protection locked="0"/>
    </xf>
    <xf numFmtId="0" fontId="49" fillId="10" borderId="0" xfId="12" applyFill="1" applyProtection="1"/>
    <xf numFmtId="0" fontId="0" fillId="10" borderId="47" xfId="0" applyFill="1" applyBorder="1"/>
    <xf numFmtId="0" fontId="0" fillId="10" borderId="0" xfId="0" applyFill="1" applyAlignment="1">
      <alignment vertical="center" wrapText="1"/>
    </xf>
    <xf numFmtId="0" fontId="0" fillId="0" borderId="47" xfId="0" applyBorder="1"/>
    <xf numFmtId="0" fontId="1" fillId="11" borderId="50" xfId="0" applyFont="1" applyFill="1" applyBorder="1" applyProtection="1">
      <protection locked="0"/>
    </xf>
    <xf numFmtId="0" fontId="45" fillId="10" borderId="73" xfId="0" applyFont="1" applyFill="1" applyBorder="1" applyAlignment="1">
      <alignment vertical="center"/>
    </xf>
    <xf numFmtId="0" fontId="45" fillId="10" borderId="76" xfId="0" applyFont="1" applyFill="1" applyBorder="1" applyAlignment="1">
      <alignment vertical="center"/>
    </xf>
    <xf numFmtId="0" fontId="0" fillId="10" borderId="76" xfId="0" applyFill="1" applyBorder="1"/>
    <xf numFmtId="0" fontId="0" fillId="10" borderId="74" xfId="0" applyFill="1" applyBorder="1"/>
    <xf numFmtId="0" fontId="0" fillId="11" borderId="6" xfId="0" applyFill="1" applyBorder="1" applyProtection="1">
      <protection locked="0"/>
    </xf>
    <xf numFmtId="0" fontId="0" fillId="11" borderId="7" xfId="0" applyFill="1" applyBorder="1" applyProtection="1">
      <protection locked="0"/>
    </xf>
    <xf numFmtId="0" fontId="0" fillId="11" borderId="8" xfId="0" applyFill="1" applyBorder="1" applyProtection="1">
      <protection locked="0"/>
    </xf>
    <xf numFmtId="0" fontId="0" fillId="11" borderId="9" xfId="0" applyFill="1" applyBorder="1" applyProtection="1">
      <protection locked="0"/>
    </xf>
    <xf numFmtId="0" fontId="0" fillId="10" borderId="5" xfId="0" applyFill="1" applyBorder="1"/>
    <xf numFmtId="0" fontId="0" fillId="10" borderId="2" xfId="0" applyFill="1" applyBorder="1"/>
    <xf numFmtId="0" fontId="0" fillId="10" borderId="6" xfId="0" applyFill="1" applyBorder="1"/>
    <xf numFmtId="0" fontId="1" fillId="10" borderId="11" xfId="0" applyFont="1" applyFill="1" applyBorder="1"/>
    <xf numFmtId="0" fontId="0" fillId="10" borderId="10" xfId="0" applyFill="1" applyBorder="1"/>
    <xf numFmtId="0" fontId="0" fillId="10" borderId="12" xfId="0" applyFill="1" applyBorder="1"/>
    <xf numFmtId="0" fontId="0" fillId="10" borderId="9" xfId="0" applyFill="1" applyBorder="1"/>
    <xf numFmtId="0" fontId="1" fillId="10" borderId="2" xfId="0" applyFont="1" applyFill="1" applyBorder="1"/>
    <xf numFmtId="0" fontId="25" fillId="10" borderId="2" xfId="0" applyFont="1" applyFill="1" applyBorder="1" applyAlignment="1">
      <alignment vertical="center"/>
    </xf>
    <xf numFmtId="49" fontId="25" fillId="10" borderId="2" xfId="0" applyNumberFormat="1" applyFont="1" applyFill="1" applyBorder="1" applyAlignment="1">
      <alignment vertical="center"/>
    </xf>
    <xf numFmtId="0" fontId="35" fillId="10" borderId="0" xfId="0" applyFont="1" applyFill="1"/>
    <xf numFmtId="0" fontId="35" fillId="10" borderId="3" xfId="0" quotePrefix="1" applyFont="1" applyFill="1" applyBorder="1"/>
    <xf numFmtId="0" fontId="3" fillId="10" borderId="3" xfId="0" applyFont="1" applyFill="1" applyBorder="1" applyAlignment="1">
      <alignment wrapText="1"/>
    </xf>
    <xf numFmtId="0" fontId="49" fillId="10" borderId="0" xfId="12" applyFill="1" applyBorder="1" applyProtection="1"/>
    <xf numFmtId="11" fontId="3" fillId="10" borderId="4" xfId="0" applyNumberFormat="1" applyFont="1" applyFill="1" applyBorder="1"/>
    <xf numFmtId="0" fontId="3" fillId="10" borderId="7" xfId="0" applyFont="1" applyFill="1" applyBorder="1" applyAlignment="1">
      <alignment wrapText="1"/>
    </xf>
    <xf numFmtId="0" fontId="3" fillId="10" borderId="8" xfId="0" applyFont="1" applyFill="1" applyBorder="1" applyAlignment="1">
      <alignment wrapText="1"/>
    </xf>
    <xf numFmtId="11" fontId="0" fillId="10" borderId="8" xfId="0" applyNumberFormat="1" applyFill="1" applyBorder="1"/>
    <xf numFmtId="0" fontId="1" fillId="10" borderId="5" xfId="0" applyFont="1" applyFill="1" applyBorder="1"/>
    <xf numFmtId="0" fontId="35" fillId="10" borderId="0" xfId="0" applyFont="1" applyFill="1" applyAlignment="1">
      <alignment wrapText="1"/>
    </xf>
    <xf numFmtId="0" fontId="1" fillId="10" borderId="7" xfId="0" applyFont="1" applyFill="1" applyBorder="1"/>
    <xf numFmtId="0" fontId="1" fillId="10" borderId="8" xfId="0" applyFont="1" applyFill="1" applyBorder="1"/>
    <xf numFmtId="0" fontId="0" fillId="10" borderId="8" xfId="0" applyFill="1" applyBorder="1" applyAlignment="1">
      <alignment horizontal="center"/>
    </xf>
    <xf numFmtId="0" fontId="3" fillId="10" borderId="8" xfId="0" applyFont="1" applyFill="1" applyBorder="1" applyAlignment="1">
      <alignment horizontal="left" vertical="center"/>
    </xf>
    <xf numFmtId="0" fontId="3" fillId="10" borderId="9" xfId="0" applyFont="1" applyFill="1" applyBorder="1" applyAlignment="1">
      <alignment horizontal="left" vertical="center"/>
    </xf>
    <xf numFmtId="0" fontId="1" fillId="11" borderId="5" xfId="0" applyFont="1" applyFill="1" applyBorder="1" applyProtection="1">
      <protection locked="0"/>
    </xf>
    <xf numFmtId="0" fontId="1" fillId="11" borderId="2" xfId="0" applyFont="1" applyFill="1" applyBorder="1" applyProtection="1">
      <protection locked="0"/>
    </xf>
    <xf numFmtId="0" fontId="1" fillId="11" borderId="6" xfId="0" applyFont="1" applyFill="1" applyBorder="1" applyProtection="1">
      <protection locked="0"/>
    </xf>
    <xf numFmtId="0" fontId="1" fillId="11" borderId="3" xfId="0" applyFont="1" applyFill="1" applyBorder="1" applyProtection="1">
      <protection locked="0"/>
    </xf>
    <xf numFmtId="0" fontId="1" fillId="11" borderId="4" xfId="0" applyFont="1" applyFill="1" applyBorder="1" applyProtection="1">
      <protection locked="0"/>
    </xf>
    <xf numFmtId="0" fontId="1" fillId="11" borderId="7" xfId="0" applyFont="1" applyFill="1" applyBorder="1" applyProtection="1">
      <protection locked="0"/>
    </xf>
    <xf numFmtId="0" fontId="1" fillId="11" borderId="8" xfId="0" applyFont="1" applyFill="1" applyBorder="1" applyProtection="1">
      <protection locked="0"/>
    </xf>
    <xf numFmtId="0" fontId="1" fillId="11" borderId="9" xfId="0" applyFont="1" applyFill="1" applyBorder="1" applyProtection="1">
      <protection locked="0"/>
    </xf>
    <xf numFmtId="0" fontId="0" fillId="10" borderId="8" xfId="0" applyFill="1" applyBorder="1" applyAlignment="1">
      <alignment vertical="top" wrapText="1"/>
    </xf>
    <xf numFmtId="0" fontId="0" fillId="10" borderId="9" xfId="0" applyFill="1" applyBorder="1" applyAlignment="1">
      <alignment vertical="top" wrapText="1"/>
    </xf>
    <xf numFmtId="0" fontId="0" fillId="0" borderId="0" xfId="0" applyAlignment="1">
      <alignment vertical="top"/>
    </xf>
    <xf numFmtId="0" fontId="0" fillId="0" borderId="0" xfId="0" applyProtection="1">
      <protection locked="0"/>
    </xf>
    <xf numFmtId="0" fontId="9" fillId="0" borderId="0" xfId="0" applyFont="1" applyProtection="1">
      <protection locked="0"/>
    </xf>
    <xf numFmtId="0" fontId="9" fillId="0" borderId="0" xfId="0" applyFont="1" applyAlignment="1">
      <alignment vertical="top"/>
    </xf>
    <xf numFmtId="0" fontId="1" fillId="0" borderId="0" xfId="0" applyFont="1" applyAlignment="1">
      <alignment vertical="top"/>
    </xf>
    <xf numFmtId="0" fontId="9" fillId="0" borderId="0" xfId="0" quotePrefix="1" applyFont="1" applyAlignment="1">
      <alignment vertical="top"/>
    </xf>
    <xf numFmtId="0" fontId="9" fillId="0" borderId="0" xfId="0" quotePrefix="1" applyFont="1"/>
    <xf numFmtId="0" fontId="24" fillId="0" borderId="0" xfId="0" applyFont="1" applyAlignment="1">
      <alignment vertical="top"/>
    </xf>
    <xf numFmtId="0" fontId="6" fillId="0" borderId="0" xfId="12" quotePrefix="1" applyFont="1" applyBorder="1" applyAlignment="1" applyProtection="1"/>
    <xf numFmtId="0" fontId="32" fillId="0" borderId="0" xfId="0" applyFont="1"/>
    <xf numFmtId="0" fontId="30" fillId="0" borderId="0" xfId="0" applyFont="1" applyAlignment="1">
      <alignment vertical="top"/>
    </xf>
    <xf numFmtId="0" fontId="31" fillId="0" borderId="0" xfId="0" applyFont="1"/>
    <xf numFmtId="0" fontId="31" fillId="0" borderId="0" xfId="0" applyFont="1" applyAlignment="1">
      <alignment vertical="top"/>
    </xf>
    <xf numFmtId="0" fontId="49" fillId="0" borderId="0" xfId="12" quotePrefix="1" applyBorder="1" applyAlignment="1" applyProtection="1"/>
    <xf numFmtId="0" fontId="36" fillId="0" borderId="0" xfId="3" applyFont="1"/>
    <xf numFmtId="0" fontId="3" fillId="10" borderId="0" xfId="0" applyFont="1" applyFill="1" applyAlignment="1">
      <alignment wrapText="1"/>
    </xf>
    <xf numFmtId="0" fontId="25" fillId="10" borderId="0" xfId="0" applyFont="1" applyFill="1" applyAlignment="1">
      <alignment vertical="center"/>
    </xf>
    <xf numFmtId="49" fontId="25" fillId="10" borderId="0" xfId="0" applyNumberFormat="1" applyFont="1" applyFill="1" applyAlignment="1">
      <alignment vertical="center"/>
    </xf>
    <xf numFmtId="49" fontId="0" fillId="10" borderId="0" xfId="0" applyNumberFormat="1" applyFill="1"/>
    <xf numFmtId="11" fontId="3" fillId="10" borderId="0" xfId="0" applyNumberFormat="1" applyFont="1" applyFill="1"/>
    <xf numFmtId="0" fontId="3" fillId="11" borderId="0" xfId="0" applyFont="1" applyFill="1" applyProtection="1">
      <protection locked="0"/>
    </xf>
    <xf numFmtId="0" fontId="36" fillId="0" borderId="0" xfId="9" applyFont="1" applyAlignment="1">
      <alignment wrapText="1"/>
    </xf>
    <xf numFmtId="0" fontId="1" fillId="0" borderId="5" xfId="9" applyFont="1" applyBorder="1" applyAlignment="1">
      <alignment vertical="top"/>
    </xf>
    <xf numFmtId="0" fontId="1" fillId="0" borderId="2" xfId="9" applyFont="1" applyBorder="1" applyAlignment="1">
      <alignment vertical="top"/>
    </xf>
    <xf numFmtId="0" fontId="1" fillId="0" borderId="6" xfId="9" applyFont="1" applyBorder="1" applyAlignment="1">
      <alignment vertical="top"/>
    </xf>
    <xf numFmtId="0" fontId="1" fillId="0" borderId="3" xfId="9" applyFont="1" applyBorder="1" applyAlignment="1">
      <alignment vertical="top"/>
    </xf>
    <xf numFmtId="0" fontId="1" fillId="0" borderId="0" xfId="9" applyFont="1" applyAlignment="1">
      <alignment vertical="top"/>
    </xf>
    <xf numFmtId="0" fontId="1" fillId="0" borderId="4" xfId="9" applyFont="1" applyBorder="1" applyAlignment="1">
      <alignment vertical="top"/>
    </xf>
    <xf numFmtId="0" fontId="35" fillId="0" borderId="0" xfId="9" applyFont="1"/>
    <xf numFmtId="0" fontId="35" fillId="0" borderId="0" xfId="9" applyFont="1" applyAlignment="1">
      <alignment vertical="top"/>
    </xf>
    <xf numFmtId="0" fontId="3" fillId="0" borderId="0" xfId="9" applyFont="1" applyAlignment="1">
      <alignment vertical="top"/>
    </xf>
    <xf numFmtId="0" fontId="30" fillId="0" borderId="0" xfId="9" applyFont="1" applyAlignment="1">
      <alignment vertical="top"/>
    </xf>
    <xf numFmtId="0" fontId="1" fillId="0" borderId="0" xfId="9" quotePrefix="1" applyFont="1"/>
    <xf numFmtId="0" fontId="1" fillId="0" borderId="0" xfId="9" applyFont="1"/>
    <xf numFmtId="0" fontId="1" fillId="0" borderId="0" xfId="9" quotePrefix="1" applyFont="1" applyAlignment="1">
      <alignment vertical="top"/>
    </xf>
    <xf numFmtId="0" fontId="1" fillId="0" borderId="29" xfId="9" applyFont="1" applyBorder="1" applyAlignment="1">
      <alignment vertical="top"/>
    </xf>
    <xf numFmtId="0" fontId="6" fillId="0" borderId="0" xfId="10" quotePrefix="1" applyAlignment="1" applyProtection="1"/>
    <xf numFmtId="0" fontId="31" fillId="0" borderId="0" xfId="9" applyFont="1"/>
    <xf numFmtId="0" fontId="31" fillId="0" borderId="0" xfId="9" applyFont="1" applyAlignment="1">
      <alignment vertical="top"/>
    </xf>
    <xf numFmtId="0" fontId="28" fillId="0" borderId="3" xfId="9" applyFont="1" applyBorder="1" applyAlignment="1">
      <alignment horizontal="right" vertical="top"/>
    </xf>
    <xf numFmtId="0" fontId="28" fillId="0" borderId="4" xfId="9" applyFont="1" applyBorder="1" applyAlignment="1">
      <alignment vertical="top"/>
    </xf>
    <xf numFmtId="0" fontId="1" fillId="10" borderId="0" xfId="3" applyFont="1" applyFill="1" applyAlignment="1">
      <alignment vertical="top"/>
    </xf>
    <xf numFmtId="0" fontId="1" fillId="10" borderId="3" xfId="3" applyFont="1" applyFill="1" applyBorder="1" applyAlignment="1">
      <alignment vertical="top"/>
    </xf>
    <xf numFmtId="0" fontId="1" fillId="10" borderId="7" xfId="3" applyFont="1" applyFill="1" applyBorder="1" applyAlignment="1">
      <alignment vertical="top"/>
    </xf>
    <xf numFmtId="0" fontId="1" fillId="10" borderId="8" xfId="3" applyFont="1" applyFill="1" applyBorder="1" applyAlignment="1">
      <alignment vertical="top"/>
    </xf>
    <xf numFmtId="0" fontId="1" fillId="10" borderId="0" xfId="0" applyFont="1" applyFill="1" applyAlignment="1">
      <alignment horizontal="left" wrapText="1"/>
    </xf>
    <xf numFmtId="0" fontId="3" fillId="10" borderId="0" xfId="0" applyFont="1" applyFill="1" applyAlignment="1">
      <alignment wrapText="1"/>
    </xf>
    <xf numFmtId="0" fontId="5" fillId="10" borderId="117" xfId="0" applyFont="1" applyFill="1" applyBorder="1" applyAlignment="1">
      <alignment horizontal="center" vertical="center" wrapText="1"/>
    </xf>
    <xf numFmtId="0" fontId="5" fillId="10" borderId="118" xfId="0" applyFont="1" applyFill="1" applyBorder="1" applyAlignment="1">
      <alignment horizontal="center" vertical="center" wrapText="1"/>
    </xf>
    <xf numFmtId="0" fontId="5" fillId="10" borderId="119" xfId="0" applyFont="1" applyFill="1" applyBorder="1" applyAlignment="1">
      <alignment horizontal="center" vertical="center" wrapText="1"/>
    </xf>
    <xf numFmtId="0" fontId="5" fillId="10" borderId="120" xfId="0" applyFont="1" applyFill="1" applyBorder="1" applyAlignment="1">
      <alignment horizontal="center" vertical="center" wrapText="1"/>
    </xf>
    <xf numFmtId="0" fontId="5" fillId="10" borderId="121" xfId="0" applyFont="1" applyFill="1" applyBorder="1" applyAlignment="1">
      <alignment horizontal="center" vertical="center" wrapText="1"/>
    </xf>
    <xf numFmtId="0" fontId="5" fillId="10" borderId="122" xfId="0" applyFont="1" applyFill="1" applyBorder="1" applyAlignment="1">
      <alignment horizontal="center" vertical="center" wrapText="1"/>
    </xf>
    <xf numFmtId="0" fontId="0" fillId="10" borderId="0" xfId="0" applyFill="1" applyAlignment="1">
      <alignment horizontal="left" wrapText="1"/>
    </xf>
    <xf numFmtId="0" fontId="5" fillId="10" borderId="0" xfId="0" applyFont="1" applyFill="1" applyAlignment="1">
      <alignment horizontal="left" wrapText="1"/>
    </xf>
    <xf numFmtId="0" fontId="26" fillId="10" borderId="0" xfId="0" applyFont="1" applyFill="1" applyAlignment="1">
      <alignment horizontal="left" wrapText="1"/>
    </xf>
    <xf numFmtId="0" fontId="0" fillId="10" borderId="0" xfId="0" applyFill="1" applyAlignment="1">
      <alignment wrapText="1"/>
    </xf>
    <xf numFmtId="0" fontId="3" fillId="0" borderId="11" xfId="0" applyFont="1" applyBorder="1"/>
    <xf numFmtId="0" fontId="3" fillId="0" borderId="10" xfId="0" applyFont="1" applyBorder="1"/>
    <xf numFmtId="0" fontId="3" fillId="0" borderId="12" xfId="0" applyFont="1" applyBorder="1"/>
    <xf numFmtId="0" fontId="3" fillId="0" borderId="0" xfId="0" applyFont="1" applyAlignment="1">
      <alignment horizontal="center"/>
    </xf>
    <xf numFmtId="0" fontId="0" fillId="0" borderId="107" xfId="0" applyBorder="1" applyAlignment="1" applyProtection="1">
      <alignment horizontal="center" vertical="center"/>
      <protection locked="0"/>
    </xf>
    <xf numFmtId="0" fontId="0" fillId="0" borderId="108" xfId="0" applyBorder="1" applyAlignment="1" applyProtection="1">
      <alignment horizontal="center" vertical="center"/>
      <protection locked="0"/>
    </xf>
    <xf numFmtId="0" fontId="0" fillId="0" borderId="109" xfId="0" applyBorder="1" applyAlignment="1" applyProtection="1">
      <alignment horizontal="center" vertical="center"/>
      <protection locked="0"/>
    </xf>
    <xf numFmtId="0" fontId="1" fillId="0" borderId="11" xfId="0" applyFont="1" applyBorder="1"/>
    <xf numFmtId="0" fontId="0" fillId="0" borderId="10" xfId="0" applyBorder="1"/>
    <xf numFmtId="0" fontId="0" fillId="0" borderId="116" xfId="0" applyBorder="1"/>
    <xf numFmtId="0" fontId="1" fillId="0" borderId="10" xfId="0" applyFont="1" applyBorder="1"/>
    <xf numFmtId="0" fontId="1" fillId="0" borderId="116" xfId="0" applyFont="1" applyBorder="1"/>
    <xf numFmtId="49" fontId="1" fillId="3" borderId="1" xfId="0" applyNumberFormat="1" applyFont="1" applyFill="1" applyBorder="1" applyAlignment="1" applyProtection="1">
      <alignment horizontal="center"/>
      <protection locked="0"/>
    </xf>
    <xf numFmtId="0" fontId="1" fillId="0" borderId="1" xfId="3" applyFont="1" applyBorder="1" applyAlignment="1">
      <alignment horizontal="center"/>
    </xf>
    <xf numFmtId="0" fontId="1" fillId="0" borderId="1" xfId="0" applyFont="1" applyBorder="1" applyAlignment="1">
      <alignment horizontal="center"/>
    </xf>
    <xf numFmtId="0" fontId="0" fillId="0" borderId="1" xfId="0" applyBorder="1" applyAlignment="1">
      <alignment horizontal="center"/>
    </xf>
    <xf numFmtId="0" fontId="1" fillId="10" borderId="11" xfId="0" applyFont="1" applyFill="1" applyBorder="1"/>
    <xf numFmtId="0" fontId="1" fillId="10" borderId="10" xfId="0" applyFont="1" applyFill="1" applyBorder="1"/>
    <xf numFmtId="0" fontId="1" fillId="10" borderId="116" xfId="0" applyFont="1" applyFill="1" applyBorder="1"/>
    <xf numFmtId="0" fontId="0" fillId="22" borderId="114" xfId="0" applyFill="1" applyBorder="1" applyAlignment="1">
      <alignment horizontal="center" vertical="center"/>
    </xf>
    <xf numFmtId="0" fontId="0" fillId="22" borderId="37" xfId="0" applyFill="1" applyBorder="1" applyAlignment="1">
      <alignment horizontal="center" vertical="center"/>
    </xf>
    <xf numFmtId="0" fontId="0" fillId="22" borderId="115" xfId="0" applyFill="1" applyBorder="1" applyAlignment="1">
      <alignment horizontal="center" vertical="center"/>
    </xf>
    <xf numFmtId="0" fontId="0" fillId="0" borderId="11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115" xfId="0" applyBorder="1" applyAlignment="1" applyProtection="1">
      <alignment horizontal="center" vertical="center"/>
      <protection locked="0"/>
    </xf>
    <xf numFmtId="0" fontId="1" fillId="0" borderId="1" xfId="0" applyFont="1" applyBorder="1"/>
    <xf numFmtId="0" fontId="0" fillId="0" borderId="1" xfId="0" applyBorder="1"/>
    <xf numFmtId="0" fontId="1" fillId="0" borderId="11" xfId="3" applyFont="1" applyBorder="1" applyAlignment="1">
      <alignment horizontal="center"/>
    </xf>
    <xf numFmtId="0" fontId="1" fillId="0" borderId="12" xfId="3" applyFont="1" applyBorder="1" applyAlignment="1">
      <alignment horizontal="center"/>
    </xf>
    <xf numFmtId="0" fontId="1" fillId="22" borderId="1" xfId="0" applyFont="1" applyFill="1" applyBorder="1" applyAlignment="1">
      <alignment horizontal="center"/>
    </xf>
    <xf numFmtId="0" fontId="0" fillId="22" borderId="1" xfId="0" applyFill="1" applyBorder="1" applyAlignment="1">
      <alignment horizontal="center"/>
    </xf>
    <xf numFmtId="49" fontId="1" fillId="3" borderId="11" xfId="0" applyNumberFormat="1" applyFont="1" applyFill="1" applyBorder="1" applyAlignment="1" applyProtection="1">
      <alignment horizontal="center"/>
      <protection locked="0"/>
    </xf>
    <xf numFmtId="49" fontId="1" fillId="3" borderId="10" xfId="0" applyNumberFormat="1" applyFont="1" applyFill="1" applyBorder="1" applyAlignment="1" applyProtection="1">
      <alignment horizontal="center"/>
      <protection locked="0"/>
    </xf>
    <xf numFmtId="49" fontId="1" fillId="3" borderId="12" xfId="0" applyNumberFormat="1" applyFont="1" applyFill="1" applyBorder="1" applyAlignment="1" applyProtection="1">
      <alignment horizontal="center"/>
      <protection locked="0"/>
    </xf>
    <xf numFmtId="0" fontId="1" fillId="0" borderId="0" xfId="0" applyFont="1" applyAlignment="1">
      <alignment horizontal="left" wrapText="1"/>
    </xf>
    <xf numFmtId="0" fontId="1" fillId="0" borderId="5" xfId="0" applyFont="1" applyBorder="1" applyAlignment="1">
      <alignment horizontal="center" vertical="center" wrapText="1"/>
    </xf>
    <xf numFmtId="0" fontId="1" fillId="0" borderId="2" xfId="0" applyFont="1" applyBorder="1" applyAlignment="1">
      <alignment horizontal="center" vertical="center" wrapText="1"/>
    </xf>
    <xf numFmtId="0" fontId="1" fillId="0" borderId="6" xfId="0" applyFont="1" applyBorder="1" applyAlignment="1">
      <alignment horizontal="center" vertical="center" wrapText="1"/>
    </xf>
    <xf numFmtId="0" fontId="1" fillId="0" borderId="3" xfId="0" applyFont="1" applyBorder="1" applyAlignment="1">
      <alignment horizontal="center" vertical="center" wrapText="1"/>
    </xf>
    <xf numFmtId="0" fontId="1" fillId="0" borderId="0" xfId="0" applyFont="1" applyAlignment="1">
      <alignment horizontal="center" vertical="center" wrapText="1"/>
    </xf>
    <xf numFmtId="0" fontId="1" fillId="0" borderId="4" xfId="0" applyFont="1" applyBorder="1" applyAlignment="1">
      <alignment horizontal="center" vertical="center" wrapText="1"/>
    </xf>
    <xf numFmtId="0" fontId="1" fillId="10" borderId="1" xfId="0" applyFont="1" applyFill="1" applyBorder="1"/>
    <xf numFmtId="0" fontId="21" fillId="0" borderId="0" xfId="0" applyFont="1" applyAlignment="1">
      <alignment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7" xfId="0" applyFont="1" applyBorder="1" applyAlignment="1">
      <alignment horizontal="center" vertical="top" wrapText="1"/>
    </xf>
    <xf numFmtId="0" fontId="1" fillId="0" borderId="9" xfId="0" applyFont="1" applyBorder="1" applyAlignment="1">
      <alignment horizontal="center" vertical="top" wrapText="1"/>
    </xf>
    <xf numFmtId="0" fontId="1" fillId="0" borderId="2" xfId="0" applyFont="1" applyBorder="1" applyAlignment="1">
      <alignment horizontal="center" vertical="top" wrapText="1"/>
    </xf>
    <xf numFmtId="0" fontId="1" fillId="0" borderId="0" xfId="0" applyFont="1" applyAlignment="1">
      <alignment horizontal="center" vertical="top" wrapText="1"/>
    </xf>
    <xf numFmtId="0" fontId="1" fillId="0" borderId="8" xfId="0" applyFont="1" applyBorder="1" applyAlignment="1">
      <alignment horizontal="center" vertical="top" wrapText="1"/>
    </xf>
    <xf numFmtId="0" fontId="5" fillId="0" borderId="0" xfId="0" applyFont="1" applyAlignment="1">
      <alignment horizontal="center" wrapText="1"/>
    </xf>
    <xf numFmtId="0" fontId="21" fillId="0" borderId="1" xfId="0" applyFont="1" applyBorder="1"/>
    <xf numFmtId="0" fontId="3" fillId="4" borderId="1" xfId="0" applyFont="1" applyFill="1" applyBorder="1"/>
    <xf numFmtId="0" fontId="49" fillId="10" borderId="1" xfId="12" applyFill="1" applyBorder="1" applyAlignment="1" applyProtection="1"/>
    <xf numFmtId="0" fontId="1" fillId="0" borderId="1" xfId="0" applyFont="1" applyBorder="1" applyAlignment="1">
      <alignment horizontal="left" vertical="top" wrapText="1"/>
    </xf>
    <xf numFmtId="0" fontId="1" fillId="0" borderId="1" xfId="0" applyFont="1" applyBorder="1" applyAlignment="1">
      <alignment vertical="top"/>
    </xf>
    <xf numFmtId="0" fontId="49" fillId="0" borderId="1" xfId="12" applyBorder="1" applyAlignment="1" applyProtection="1"/>
    <xf numFmtId="0" fontId="51" fillId="0" borderId="1" xfId="12" applyFont="1" applyBorder="1" applyAlignment="1" applyProtection="1"/>
    <xf numFmtId="0" fontId="1" fillId="10" borderId="12" xfId="0" applyFont="1" applyFill="1" applyBorder="1"/>
    <xf numFmtId="0" fontId="47" fillId="10" borderId="34" xfId="0" applyFont="1" applyFill="1" applyBorder="1" applyAlignment="1">
      <alignment horizontal="left" vertical="top" wrapText="1"/>
    </xf>
    <xf numFmtId="0" fontId="47" fillId="10" borderId="38" xfId="0" applyFont="1" applyFill="1" applyBorder="1" applyAlignment="1">
      <alignment horizontal="left" vertical="top" wrapText="1"/>
    </xf>
    <xf numFmtId="0" fontId="47" fillId="10" borderId="30" xfId="0" applyFont="1" applyFill="1" applyBorder="1" applyAlignment="1">
      <alignment horizontal="left" vertical="top" wrapText="1"/>
    </xf>
    <xf numFmtId="0" fontId="47" fillId="10" borderId="32" xfId="0" applyFont="1" applyFill="1" applyBorder="1" applyAlignment="1">
      <alignment horizontal="left" vertical="top" wrapText="1"/>
    </xf>
    <xf numFmtId="0" fontId="47" fillId="10" borderId="0" xfId="0" applyFont="1" applyFill="1" applyAlignment="1">
      <alignment horizontal="left" vertical="top" wrapText="1"/>
    </xf>
    <xf numFmtId="0" fontId="47" fillId="10" borderId="29" xfId="0" applyFont="1" applyFill="1" applyBorder="1" applyAlignment="1">
      <alignment horizontal="left" vertical="top" wrapText="1"/>
    </xf>
    <xf numFmtId="0" fontId="48" fillId="0" borderId="80" xfId="0" applyFont="1" applyBorder="1" applyAlignment="1">
      <alignment horizontal="center"/>
    </xf>
    <xf numFmtId="0" fontId="44" fillId="0" borderId="81" xfId="0" applyFont="1" applyBorder="1" applyAlignment="1">
      <alignment horizontal="center"/>
    </xf>
    <xf numFmtId="0" fontId="44" fillId="0" borderId="95" xfId="0" applyFont="1" applyBorder="1" applyAlignment="1">
      <alignment horizontal="center"/>
    </xf>
    <xf numFmtId="0" fontId="44" fillId="0" borderId="102" xfId="0" applyFont="1" applyBorder="1" applyAlignment="1">
      <alignment horizontal="center"/>
    </xf>
    <xf numFmtId="0" fontId="44" fillId="0" borderId="0" xfId="0" applyFont="1" applyAlignment="1">
      <alignment horizontal="center"/>
    </xf>
    <xf numFmtId="0" fontId="44" fillId="0" borderId="91" xfId="0" applyFont="1" applyBorder="1" applyAlignment="1">
      <alignment horizontal="center"/>
    </xf>
    <xf numFmtId="0" fontId="0" fillId="10" borderId="0" xfId="0" applyFill="1" applyAlignment="1">
      <alignment horizontal="center"/>
    </xf>
    <xf numFmtId="0" fontId="0" fillId="10" borderId="29" xfId="0" applyFill="1" applyBorder="1" applyAlignment="1">
      <alignment horizontal="center"/>
    </xf>
    <xf numFmtId="0" fontId="0" fillId="10" borderId="93" xfId="0" applyFill="1" applyBorder="1" applyAlignment="1">
      <alignment horizontal="left"/>
    </xf>
    <xf numFmtId="0" fontId="0" fillId="10" borderId="82" xfId="0" applyFill="1" applyBorder="1" applyAlignment="1">
      <alignment horizontal="left"/>
    </xf>
    <xf numFmtId="0" fontId="0" fillId="10" borderId="94" xfId="0" applyFill="1" applyBorder="1" applyAlignment="1">
      <alignment horizontal="left"/>
    </xf>
    <xf numFmtId="0" fontId="0" fillId="10" borderId="85" xfId="0" applyFill="1" applyBorder="1" applyAlignment="1">
      <alignment horizontal="left"/>
    </xf>
    <xf numFmtId="0" fontId="44" fillId="10" borderId="80" xfId="0" applyFont="1" applyFill="1" applyBorder="1" applyAlignment="1">
      <alignment horizontal="center"/>
    </xf>
    <xf numFmtId="0" fontId="44" fillId="10" borderId="81" xfId="0" applyFont="1" applyFill="1" applyBorder="1" applyAlignment="1">
      <alignment horizontal="center"/>
    </xf>
    <xf numFmtId="0" fontId="44" fillId="10" borderId="95" xfId="0" applyFont="1" applyFill="1" applyBorder="1" applyAlignment="1">
      <alignment horizontal="center"/>
    </xf>
    <xf numFmtId="0" fontId="44" fillId="10" borderId="103" xfId="0" applyFont="1" applyFill="1" applyBorder="1" applyAlignment="1">
      <alignment horizontal="center"/>
    </xf>
    <xf numFmtId="0" fontId="44" fillId="10" borderId="104" xfId="0" applyFont="1" applyFill="1" applyBorder="1" applyAlignment="1">
      <alignment horizontal="center"/>
    </xf>
    <xf numFmtId="0" fontId="44" fillId="10" borderId="105" xfId="0" applyFont="1" applyFill="1" applyBorder="1" applyAlignment="1">
      <alignment horizontal="center"/>
    </xf>
    <xf numFmtId="0" fontId="1" fillId="0" borderId="55" xfId="0" applyFont="1" applyBorder="1" applyAlignment="1">
      <alignment horizontal="center"/>
    </xf>
    <xf numFmtId="0" fontId="0" fillId="0" borderId="56" xfId="0" applyBorder="1" applyAlignment="1">
      <alignment horizontal="center"/>
    </xf>
    <xf numFmtId="0" fontId="0" fillId="0" borderId="63" xfId="0" applyBorder="1" applyAlignment="1">
      <alignment horizontal="center"/>
    </xf>
    <xf numFmtId="0" fontId="0" fillId="0" borderId="28" xfId="0" applyBorder="1" applyAlignment="1">
      <alignment horizontal="center"/>
    </xf>
    <xf numFmtId="0" fontId="0" fillId="0" borderId="58" xfId="0" applyBorder="1" applyAlignment="1">
      <alignment horizontal="center"/>
    </xf>
    <xf numFmtId="0" fontId="0" fillId="0" borderId="27" xfId="0" applyBorder="1" applyAlignment="1">
      <alignment horizontal="center"/>
    </xf>
    <xf numFmtId="0" fontId="1" fillId="0" borderId="98" xfId="0" applyFont="1" applyBorder="1" applyAlignment="1">
      <alignment horizontal="center"/>
    </xf>
    <xf numFmtId="0" fontId="0" fillId="0" borderId="99" xfId="0" applyBorder="1" applyAlignment="1">
      <alignment horizontal="center"/>
    </xf>
    <xf numFmtId="0" fontId="0" fillId="0" borderId="100" xfId="0" applyBorder="1" applyAlignment="1">
      <alignment horizontal="center"/>
    </xf>
    <xf numFmtId="0" fontId="44" fillId="10" borderId="96" xfId="0" applyFont="1" applyFill="1" applyBorder="1" applyAlignment="1">
      <alignment horizontal="center"/>
    </xf>
    <xf numFmtId="0" fontId="44" fillId="10" borderId="53" xfId="0" applyFont="1" applyFill="1" applyBorder="1" applyAlignment="1">
      <alignment horizontal="center"/>
    </xf>
    <xf numFmtId="0" fontId="44" fillId="10" borderId="97" xfId="0" applyFont="1" applyFill="1" applyBorder="1" applyAlignment="1">
      <alignment horizontal="center"/>
    </xf>
    <xf numFmtId="0" fontId="0" fillId="10" borderId="16" xfId="0" applyFill="1" applyBorder="1" applyAlignment="1">
      <alignment horizontal="left" vertical="center"/>
    </xf>
    <xf numFmtId="0" fontId="0" fillId="10" borderId="19" xfId="0" applyFill="1" applyBorder="1" applyAlignment="1">
      <alignment horizontal="left" vertical="center"/>
    </xf>
    <xf numFmtId="0" fontId="0" fillId="10" borderId="21" xfId="0" applyFill="1" applyBorder="1" applyAlignment="1">
      <alignment horizontal="left" vertical="center"/>
    </xf>
    <xf numFmtId="0" fontId="1" fillId="10" borderId="17" xfId="0" applyFont="1" applyFill="1" applyBorder="1" applyAlignment="1">
      <alignment horizontal="center" textRotation="90" wrapText="1"/>
    </xf>
    <xf numFmtId="0" fontId="1" fillId="10" borderId="13" xfId="0" applyFont="1" applyFill="1" applyBorder="1" applyAlignment="1">
      <alignment horizontal="center" textRotation="90" wrapText="1"/>
    </xf>
    <xf numFmtId="0" fontId="1" fillId="10" borderId="15" xfId="0" applyFont="1" applyFill="1" applyBorder="1" applyAlignment="1">
      <alignment horizontal="center" textRotation="90" wrapText="1"/>
    </xf>
    <xf numFmtId="0" fontId="35" fillId="0" borderId="78" xfId="0" applyFont="1" applyBorder="1" applyAlignment="1">
      <alignment horizontal="left" vertical="center"/>
    </xf>
    <xf numFmtId="0" fontId="35" fillId="0" borderId="79" xfId="0" applyFont="1" applyBorder="1" applyAlignment="1">
      <alignment horizontal="left" vertical="center"/>
    </xf>
    <xf numFmtId="0" fontId="35" fillId="0" borderId="113" xfId="0" applyFont="1" applyBorder="1" applyAlignment="1">
      <alignment horizontal="left" vertical="center"/>
    </xf>
    <xf numFmtId="0" fontId="3" fillId="10" borderId="0" xfId="0" applyFont="1" applyFill="1" applyAlignment="1">
      <alignment horizontal="center"/>
    </xf>
    <xf numFmtId="0" fontId="0" fillId="10" borderId="8" xfId="0" applyFill="1" applyBorder="1" applyAlignment="1">
      <alignment horizontal="center"/>
    </xf>
    <xf numFmtId="0" fontId="0" fillId="10" borderId="60" xfId="0" applyFill="1" applyBorder="1" applyAlignment="1">
      <alignment horizontal="center"/>
    </xf>
    <xf numFmtId="0" fontId="0" fillId="10" borderId="61" xfId="0" applyFill="1" applyBorder="1" applyAlignment="1">
      <alignment horizontal="center"/>
    </xf>
    <xf numFmtId="0" fontId="1" fillId="0" borderId="58" xfId="0" applyFont="1" applyBorder="1" applyAlignment="1">
      <alignment horizontal="center"/>
    </xf>
    <xf numFmtId="0" fontId="44" fillId="0" borderId="50" xfId="0" applyFont="1" applyBorder="1" applyAlignment="1">
      <alignment horizontal="center"/>
    </xf>
    <xf numFmtId="0" fontId="44" fillId="0" borderId="52" xfId="0" applyFont="1" applyBorder="1" applyAlignment="1">
      <alignment horizontal="center"/>
    </xf>
    <xf numFmtId="0" fontId="44" fillId="0" borderId="53" xfId="0" applyFont="1" applyBorder="1" applyAlignment="1">
      <alignment horizontal="center"/>
    </xf>
    <xf numFmtId="0" fontId="44" fillId="0" borderId="49" xfId="0" applyFont="1" applyBorder="1" applyAlignment="1">
      <alignment horizontal="center"/>
    </xf>
    <xf numFmtId="0" fontId="44" fillId="0" borderId="47" xfId="0" applyFont="1" applyBorder="1" applyAlignment="1">
      <alignment horizontal="center"/>
    </xf>
    <xf numFmtId="0" fontId="0" fillId="10" borderId="87" xfId="0" applyFill="1" applyBorder="1" applyAlignment="1">
      <alignment horizontal="center"/>
    </xf>
    <xf numFmtId="0" fontId="0" fillId="10" borderId="88" xfId="0" applyFill="1" applyBorder="1" applyAlignment="1">
      <alignment horizontal="center"/>
    </xf>
    <xf numFmtId="0" fontId="0" fillId="10" borderId="89" xfId="0" applyFill="1" applyBorder="1" applyAlignment="1">
      <alignment horizontal="center"/>
    </xf>
    <xf numFmtId="0" fontId="0" fillId="10" borderId="101" xfId="0" applyFill="1" applyBorder="1" applyAlignment="1">
      <alignment horizontal="center"/>
    </xf>
    <xf numFmtId="0" fontId="3" fillId="10" borderId="18" xfId="0" applyFont="1" applyFill="1" applyBorder="1" applyAlignment="1">
      <alignment horizontal="center" textRotation="90" wrapText="1"/>
    </xf>
    <xf numFmtId="0" fontId="3" fillId="10" borderId="20" xfId="0" applyFont="1" applyFill="1" applyBorder="1" applyAlignment="1">
      <alignment horizontal="center" textRotation="90" wrapText="1"/>
    </xf>
    <xf numFmtId="0" fontId="3" fillId="10" borderId="22" xfId="0" applyFont="1" applyFill="1" applyBorder="1" applyAlignment="1">
      <alignment horizontal="center" textRotation="90" wrapText="1"/>
    </xf>
    <xf numFmtId="0" fontId="1" fillId="10" borderId="17" xfId="0" applyFont="1" applyFill="1" applyBorder="1" applyAlignment="1">
      <alignment horizontal="center" textRotation="90"/>
    </xf>
    <xf numFmtId="0" fontId="1" fillId="10" borderId="13" xfId="0" applyFont="1" applyFill="1" applyBorder="1" applyAlignment="1">
      <alignment horizontal="center" textRotation="90"/>
    </xf>
    <xf numFmtId="0" fontId="1" fillId="10" borderId="15" xfId="0" applyFont="1" applyFill="1" applyBorder="1" applyAlignment="1">
      <alignment horizontal="center" textRotation="90"/>
    </xf>
    <xf numFmtId="0" fontId="3" fillId="0" borderId="11" xfId="0" applyFont="1" applyBorder="1" applyAlignment="1">
      <alignment horizontal="center"/>
    </xf>
    <xf numFmtId="0" fontId="3" fillId="0" borderId="10" xfId="0" applyFont="1" applyBorder="1" applyAlignment="1">
      <alignment horizontal="center"/>
    </xf>
    <xf numFmtId="0" fontId="3" fillId="0" borderId="12" xfId="0" applyFont="1" applyBorder="1" applyAlignment="1">
      <alignment horizontal="center"/>
    </xf>
    <xf numFmtId="0" fontId="5" fillId="3" borderId="11" xfId="0" applyFont="1" applyFill="1" applyBorder="1" applyAlignment="1" applyProtection="1">
      <alignment horizontal="left"/>
      <protection locked="0"/>
    </xf>
    <xf numFmtId="0" fontId="5" fillId="3" borderId="12" xfId="0" applyFont="1" applyFill="1" applyBorder="1" applyAlignment="1" applyProtection="1">
      <alignment horizontal="left"/>
      <protection locked="0"/>
    </xf>
    <xf numFmtId="0" fontId="3" fillId="0" borderId="3" xfId="0" applyFont="1" applyBorder="1" applyAlignment="1">
      <alignment horizontal="left" vertical="top" wrapText="1"/>
    </xf>
    <xf numFmtId="0" fontId="3" fillId="0" borderId="0" xfId="0" applyFont="1" applyAlignment="1">
      <alignment horizontal="left" vertical="top" wrapText="1"/>
    </xf>
    <xf numFmtId="0" fontId="3" fillId="0" borderId="4" xfId="0" applyFont="1" applyBorder="1" applyAlignment="1">
      <alignment horizontal="left" vertical="top" wrapText="1"/>
    </xf>
    <xf numFmtId="11" fontId="0" fillId="0" borderId="11" xfId="0" applyNumberFormat="1" applyBorder="1" applyAlignment="1">
      <alignment horizontal="center"/>
    </xf>
    <xf numFmtId="11" fontId="0" fillId="0" borderId="12" xfId="0" applyNumberFormat="1" applyBorder="1" applyAlignment="1">
      <alignment horizontal="center"/>
    </xf>
    <xf numFmtId="0" fontId="44" fillId="10" borderId="65" xfId="0" applyFont="1" applyFill="1" applyBorder="1" applyAlignment="1">
      <alignment horizontal="center"/>
    </xf>
    <xf numFmtId="0" fontId="44" fillId="10" borderId="66" xfId="0" applyFont="1" applyFill="1" applyBorder="1" applyAlignment="1">
      <alignment horizontal="center"/>
    </xf>
    <xf numFmtId="0" fontId="44" fillId="10" borderId="67" xfId="0" applyFont="1" applyFill="1" applyBorder="1" applyAlignment="1">
      <alignment horizontal="center"/>
    </xf>
    <xf numFmtId="1" fontId="11" fillId="4" borderId="11" xfId="0" applyNumberFormat="1" applyFont="1" applyFill="1" applyBorder="1" applyAlignment="1">
      <alignment horizontal="center" wrapText="1"/>
    </xf>
    <xf numFmtId="1" fontId="11" fillId="4" borderId="12" xfId="0" applyNumberFormat="1" applyFont="1" applyFill="1" applyBorder="1" applyAlignment="1">
      <alignment horizontal="center" wrapText="1"/>
    </xf>
    <xf numFmtId="0" fontId="9" fillId="0" borderId="3" xfId="0" applyFont="1" applyBorder="1" applyAlignment="1">
      <alignment horizontal="right"/>
    </xf>
    <xf numFmtId="0" fontId="9" fillId="0" borderId="0" xfId="0" applyFont="1" applyAlignment="1">
      <alignment horizontal="right"/>
    </xf>
    <xf numFmtId="0" fontId="9" fillId="3" borderId="11" xfId="0" applyFont="1" applyFill="1" applyBorder="1" applyAlignment="1" applyProtection="1">
      <alignment horizontal="center"/>
      <protection locked="0"/>
    </xf>
    <xf numFmtId="0" fontId="9" fillId="3" borderId="12" xfId="0" applyFon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9" fillId="0" borderId="3" xfId="0" applyFont="1" applyBorder="1" applyAlignment="1">
      <alignment horizontal="right" wrapText="1"/>
    </xf>
    <xf numFmtId="0" fontId="9" fillId="0" borderId="0" xfId="0" applyFont="1" applyAlignment="1">
      <alignment horizontal="right" wrapText="1"/>
    </xf>
    <xf numFmtId="0" fontId="9" fillId="3" borderId="11" xfId="0" applyFont="1" applyFill="1" applyBorder="1" applyAlignment="1" applyProtection="1">
      <alignment horizontal="center" wrapText="1"/>
      <protection locked="0"/>
    </xf>
    <xf numFmtId="0" fontId="9" fillId="3" borderId="12" xfId="0" applyFont="1" applyFill="1" applyBorder="1" applyAlignment="1" applyProtection="1">
      <alignment horizontal="center" wrapText="1"/>
      <protection locked="0"/>
    </xf>
    <xf numFmtId="1" fontId="13" fillId="0" borderId="3" xfId="0" applyNumberFormat="1" applyFont="1" applyBorder="1" applyAlignment="1">
      <alignment horizontal="left" wrapText="1"/>
    </xf>
    <xf numFmtId="1" fontId="13" fillId="0" borderId="0" xfId="0" applyNumberFormat="1" applyFont="1" applyAlignment="1">
      <alignment horizontal="left" wrapText="1"/>
    </xf>
    <xf numFmtId="1" fontId="11" fillId="5" borderId="11" xfId="0" applyNumberFormat="1" applyFont="1" applyFill="1" applyBorder="1" applyAlignment="1">
      <alignment horizontal="center" wrapText="1"/>
    </xf>
    <xf numFmtId="1" fontId="11" fillId="5" borderId="12" xfId="0" applyNumberFormat="1" applyFont="1" applyFill="1" applyBorder="1" applyAlignment="1">
      <alignment horizontal="center" wrapText="1"/>
    </xf>
    <xf numFmtId="0" fontId="11" fillId="3" borderId="11" xfId="0" applyFont="1" applyFill="1" applyBorder="1" applyAlignment="1" applyProtection="1">
      <alignment horizontal="center" wrapText="1"/>
      <protection locked="0"/>
    </xf>
    <xf numFmtId="0" fontId="11" fillId="3" borderId="12" xfId="0" applyFont="1" applyFill="1" applyBorder="1" applyAlignment="1" applyProtection="1">
      <alignment horizontal="center" wrapText="1"/>
      <protection locked="0"/>
    </xf>
    <xf numFmtId="1" fontId="11" fillId="4" borderId="11" xfId="0" applyNumberFormat="1" applyFont="1" applyFill="1" applyBorder="1" applyAlignment="1">
      <alignment horizontal="center"/>
    </xf>
    <xf numFmtId="1" fontId="11" fillId="4" borderId="12" xfId="0" applyNumberFormat="1" applyFont="1" applyFill="1" applyBorder="1" applyAlignment="1">
      <alignment horizontal="center"/>
    </xf>
    <xf numFmtId="1" fontId="9" fillId="4" borderId="11" xfId="0" applyNumberFormat="1" applyFont="1" applyFill="1" applyBorder="1" applyAlignment="1">
      <alignment horizontal="center"/>
    </xf>
    <xf numFmtId="1" fontId="9" fillId="4" borderId="12" xfId="0" applyNumberFormat="1" applyFont="1" applyFill="1" applyBorder="1" applyAlignment="1">
      <alignment horizontal="center"/>
    </xf>
    <xf numFmtId="164" fontId="11" fillId="4" borderId="11" xfId="0" applyNumberFormat="1" applyFont="1" applyFill="1" applyBorder="1" applyAlignment="1">
      <alignment horizontal="center"/>
    </xf>
    <xf numFmtId="164" fontId="11" fillId="4" borderId="12" xfId="0" applyNumberFormat="1" applyFont="1" applyFill="1" applyBorder="1" applyAlignment="1">
      <alignment horizontal="center"/>
    </xf>
    <xf numFmtId="164" fontId="0" fillId="3" borderId="11" xfId="0" applyNumberFormat="1" applyFill="1" applyBorder="1" applyAlignment="1" applyProtection="1">
      <alignment horizontal="center"/>
      <protection locked="0"/>
    </xf>
    <xf numFmtId="164" fontId="0" fillId="3" borderId="12" xfId="0" applyNumberFormat="1" applyFill="1" applyBorder="1" applyAlignment="1" applyProtection="1">
      <alignment horizontal="center"/>
      <protection locked="0"/>
    </xf>
    <xf numFmtId="0" fontId="0" fillId="0" borderId="5" xfId="0" applyBorder="1" applyAlignment="1">
      <alignment horizontal="left"/>
    </xf>
    <xf numFmtId="0" fontId="0" fillId="0" borderId="2" xfId="0" applyBorder="1" applyAlignment="1">
      <alignment horizontal="left"/>
    </xf>
    <xf numFmtId="0" fontId="0" fillId="0" borderId="6" xfId="0" applyBorder="1" applyAlignment="1">
      <alignment horizontal="left"/>
    </xf>
    <xf numFmtId="0" fontId="0" fillId="3" borderId="11" xfId="0" applyFill="1" applyBorder="1" applyAlignment="1" applyProtection="1">
      <alignment horizontal="center"/>
      <protection locked="0"/>
    </xf>
    <xf numFmtId="0" fontId="0" fillId="3" borderId="12" xfId="0" applyFill="1" applyBorder="1" applyAlignment="1" applyProtection="1">
      <alignment horizontal="center"/>
      <protection locked="0"/>
    </xf>
    <xf numFmtId="1" fontId="9" fillId="3" borderId="11" xfId="0" applyNumberFormat="1" applyFont="1" applyFill="1" applyBorder="1" applyAlignment="1" applyProtection="1">
      <alignment horizontal="center" wrapText="1"/>
      <protection locked="0"/>
    </xf>
    <xf numFmtId="1" fontId="9" fillId="3" borderId="12" xfId="0" applyNumberFormat="1" applyFont="1" applyFill="1" applyBorder="1" applyAlignment="1" applyProtection="1">
      <alignment horizontal="center" wrapText="1"/>
      <protection locked="0"/>
    </xf>
    <xf numFmtId="1" fontId="13" fillId="0" borderId="2" xfId="0" applyNumberFormat="1" applyFont="1" applyBorder="1" applyAlignment="1">
      <alignment horizontal="center" wrapText="1"/>
    </xf>
    <xf numFmtId="11" fontId="9" fillId="4" borderId="11" xfId="0" applyNumberFormat="1" applyFont="1" applyFill="1" applyBorder="1" applyAlignment="1">
      <alignment horizontal="center"/>
    </xf>
    <xf numFmtId="11" fontId="9" fillId="4" borderId="12" xfId="0" applyNumberFormat="1" applyFont="1" applyFill="1" applyBorder="1" applyAlignment="1">
      <alignment horizontal="center"/>
    </xf>
    <xf numFmtId="0" fontId="9" fillId="4" borderId="11" xfId="0" applyFont="1" applyFill="1" applyBorder="1" applyAlignment="1">
      <alignment horizontal="center"/>
    </xf>
    <xf numFmtId="0" fontId="9" fillId="4" borderId="12" xfId="0" applyFont="1" applyFill="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164" fontId="11" fillId="3" borderId="11" xfId="0" applyNumberFormat="1" applyFont="1" applyFill="1" applyBorder="1" applyAlignment="1" applyProtection="1">
      <alignment horizontal="center" wrapText="1"/>
      <protection locked="0"/>
    </xf>
    <xf numFmtId="164" fontId="11" fillId="3" borderId="12" xfId="0" applyNumberFormat="1" applyFont="1" applyFill="1" applyBorder="1" applyAlignment="1" applyProtection="1">
      <alignment horizontal="center" wrapText="1"/>
      <protection locked="0"/>
    </xf>
    <xf numFmtId="0" fontId="3" fillId="0" borderId="0" xfId="3" applyFont="1" applyAlignment="1">
      <alignment horizontal="center"/>
    </xf>
    <xf numFmtId="0" fontId="4" fillId="0" borderId="8" xfId="3" applyBorder="1" applyAlignment="1">
      <alignment horizontal="center"/>
    </xf>
    <xf numFmtId="0" fontId="9" fillId="0" borderId="3" xfId="3" applyFont="1" applyBorder="1" applyAlignment="1">
      <alignment horizontal="right" wrapText="1"/>
    </xf>
    <xf numFmtId="0" fontId="9" fillId="0" borderId="0" xfId="3" applyFont="1" applyAlignment="1">
      <alignment horizontal="right" wrapText="1"/>
    </xf>
    <xf numFmtId="0" fontId="9" fillId="0" borderId="4" xfId="3" applyFont="1" applyBorder="1" applyAlignment="1">
      <alignment horizontal="right" wrapText="1"/>
    </xf>
    <xf numFmtId="0" fontId="9" fillId="3" borderId="5" xfId="3" applyFont="1" applyFill="1" applyBorder="1" applyAlignment="1" applyProtection="1">
      <alignment horizontal="center" wrapText="1"/>
      <protection locked="0"/>
    </xf>
    <xf numFmtId="0" fontId="9" fillId="3" borderId="2" xfId="3" applyFont="1" applyFill="1" applyBorder="1" applyAlignment="1" applyProtection="1">
      <alignment horizontal="center" wrapText="1"/>
      <protection locked="0"/>
    </xf>
    <xf numFmtId="0" fontId="9" fillId="0" borderId="0" xfId="3" applyFont="1" applyAlignment="1">
      <alignment horizontal="right"/>
    </xf>
    <xf numFmtId="0" fontId="9" fillId="0" borderId="4" xfId="3" applyFont="1" applyBorder="1" applyAlignment="1">
      <alignment horizontal="right"/>
    </xf>
    <xf numFmtId="2" fontId="9" fillId="11" borderId="11" xfId="3" applyNumberFormat="1" applyFont="1" applyFill="1" applyBorder="1" applyAlignment="1">
      <alignment horizontal="center"/>
    </xf>
    <xf numFmtId="2" fontId="9" fillId="11" borderId="12" xfId="3" applyNumberFormat="1" applyFont="1" applyFill="1" applyBorder="1" applyAlignment="1">
      <alignment horizontal="center"/>
    </xf>
    <xf numFmtId="0" fontId="4" fillId="0" borderId="3" xfId="3" applyBorder="1" applyAlignment="1">
      <alignment horizontal="right"/>
    </xf>
    <xf numFmtId="0" fontId="4" fillId="0" borderId="0" xfId="3" applyAlignment="1">
      <alignment horizontal="right"/>
    </xf>
    <xf numFmtId="0" fontId="4" fillId="0" borderId="4" xfId="3" applyBorder="1" applyAlignment="1">
      <alignment horizontal="right"/>
    </xf>
    <xf numFmtId="164" fontId="9" fillId="4" borderId="11" xfId="3" applyNumberFormat="1" applyFont="1" applyFill="1" applyBorder="1" applyAlignment="1">
      <alignment horizontal="center"/>
    </xf>
    <xf numFmtId="164" fontId="9" fillId="4" borderId="12" xfId="3" applyNumberFormat="1" applyFont="1" applyFill="1" applyBorder="1" applyAlignment="1">
      <alignment horizontal="center"/>
    </xf>
    <xf numFmtId="0" fontId="9" fillId="3" borderId="11" xfId="3" applyFont="1" applyFill="1" applyBorder="1" applyAlignment="1" applyProtection="1">
      <alignment horizontal="center" wrapText="1"/>
      <protection locked="0"/>
    </xf>
    <xf numFmtId="0" fontId="9" fillId="3" borderId="12" xfId="3" applyFont="1" applyFill="1" applyBorder="1" applyAlignment="1" applyProtection="1">
      <alignment horizontal="center" wrapText="1"/>
      <protection locked="0"/>
    </xf>
    <xf numFmtId="0" fontId="9" fillId="3" borderId="36" xfId="0" applyFont="1" applyFill="1" applyBorder="1" applyAlignment="1" applyProtection="1">
      <alignment horizontal="center" wrapText="1"/>
      <protection locked="0"/>
    </xf>
    <xf numFmtId="0" fontId="9" fillId="3" borderId="31" xfId="0" applyFont="1" applyFill="1" applyBorder="1" applyAlignment="1" applyProtection="1">
      <alignment horizontal="center" wrapText="1"/>
      <protection locked="0"/>
    </xf>
    <xf numFmtId="0" fontId="0" fillId="19" borderId="58" xfId="0" applyFill="1" applyBorder="1" applyAlignment="1">
      <alignment horizontal="center" vertical="center" wrapText="1"/>
    </xf>
    <xf numFmtId="0" fontId="0" fillId="19" borderId="27" xfId="0" applyFill="1" applyBorder="1" applyAlignment="1">
      <alignment horizontal="center" vertical="center" wrapText="1"/>
    </xf>
    <xf numFmtId="0" fontId="0" fillId="19" borderId="59" xfId="0" applyFill="1" applyBorder="1" applyAlignment="1">
      <alignment horizontal="center" vertical="center" wrapText="1"/>
    </xf>
    <xf numFmtId="0" fontId="0" fillId="19" borderId="63" xfId="0" applyFill="1" applyBorder="1" applyAlignment="1">
      <alignment horizontal="center" vertical="center" wrapText="1"/>
    </xf>
    <xf numFmtId="0" fontId="0" fillId="19" borderId="28" xfId="0" applyFill="1" applyBorder="1" applyAlignment="1">
      <alignment horizontal="center" vertical="center" wrapText="1"/>
    </xf>
    <xf numFmtId="0" fontId="0" fillId="19" borderId="64" xfId="0" applyFill="1" applyBorder="1" applyAlignment="1">
      <alignment horizontal="center" vertical="center" wrapText="1"/>
    </xf>
    <xf numFmtId="0" fontId="45" fillId="10" borderId="49" xfId="0" applyFont="1" applyFill="1" applyBorder="1" applyAlignment="1">
      <alignment horizontal="center" vertical="center"/>
    </xf>
    <xf numFmtId="0" fontId="45" fillId="10" borderId="47" xfId="0" applyFont="1" applyFill="1" applyBorder="1" applyAlignment="1">
      <alignment horizontal="center" vertical="center"/>
    </xf>
    <xf numFmtId="0" fontId="45" fillId="10" borderId="48" xfId="0" applyFont="1" applyFill="1" applyBorder="1" applyAlignment="1">
      <alignment horizontal="center" vertical="center"/>
    </xf>
    <xf numFmtId="0" fontId="45" fillId="10" borderId="52" xfId="0" applyFont="1" applyFill="1" applyBorder="1" applyAlignment="1">
      <alignment horizontal="center" vertical="center"/>
    </xf>
    <xf numFmtId="0" fontId="45" fillId="10" borderId="53" xfId="0" applyFont="1" applyFill="1" applyBorder="1" applyAlignment="1">
      <alignment horizontal="center" vertical="center"/>
    </xf>
    <xf numFmtId="0" fontId="45" fillId="10" borderId="54" xfId="0" applyFont="1" applyFill="1" applyBorder="1" applyAlignment="1">
      <alignment horizontal="center" vertical="center"/>
    </xf>
    <xf numFmtId="0" fontId="0" fillId="19" borderId="58" xfId="0" applyFill="1" applyBorder="1" applyAlignment="1">
      <alignment horizontal="center"/>
    </xf>
    <xf numFmtId="0" fontId="0" fillId="19" borderId="27" xfId="0" applyFill="1" applyBorder="1" applyAlignment="1">
      <alignment horizontal="center"/>
    </xf>
    <xf numFmtId="0" fontId="0" fillId="19" borderId="59" xfId="0" applyFill="1" applyBorder="1" applyAlignment="1">
      <alignment horizontal="center"/>
    </xf>
    <xf numFmtId="0" fontId="0" fillId="19" borderId="63" xfId="0" applyFill="1" applyBorder="1" applyAlignment="1">
      <alignment horizontal="center"/>
    </xf>
    <xf numFmtId="0" fontId="0" fillId="19" borderId="28" xfId="0" applyFill="1" applyBorder="1" applyAlignment="1">
      <alignment horizontal="center"/>
    </xf>
    <xf numFmtId="0" fontId="0" fillId="19" borderId="64" xfId="0" applyFill="1" applyBorder="1" applyAlignment="1">
      <alignment horizont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1" fillId="0" borderId="55" xfId="0" applyFont="1" applyBorder="1" applyAlignment="1">
      <alignment horizontal="center"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27" xfId="0" applyBorder="1" applyAlignment="1">
      <alignment horizontal="center" vertical="center"/>
    </xf>
    <xf numFmtId="0" fontId="46" fillId="0" borderId="69" xfId="0" applyFont="1" applyBorder="1" applyAlignment="1" applyProtection="1">
      <alignment horizontal="center" vertical="center"/>
      <protection locked="0"/>
    </xf>
    <xf numFmtId="0" fontId="46" fillId="0" borderId="48" xfId="0" applyFont="1" applyBorder="1" applyAlignment="1" applyProtection="1">
      <alignment horizontal="center" vertical="center"/>
      <protection locked="0"/>
    </xf>
    <xf numFmtId="0" fontId="46" fillId="0" borderId="33" xfId="0" applyFont="1" applyBorder="1" applyAlignment="1" applyProtection="1">
      <alignment horizontal="center" vertical="center"/>
      <protection locked="0"/>
    </xf>
    <xf numFmtId="0" fontId="46" fillId="0" borderId="70" xfId="0" applyFont="1" applyBorder="1" applyAlignment="1" applyProtection="1">
      <alignment horizontal="center" vertical="center"/>
      <protection locked="0"/>
    </xf>
    <xf numFmtId="0" fontId="46" fillId="0" borderId="56" xfId="0" applyFont="1" applyBorder="1" applyAlignment="1" applyProtection="1">
      <alignment horizontal="center" vertical="center"/>
      <protection locked="0"/>
    </xf>
    <xf numFmtId="0" fontId="46" fillId="0" borderId="57" xfId="0" applyFont="1" applyBorder="1" applyAlignment="1" applyProtection="1">
      <alignment horizontal="center" vertical="center"/>
      <protection locked="0"/>
    </xf>
    <xf numFmtId="0" fontId="46" fillId="0" borderId="27" xfId="0" applyFont="1" applyBorder="1" applyAlignment="1" applyProtection="1">
      <alignment horizontal="center" vertical="center"/>
      <protection locked="0"/>
    </xf>
    <xf numFmtId="0" fontId="46" fillId="0" borderId="59" xfId="0" applyFont="1" applyBorder="1" applyAlignment="1" applyProtection="1">
      <alignment horizontal="center" vertical="center"/>
      <protection locked="0"/>
    </xf>
    <xf numFmtId="0" fontId="44" fillId="11" borderId="49" xfId="0" applyFont="1" applyFill="1" applyBorder="1" applyAlignment="1" applyProtection="1">
      <alignment horizontal="center" vertical="center"/>
      <protection locked="0"/>
    </xf>
    <xf numFmtId="0" fontId="44" fillId="11" borderId="47" xfId="0" applyFont="1" applyFill="1" applyBorder="1" applyAlignment="1" applyProtection="1">
      <alignment horizontal="center" vertical="center"/>
      <protection locked="0"/>
    </xf>
    <xf numFmtId="0" fontId="44" fillId="11" borderId="48" xfId="0" applyFont="1" applyFill="1" applyBorder="1" applyAlignment="1" applyProtection="1">
      <alignment horizontal="center" vertical="center"/>
      <protection locked="0"/>
    </xf>
    <xf numFmtId="0" fontId="44" fillId="11" borderId="50" xfId="0" applyFont="1" applyFill="1" applyBorder="1" applyAlignment="1" applyProtection="1">
      <alignment horizontal="center" vertical="center"/>
      <protection locked="0"/>
    </xf>
    <xf numFmtId="0" fontId="44" fillId="11" borderId="0" xfId="0" applyFont="1" applyFill="1" applyAlignment="1" applyProtection="1">
      <alignment horizontal="center" vertical="center"/>
      <protection locked="0"/>
    </xf>
    <xf numFmtId="0" fontId="44" fillId="11" borderId="51" xfId="0" applyFont="1" applyFill="1" applyBorder="1" applyAlignment="1" applyProtection="1">
      <alignment horizontal="center" vertical="center"/>
      <protection locked="0"/>
    </xf>
    <xf numFmtId="0" fontId="45" fillId="11" borderId="49" xfId="0" applyFont="1" applyFill="1" applyBorder="1" applyAlignment="1" applyProtection="1">
      <alignment horizontal="center" vertical="center"/>
      <protection locked="0"/>
    </xf>
    <xf numFmtId="0" fontId="45" fillId="11" borderId="47" xfId="0" applyFont="1" applyFill="1" applyBorder="1" applyAlignment="1" applyProtection="1">
      <alignment horizontal="center" vertical="center"/>
      <protection locked="0"/>
    </xf>
    <xf numFmtId="0" fontId="45" fillId="11" borderId="48" xfId="0" applyFont="1" applyFill="1" applyBorder="1" applyAlignment="1" applyProtection="1">
      <alignment horizontal="center" vertical="center"/>
      <protection locked="0"/>
    </xf>
    <xf numFmtId="0" fontId="45" fillId="11" borderId="50" xfId="0" applyFont="1" applyFill="1" applyBorder="1" applyAlignment="1" applyProtection="1">
      <alignment horizontal="center" vertical="center"/>
      <protection locked="0"/>
    </xf>
    <xf numFmtId="0" fontId="45" fillId="11" borderId="0" xfId="0" applyFont="1" applyFill="1" applyAlignment="1" applyProtection="1">
      <alignment horizontal="center" vertical="center"/>
      <protection locked="0"/>
    </xf>
    <xf numFmtId="0" fontId="45" fillId="11" borderId="51" xfId="0" applyFont="1" applyFill="1" applyBorder="1" applyAlignment="1" applyProtection="1">
      <alignment horizontal="center" vertical="center"/>
      <protection locked="0"/>
    </xf>
    <xf numFmtId="0" fontId="0" fillId="0" borderId="55" xfId="0" applyBorder="1" applyAlignment="1">
      <alignment horizontal="center" vertical="center"/>
    </xf>
    <xf numFmtId="0" fontId="0" fillId="19" borderId="58" xfId="0" applyFill="1" applyBorder="1" applyAlignment="1">
      <alignment horizontal="center" vertical="center"/>
    </xf>
    <xf numFmtId="0" fontId="0" fillId="19" borderId="27" xfId="0" applyFill="1" applyBorder="1" applyAlignment="1">
      <alignment horizontal="center" vertical="center"/>
    </xf>
    <xf numFmtId="0" fontId="0" fillId="19" borderId="59" xfId="0" applyFill="1" applyBorder="1" applyAlignment="1">
      <alignment horizontal="center" vertical="center"/>
    </xf>
    <xf numFmtId="0" fontId="0" fillId="19" borderId="63" xfId="0" applyFill="1" applyBorder="1" applyAlignment="1">
      <alignment horizontal="center" vertical="center"/>
    </xf>
    <xf numFmtId="0" fontId="0" fillId="19" borderId="28" xfId="0" applyFill="1" applyBorder="1" applyAlignment="1">
      <alignment horizontal="center" vertical="center"/>
    </xf>
    <xf numFmtId="0" fontId="0" fillId="19" borderId="64" xfId="0" applyFill="1" applyBorder="1" applyAlignment="1">
      <alignment horizontal="center" vertical="center"/>
    </xf>
    <xf numFmtId="0" fontId="48" fillId="11" borderId="49" xfId="0" applyFont="1" applyFill="1" applyBorder="1" applyAlignment="1" applyProtection="1">
      <alignment horizontal="center" vertical="center"/>
      <protection locked="0"/>
    </xf>
    <xf numFmtId="0" fontId="46" fillId="0" borderId="47" xfId="0" applyFont="1" applyBorder="1" applyAlignment="1" applyProtection="1">
      <alignment horizontal="center" vertical="center"/>
      <protection locked="0"/>
    </xf>
    <xf numFmtId="0" fontId="46" fillId="0" borderId="35" xfId="0" applyFont="1" applyBorder="1" applyAlignment="1" applyProtection="1">
      <alignment horizontal="center" vertical="center"/>
      <protection locked="0"/>
    </xf>
    <xf numFmtId="0" fontId="0" fillId="0" borderId="75" xfId="0" applyBorder="1" applyAlignment="1">
      <alignment horizontal="center" vertical="center" wrapText="1"/>
    </xf>
    <xf numFmtId="0" fontId="0" fillId="0" borderId="31" xfId="0" applyBorder="1" applyAlignment="1">
      <alignment horizontal="center" vertical="center" wrapText="1"/>
    </xf>
    <xf numFmtId="0" fontId="46" fillId="11" borderId="56" xfId="0" applyFont="1" applyFill="1" applyBorder="1" applyAlignment="1" applyProtection="1">
      <alignment horizontal="center" vertical="center"/>
      <protection locked="0"/>
    </xf>
    <xf numFmtId="0" fontId="46" fillId="11" borderId="57" xfId="0" applyFont="1" applyFill="1" applyBorder="1" applyAlignment="1" applyProtection="1">
      <alignment horizontal="center" vertical="center"/>
      <protection locked="0"/>
    </xf>
    <xf numFmtId="0" fontId="46" fillId="11" borderId="27" xfId="0" applyFont="1" applyFill="1" applyBorder="1" applyAlignment="1" applyProtection="1">
      <alignment horizontal="center" vertical="center"/>
      <protection locked="0"/>
    </xf>
    <xf numFmtId="0" fontId="46" fillId="11" borderId="59" xfId="0" applyFont="1" applyFill="1" applyBorder="1" applyAlignment="1" applyProtection="1">
      <alignment horizontal="center" vertical="center"/>
      <protection locked="0"/>
    </xf>
    <xf numFmtId="0" fontId="1" fillId="0" borderId="55" xfId="0" applyFont="1" applyBorder="1" applyAlignment="1">
      <alignment horizontal="center" vertical="center" wrapText="1"/>
    </xf>
    <xf numFmtId="0" fontId="1" fillId="0" borderId="75" xfId="0" applyFont="1" applyBorder="1" applyAlignment="1">
      <alignment horizontal="center" vertical="center"/>
    </xf>
    <xf numFmtId="0" fontId="0" fillId="0" borderId="31" xfId="0" applyBorder="1" applyAlignment="1">
      <alignment horizontal="center" vertical="center"/>
    </xf>
    <xf numFmtId="0" fontId="0" fillId="0" borderId="75" xfId="0" applyBorder="1" applyAlignment="1">
      <alignment horizontal="center" vertical="center"/>
    </xf>
    <xf numFmtId="0" fontId="0" fillId="19" borderId="31" xfId="0" applyFill="1" applyBorder="1" applyAlignment="1">
      <alignment horizontal="center" vertical="center" wrapText="1"/>
    </xf>
    <xf numFmtId="0" fontId="0" fillId="19" borderId="30" xfId="0" applyFill="1" applyBorder="1" applyAlignment="1">
      <alignment horizontal="center" vertical="center" wrapText="1"/>
    </xf>
    <xf numFmtId="0" fontId="45" fillId="10" borderId="0" xfId="0" applyFont="1" applyFill="1" applyAlignment="1">
      <alignment horizontal="center" vertical="center"/>
    </xf>
    <xf numFmtId="0" fontId="0" fillId="19" borderId="36" xfId="0" applyFill="1" applyBorder="1" applyAlignment="1">
      <alignment horizontal="center"/>
    </xf>
    <xf numFmtId="0" fontId="0" fillId="19" borderId="34" xfId="0" applyFill="1" applyBorder="1" applyAlignment="1">
      <alignment horizontal="center"/>
    </xf>
    <xf numFmtId="0" fontId="46" fillId="19" borderId="28" xfId="0" applyFont="1" applyFill="1" applyBorder="1" applyAlignment="1">
      <alignment horizontal="center" vertical="center"/>
    </xf>
    <xf numFmtId="0" fontId="46" fillId="19" borderId="27" xfId="0" applyFont="1" applyFill="1" applyBorder="1" applyAlignment="1">
      <alignment horizontal="center" vertical="center"/>
    </xf>
    <xf numFmtId="0" fontId="46" fillId="0" borderId="49" xfId="0" applyFont="1" applyBorder="1" applyAlignment="1">
      <alignment horizontal="center" vertical="center"/>
    </xf>
    <xf numFmtId="0" fontId="46" fillId="0" borderId="47" xfId="0" applyFont="1" applyBorder="1" applyAlignment="1">
      <alignment horizontal="center" vertical="center"/>
    </xf>
    <xf numFmtId="0" fontId="46" fillId="0" borderId="48" xfId="0" applyFont="1" applyBorder="1" applyAlignment="1">
      <alignment horizontal="center" vertical="center"/>
    </xf>
    <xf numFmtId="0" fontId="46" fillId="0" borderId="52" xfId="0" applyFont="1" applyBorder="1" applyAlignment="1">
      <alignment horizontal="center" vertical="center"/>
    </xf>
    <xf numFmtId="0" fontId="46" fillId="0" borderId="53" xfId="0" applyFont="1" applyBorder="1" applyAlignment="1">
      <alignment horizontal="center" vertical="center"/>
    </xf>
    <xf numFmtId="0" fontId="46" fillId="0" borderId="54" xfId="0" applyFont="1" applyBorder="1" applyAlignment="1">
      <alignment horizontal="center" vertical="center"/>
    </xf>
    <xf numFmtId="0" fontId="0" fillId="19" borderId="60" xfId="0" applyFill="1" applyBorder="1" applyAlignment="1">
      <alignment horizontal="center" vertical="center"/>
    </xf>
    <xf numFmtId="0" fontId="0" fillId="19" borderId="61" xfId="0" applyFill="1" applyBorder="1" applyAlignment="1">
      <alignment horizontal="center" vertical="center"/>
    </xf>
    <xf numFmtId="0" fontId="0" fillId="19" borderId="61" xfId="0" applyFill="1" applyBorder="1" applyAlignment="1">
      <alignment horizontal="center"/>
    </xf>
    <xf numFmtId="0" fontId="46" fillId="19" borderId="61" xfId="0" applyFont="1" applyFill="1" applyBorder="1" applyAlignment="1">
      <alignment horizontal="center" vertical="center"/>
    </xf>
    <xf numFmtId="0" fontId="0" fillId="0" borderId="125" xfId="0" applyBorder="1" applyAlignment="1">
      <alignment horizontal="center" vertical="center" wrapText="1"/>
    </xf>
    <xf numFmtId="0" fontId="0" fillId="0" borderId="124" xfId="0" applyBorder="1" applyAlignment="1">
      <alignment horizontal="center" vertical="center" wrapText="1"/>
    </xf>
    <xf numFmtId="0" fontId="0" fillId="20" borderId="41" xfId="0" applyFill="1" applyBorder="1" applyAlignment="1">
      <alignment horizontal="center"/>
    </xf>
    <xf numFmtId="0" fontId="0" fillId="20" borderId="68" xfId="0" applyFill="1" applyBorder="1" applyAlignment="1">
      <alignment horizontal="center"/>
    </xf>
    <xf numFmtId="0" fontId="0" fillId="0" borderId="66" xfId="0" applyBorder="1" applyAlignment="1">
      <alignment horizontal="center" vertical="center" wrapText="1"/>
    </xf>
    <xf numFmtId="0" fontId="0" fillId="0" borderId="67" xfId="0" applyBorder="1" applyAlignment="1">
      <alignment horizontal="center" vertical="center" wrapText="1"/>
    </xf>
    <xf numFmtId="0" fontId="0" fillId="20" borderId="27" xfId="0" applyFill="1" applyBorder="1" applyAlignment="1">
      <alignment horizontal="center"/>
    </xf>
    <xf numFmtId="0" fontId="0" fillId="20" borderId="59" xfId="0" applyFill="1" applyBorder="1" applyAlignment="1">
      <alignment horizontal="center"/>
    </xf>
    <xf numFmtId="0" fontId="0" fillId="20" borderId="61" xfId="0" applyFill="1" applyBorder="1" applyAlignment="1">
      <alignment horizontal="center"/>
    </xf>
    <xf numFmtId="0" fontId="0" fillId="20" borderId="62" xfId="0" applyFill="1" applyBorder="1" applyAlignment="1">
      <alignment horizont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71" xfId="0" applyBorder="1" applyAlignment="1">
      <alignment horizontal="center" vertical="center"/>
    </xf>
    <xf numFmtId="0" fontId="0" fillId="0" borderId="72" xfId="0" applyBorder="1" applyAlignment="1">
      <alignment horizontal="center" vertical="center" wrapText="1"/>
    </xf>
    <xf numFmtId="0" fontId="0" fillId="0" borderId="71" xfId="0" applyBorder="1" applyAlignment="1">
      <alignment horizontal="center" vertical="center" wrapText="1"/>
    </xf>
    <xf numFmtId="0" fontId="0" fillId="0" borderId="123" xfId="0" applyBorder="1" applyAlignment="1">
      <alignment horizontal="center" vertical="center" wrapText="1"/>
    </xf>
    <xf numFmtId="0" fontId="0" fillId="19" borderId="55" xfId="0" applyFill="1" applyBorder="1" applyAlignment="1">
      <alignment horizontal="center" vertical="center"/>
    </xf>
    <xf numFmtId="0" fontId="0" fillId="19" borderId="56" xfId="0" applyFill="1" applyBorder="1" applyAlignment="1">
      <alignment horizontal="center" vertical="center"/>
    </xf>
    <xf numFmtId="0" fontId="0" fillId="19" borderId="56" xfId="0" applyFill="1" applyBorder="1" applyAlignment="1">
      <alignment horizontal="center"/>
    </xf>
    <xf numFmtId="0" fontId="46" fillId="19" borderId="56" xfId="0" applyFont="1" applyFill="1" applyBorder="1" applyAlignment="1">
      <alignment horizontal="center" vertical="center"/>
    </xf>
    <xf numFmtId="0" fontId="0" fillId="10" borderId="72" xfId="0" applyFill="1" applyBorder="1" applyAlignment="1">
      <alignment horizontal="center" vertical="center"/>
    </xf>
    <xf numFmtId="0" fontId="0" fillId="10" borderId="66" xfId="0" applyFill="1" applyBorder="1" applyAlignment="1">
      <alignment horizontal="center" vertical="center"/>
    </xf>
    <xf numFmtId="0" fontId="0" fillId="10" borderId="71" xfId="0" applyFill="1" applyBorder="1" applyAlignment="1">
      <alignment horizontal="center" vertical="center"/>
    </xf>
    <xf numFmtId="0" fontId="0" fillId="10" borderId="72"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71" xfId="0" applyFill="1" applyBorder="1" applyAlignment="1">
      <alignment horizontal="center" vertical="center" wrapText="1"/>
    </xf>
    <xf numFmtId="0" fontId="1" fillId="10" borderId="72" xfId="0" applyFont="1" applyFill="1" applyBorder="1" applyAlignment="1">
      <alignment horizontal="center" vertical="center" wrapText="1"/>
    </xf>
    <xf numFmtId="0" fontId="0" fillId="10" borderId="67" xfId="0" applyFill="1" applyBorder="1" applyAlignment="1">
      <alignment horizontal="center" vertical="center" wrapText="1"/>
    </xf>
    <xf numFmtId="0" fontId="0" fillId="10" borderId="65" xfId="0" applyFill="1" applyBorder="1" applyAlignment="1">
      <alignment horizontal="center" vertical="center"/>
    </xf>
    <xf numFmtId="0" fontId="46" fillId="19" borderId="57" xfId="0" applyFont="1" applyFill="1" applyBorder="1" applyAlignment="1">
      <alignment horizontal="center" vertical="center"/>
    </xf>
    <xf numFmtId="0" fontId="46" fillId="19" borderId="62" xfId="0" applyFont="1" applyFill="1" applyBorder="1" applyAlignment="1">
      <alignment horizontal="center" vertical="center"/>
    </xf>
    <xf numFmtId="0" fontId="46" fillId="19" borderId="59" xfId="0" applyFont="1" applyFill="1" applyBorder="1" applyAlignment="1">
      <alignment horizontal="center" vertical="center"/>
    </xf>
    <xf numFmtId="0" fontId="46" fillId="19" borderId="64" xfId="0" applyFont="1" applyFill="1" applyBorder="1" applyAlignment="1">
      <alignment horizontal="center" vertical="center"/>
    </xf>
    <xf numFmtId="0" fontId="46" fillId="10" borderId="49" xfId="0" applyFont="1" applyFill="1" applyBorder="1" applyAlignment="1">
      <alignment horizontal="center" vertical="center"/>
    </xf>
    <xf numFmtId="0" fontId="46" fillId="10" borderId="47" xfId="0" applyFont="1" applyFill="1" applyBorder="1" applyAlignment="1">
      <alignment horizontal="center" vertical="center"/>
    </xf>
    <xf numFmtId="0" fontId="46" fillId="10" borderId="48" xfId="0" applyFont="1" applyFill="1" applyBorder="1" applyAlignment="1">
      <alignment horizontal="center" vertical="center"/>
    </xf>
    <xf numFmtId="0" fontId="46" fillId="10" borderId="52" xfId="0" applyFont="1" applyFill="1" applyBorder="1" applyAlignment="1">
      <alignment horizontal="center" vertical="center"/>
    </xf>
    <xf numFmtId="0" fontId="46" fillId="10" borderId="53" xfId="0" applyFont="1" applyFill="1" applyBorder="1" applyAlignment="1">
      <alignment horizontal="center" vertical="center"/>
    </xf>
    <xf numFmtId="0" fontId="46" fillId="10" borderId="54" xfId="0" applyFont="1" applyFill="1" applyBorder="1" applyAlignment="1">
      <alignment horizontal="center" vertical="center"/>
    </xf>
    <xf numFmtId="0" fontId="0" fillId="0" borderId="72" xfId="0" applyBorder="1" applyAlignment="1">
      <alignment horizontal="center" vertical="center"/>
    </xf>
    <xf numFmtId="0" fontId="1" fillId="0" borderId="125" xfId="0" applyFont="1" applyBorder="1" applyAlignment="1">
      <alignment horizontal="center" vertical="center" wrapText="1"/>
    </xf>
    <xf numFmtId="1" fontId="0" fillId="3" borderId="11" xfId="0" applyNumberFormat="1" applyFill="1" applyBorder="1" applyProtection="1">
      <protection locked="0"/>
    </xf>
    <xf numFmtId="1" fontId="0" fillId="3" borderId="10" xfId="0" applyNumberFormat="1" applyFill="1" applyBorder="1" applyProtection="1">
      <protection locked="0"/>
    </xf>
    <xf numFmtId="1" fontId="0" fillId="3" borderId="12" xfId="0" applyNumberFormat="1" applyFill="1" applyBorder="1" applyProtection="1">
      <protection locked="0"/>
    </xf>
    <xf numFmtId="1" fontId="0" fillId="19" borderId="11" xfId="0" applyNumberFormat="1" applyFill="1" applyBorder="1" applyProtection="1">
      <protection locked="0"/>
    </xf>
    <xf numFmtId="1" fontId="0" fillId="19" borderId="10" xfId="0" applyNumberFormat="1" applyFill="1" applyBorder="1" applyProtection="1">
      <protection locked="0"/>
    </xf>
    <xf numFmtId="1" fontId="0" fillId="19" borderId="12" xfId="0" applyNumberFormat="1" applyFill="1" applyBorder="1" applyProtection="1">
      <protection locked="0"/>
    </xf>
    <xf numFmtId="0" fontId="50" fillId="10" borderId="11" xfId="0" applyFont="1" applyFill="1" applyBorder="1" applyAlignment="1">
      <alignment horizontal="left"/>
    </xf>
    <xf numFmtId="0" fontId="50" fillId="10" borderId="10" xfId="0" applyFont="1" applyFill="1" applyBorder="1" applyAlignment="1">
      <alignment horizontal="left"/>
    </xf>
    <xf numFmtId="0" fontId="50" fillId="10" borderId="12" xfId="0" applyFont="1" applyFill="1" applyBorder="1" applyAlignment="1">
      <alignment horizontal="left"/>
    </xf>
    <xf numFmtId="0" fontId="3" fillId="10" borderId="5" xfId="0" applyFont="1" applyFill="1" applyBorder="1" applyAlignment="1">
      <alignment horizontal="center"/>
    </xf>
    <xf numFmtId="0" fontId="3" fillId="10" borderId="2" xfId="0" applyFont="1" applyFill="1" applyBorder="1" applyAlignment="1">
      <alignment horizontal="center"/>
    </xf>
    <xf numFmtId="0" fontId="3" fillId="10" borderId="6" xfId="0" applyFont="1" applyFill="1" applyBorder="1" applyAlignment="1">
      <alignment horizontal="center"/>
    </xf>
    <xf numFmtId="0" fontId="0" fillId="10" borderId="9" xfId="0" applyFill="1" applyBorder="1" applyAlignment="1">
      <alignment horizontal="center"/>
    </xf>
    <xf numFmtId="164" fontId="0" fillId="3" borderId="7" xfId="0" applyNumberFormat="1" applyFill="1" applyBorder="1" applyProtection="1">
      <protection locked="0"/>
    </xf>
    <xf numFmtId="164" fontId="0" fillId="3" borderId="8" xfId="0" applyNumberFormat="1" applyFill="1" applyBorder="1" applyProtection="1">
      <protection locked="0"/>
    </xf>
    <xf numFmtId="164" fontId="0" fillId="3" borderId="9" xfId="0" applyNumberFormat="1" applyFill="1" applyBorder="1" applyProtection="1">
      <protection locked="0"/>
    </xf>
    <xf numFmtId="2" fontId="0" fillId="3" borderId="11" xfId="0" applyNumberFormat="1" applyFill="1" applyBorder="1" applyProtection="1">
      <protection locked="0"/>
    </xf>
    <xf numFmtId="2" fontId="0" fillId="3" borderId="10" xfId="0" applyNumberFormat="1" applyFill="1" applyBorder="1" applyProtection="1">
      <protection locked="0"/>
    </xf>
    <xf numFmtId="2" fontId="0" fillId="3" borderId="12" xfId="0" applyNumberFormat="1" applyFill="1" applyBorder="1" applyProtection="1">
      <protection locked="0"/>
    </xf>
    <xf numFmtId="0" fontId="3" fillId="10" borderId="11" xfId="0" applyFont="1" applyFill="1" applyBorder="1" applyAlignment="1">
      <alignment horizontal="center"/>
    </xf>
    <xf numFmtId="0" fontId="3" fillId="10" borderId="10" xfId="0" applyFont="1" applyFill="1" applyBorder="1" applyAlignment="1">
      <alignment horizontal="center"/>
    </xf>
    <xf numFmtId="0" fontId="3" fillId="10" borderId="12" xfId="0" applyFont="1" applyFill="1" applyBorder="1" applyAlignment="1">
      <alignment horizontal="center"/>
    </xf>
    <xf numFmtId="0" fontId="0" fillId="11" borderId="10" xfId="0" applyFill="1" applyBorder="1" applyAlignment="1" applyProtection="1">
      <alignment horizontal="center"/>
      <protection locked="0"/>
    </xf>
    <xf numFmtId="0" fontId="0" fillId="11" borderId="12" xfId="0" applyFill="1" applyBorder="1" applyAlignment="1" applyProtection="1">
      <alignment horizontal="center"/>
      <protection locked="0"/>
    </xf>
    <xf numFmtId="0" fontId="1" fillId="10" borderId="5" xfId="0" applyFont="1" applyFill="1" applyBorder="1" applyAlignment="1">
      <alignment horizontal="left" wrapText="1"/>
    </xf>
    <xf numFmtId="0" fontId="1" fillId="10" borderId="2" xfId="0" applyFont="1" applyFill="1" applyBorder="1" applyAlignment="1">
      <alignment horizontal="left" wrapText="1"/>
    </xf>
    <xf numFmtId="0" fontId="1" fillId="10" borderId="6" xfId="0" applyFont="1" applyFill="1" applyBorder="1" applyAlignment="1">
      <alignment horizontal="left" wrapText="1"/>
    </xf>
    <xf numFmtId="0" fontId="1" fillId="10" borderId="7" xfId="0" applyFont="1" applyFill="1" applyBorder="1" applyAlignment="1">
      <alignment horizontal="left" wrapText="1"/>
    </xf>
    <xf numFmtId="0" fontId="1" fillId="10" borderId="8" xfId="0" applyFont="1" applyFill="1" applyBorder="1" applyAlignment="1">
      <alignment horizontal="left" wrapText="1"/>
    </xf>
    <xf numFmtId="0" fontId="1" fillId="10" borderId="9" xfId="0" applyFont="1" applyFill="1" applyBorder="1" applyAlignment="1">
      <alignment horizontal="left" wrapText="1"/>
    </xf>
    <xf numFmtId="0" fontId="35" fillId="10" borderId="2" xfId="0" applyFont="1" applyFill="1" applyBorder="1"/>
    <xf numFmtId="0" fontId="0" fillId="11" borderId="11" xfId="0" applyFill="1" applyBorder="1" applyAlignment="1" applyProtection="1">
      <alignment horizontal="center"/>
      <protection locked="0"/>
    </xf>
    <xf numFmtId="0" fontId="35" fillId="10" borderId="2" xfId="0" applyFont="1" applyFill="1" applyBorder="1" applyAlignment="1">
      <alignment wrapText="1"/>
    </xf>
    <xf numFmtId="0" fontId="35" fillId="10" borderId="0" xfId="0" applyFont="1" applyFill="1" applyAlignment="1">
      <alignment wrapText="1"/>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0" borderId="9" xfId="0" applyFont="1" applyFill="1" applyBorder="1" applyAlignment="1">
      <alignment horizontal="center"/>
    </xf>
    <xf numFmtId="0" fontId="0" fillId="11" borderId="10" xfId="0" applyFill="1" applyBorder="1" applyAlignment="1" applyProtection="1">
      <alignment horizontal="left"/>
      <protection locked="0"/>
    </xf>
    <xf numFmtId="0" fontId="0" fillId="11" borderId="12" xfId="0" applyFill="1" applyBorder="1" applyAlignment="1" applyProtection="1">
      <alignment horizontal="left"/>
      <protection locked="0"/>
    </xf>
    <xf numFmtId="0" fontId="1" fillId="0" borderId="12" xfId="0" applyFont="1" applyBorder="1"/>
    <xf numFmtId="0" fontId="1" fillId="10" borderId="5" xfId="0" applyFont="1" applyFill="1" applyBorder="1"/>
    <xf numFmtId="0" fontId="1" fillId="10" borderId="2" xfId="0" applyFont="1" applyFill="1" applyBorder="1"/>
    <xf numFmtId="0" fontId="1" fillId="10" borderId="6" xfId="0" applyFont="1" applyFill="1" applyBorder="1"/>
    <xf numFmtId="0" fontId="3" fillId="10" borderId="2" xfId="0" applyFont="1" applyFill="1" applyBorder="1" applyAlignment="1">
      <alignment horizontal="center" vertical="center" wrapText="1"/>
    </xf>
    <xf numFmtId="0" fontId="3" fillId="10" borderId="6" xfId="0" applyFont="1" applyFill="1" applyBorder="1" applyAlignment="1">
      <alignment horizontal="center" vertical="center" wrapText="1"/>
    </xf>
    <xf numFmtId="0" fontId="3" fillId="10" borderId="8" xfId="0" applyFont="1" applyFill="1" applyBorder="1" applyAlignment="1">
      <alignment horizontal="center" vertical="center" wrapText="1"/>
    </xf>
    <xf numFmtId="0" fontId="3" fillId="10" borderId="9" xfId="0" applyFont="1" applyFill="1" applyBorder="1" applyAlignment="1">
      <alignment horizontal="center" vertical="center" wrapText="1"/>
    </xf>
    <xf numFmtId="0" fontId="1" fillId="10" borderId="7" xfId="0" applyFont="1" applyFill="1" applyBorder="1"/>
    <xf numFmtId="0" fontId="1" fillId="10" borderId="8" xfId="0" applyFont="1" applyFill="1" applyBorder="1"/>
    <xf numFmtId="0" fontId="1" fillId="10" borderId="9" xfId="0" applyFont="1" applyFill="1" applyBorder="1"/>
    <xf numFmtId="0" fontId="0" fillId="11" borderId="7" xfId="0" applyFill="1" applyBorder="1" applyAlignment="1" applyProtection="1">
      <alignment horizontal="center"/>
      <protection locked="0"/>
    </xf>
    <xf numFmtId="0" fontId="0" fillId="11" borderId="9" xfId="0" applyFill="1" applyBorder="1" applyAlignment="1" applyProtection="1">
      <alignment horizontal="center"/>
      <protection locked="0"/>
    </xf>
    <xf numFmtId="0" fontId="1" fillId="10" borderId="1" xfId="0" applyFont="1" applyFill="1" applyBorder="1" applyAlignment="1">
      <alignment horizontal="left"/>
    </xf>
    <xf numFmtId="0" fontId="0" fillId="10" borderId="1" xfId="0" applyFill="1" applyBorder="1" applyAlignment="1">
      <alignment horizontal="left"/>
    </xf>
    <xf numFmtId="0" fontId="0" fillId="19" borderId="1" xfId="0" applyFill="1" applyBorder="1" applyAlignment="1" applyProtection="1">
      <alignment horizontal="center" vertical="center"/>
      <protection locked="0"/>
    </xf>
    <xf numFmtId="0" fontId="3" fillId="10" borderId="3" xfId="0" applyFont="1" applyFill="1" applyBorder="1" applyAlignment="1">
      <alignment vertical="center"/>
    </xf>
    <xf numFmtId="0" fontId="3" fillId="10" borderId="0" xfId="0" applyFont="1" applyFill="1" applyAlignment="1">
      <alignment vertical="center"/>
    </xf>
    <xf numFmtId="0" fontId="3" fillId="10" borderId="4" xfId="0" applyFont="1" applyFill="1" applyBorder="1" applyAlignment="1">
      <alignment vertical="center"/>
    </xf>
    <xf numFmtId="0" fontId="3" fillId="10" borderId="7" xfId="0" applyFont="1" applyFill="1" applyBorder="1" applyAlignment="1">
      <alignment vertical="center"/>
    </xf>
    <xf numFmtId="0" fontId="3" fillId="10" borderId="8" xfId="0" applyFont="1" applyFill="1" applyBorder="1" applyAlignment="1">
      <alignment vertical="center"/>
    </xf>
    <xf numFmtId="0" fontId="3" fillId="10" borderId="9" xfId="0" applyFont="1" applyFill="1" applyBorder="1" applyAlignment="1">
      <alignment vertical="center"/>
    </xf>
    <xf numFmtId="0" fontId="1" fillId="10" borderId="1" xfId="0" applyFont="1" applyFill="1" applyBorder="1" applyAlignment="1">
      <alignment wrapText="1"/>
    </xf>
    <xf numFmtId="0" fontId="0" fillId="10" borderId="1" xfId="0" applyFill="1" applyBorder="1"/>
    <xf numFmtId="0" fontId="42" fillId="10" borderId="1" xfId="0" applyFont="1" applyFill="1" applyBorder="1"/>
    <xf numFmtId="0" fontId="0" fillId="19" borderId="1" xfId="0" applyFill="1" applyBorder="1" applyAlignment="1" applyProtection="1">
      <alignment horizontal="center"/>
      <protection locked="0"/>
    </xf>
    <xf numFmtId="0" fontId="3" fillId="0" borderId="1" xfId="0" applyFont="1" applyBorder="1" applyAlignment="1">
      <alignment horizontal="center"/>
    </xf>
    <xf numFmtId="0" fontId="3" fillId="11"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5" xfId="0" applyFont="1" applyBorder="1" applyAlignment="1">
      <alignment horizontal="center" vertical="center" wrapText="1"/>
    </xf>
    <xf numFmtId="0" fontId="3" fillId="0" borderId="2"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9" xfId="0" applyFont="1" applyBorder="1" applyAlignment="1">
      <alignment horizontal="center" vertical="center"/>
    </xf>
    <xf numFmtId="0" fontId="3" fillId="10" borderId="4" xfId="0" applyFont="1" applyFill="1" applyBorder="1" applyAlignment="1">
      <alignment horizontal="center"/>
    </xf>
    <xf numFmtId="0" fontId="1" fillId="0" borderId="1" xfId="0" applyFont="1" applyBorder="1" applyAlignment="1">
      <alignment horizontal="center" wrapText="1"/>
    </xf>
    <xf numFmtId="0" fontId="3" fillId="0" borderId="11" xfId="0" applyFont="1" applyBorder="1" applyAlignment="1">
      <alignment horizontal="center" vertical="center"/>
    </xf>
    <xf numFmtId="0" fontId="3" fillId="11" borderId="11" xfId="0" applyFont="1" applyFill="1" applyBorder="1" applyAlignment="1" applyProtection="1">
      <alignment horizontal="center"/>
      <protection locked="0"/>
    </xf>
    <xf numFmtId="0" fontId="3" fillId="11" borderId="12" xfId="0" applyFont="1" applyFill="1" applyBorder="1" applyAlignment="1" applyProtection="1">
      <alignment horizontal="center"/>
      <protection locked="0"/>
    </xf>
    <xf numFmtId="0" fontId="0" fillId="0" borderId="5" xfId="0" applyBorder="1" applyAlignment="1">
      <alignment horizontal="left" wrapText="1"/>
    </xf>
    <xf numFmtId="0" fontId="0" fillId="0" borderId="2" xfId="0" applyBorder="1" applyAlignment="1">
      <alignment horizontal="left" wrapText="1"/>
    </xf>
    <xf numFmtId="0" fontId="0" fillId="0" borderId="6" xfId="0" applyBorder="1" applyAlignment="1">
      <alignment horizontal="left" wrapText="1"/>
    </xf>
    <xf numFmtId="0" fontId="0" fillId="0" borderId="3" xfId="0" applyBorder="1" applyAlignment="1">
      <alignment horizontal="left" wrapText="1"/>
    </xf>
    <xf numFmtId="0" fontId="0" fillId="0" borderId="0" xfId="0" applyAlignment="1">
      <alignment horizontal="left" wrapText="1"/>
    </xf>
    <xf numFmtId="0" fontId="0" fillId="0" borderId="4" xfId="0" applyBorder="1" applyAlignment="1">
      <alignment horizontal="left" wrapText="1"/>
    </xf>
    <xf numFmtId="0" fontId="3" fillId="0" borderId="0" xfId="9" applyFont="1" applyAlignment="1">
      <alignment horizontal="center"/>
    </xf>
    <xf numFmtId="0" fontId="36" fillId="0" borderId="0" xfId="9" applyFont="1" applyAlignment="1">
      <alignment wrapText="1"/>
    </xf>
    <xf numFmtId="0" fontId="36" fillId="0" borderId="0" xfId="9" applyFont="1"/>
    <xf numFmtId="0" fontId="30" fillId="0" borderId="0" xfId="9" applyFont="1" applyAlignment="1">
      <alignment wrapText="1"/>
    </xf>
    <xf numFmtId="0" fontId="30" fillId="0" borderId="0" xfId="9" applyFont="1"/>
    <xf numFmtId="0" fontId="30" fillId="0" borderId="0" xfId="0" applyFont="1" applyAlignment="1">
      <alignment wrapText="1"/>
    </xf>
    <xf numFmtId="0" fontId="30" fillId="0" borderId="0" xfId="0" applyFont="1"/>
    <xf numFmtId="0" fontId="0" fillId="10" borderId="0" xfId="0" applyFill="1" applyBorder="1"/>
    <xf numFmtId="0" fontId="1" fillId="3" borderId="0" xfId="0" applyFont="1" applyFill="1" applyBorder="1" applyProtection="1">
      <protection locked="0"/>
    </xf>
    <xf numFmtId="0" fontId="0" fillId="0" borderId="0" xfId="0" applyBorder="1"/>
    <xf numFmtId="0" fontId="0" fillId="0" borderId="0" xfId="0" applyFill="1" applyBorder="1"/>
    <xf numFmtId="0" fontId="3" fillId="0" borderId="1" xfId="0" applyFont="1" applyFill="1" applyBorder="1" applyAlignment="1">
      <alignment horizontal="center"/>
    </xf>
    <xf numFmtId="0" fontId="5" fillId="10" borderId="0" xfId="0" applyFont="1" applyFill="1" applyBorder="1" applyAlignment="1">
      <alignment wrapText="1"/>
    </xf>
    <xf numFmtId="0" fontId="3" fillId="0" borderId="11" xfId="0" applyFont="1" applyFill="1" applyBorder="1" applyAlignment="1">
      <alignment horizontal="center"/>
    </xf>
    <xf numFmtId="0" fontId="3" fillId="0" borderId="10" xfId="0" applyFont="1" applyFill="1" applyBorder="1"/>
    <xf numFmtId="0" fontId="3" fillId="0" borderId="12" xfId="0" applyFont="1" applyFill="1" applyBorder="1"/>
    <xf numFmtId="0" fontId="3" fillId="0" borderId="0" xfId="0" applyFont="1" applyFill="1" applyBorder="1" applyAlignment="1">
      <alignment vertical="top"/>
    </xf>
    <xf numFmtId="0" fontId="1" fillId="3" borderId="15" xfId="0" applyFont="1" applyFill="1" applyBorder="1" applyProtection="1">
      <protection locked="0"/>
    </xf>
    <xf numFmtId="0" fontId="3" fillId="0" borderId="0" xfId="0" applyFont="1" applyFill="1" applyBorder="1" applyAlignment="1">
      <alignment vertical="top" wrapText="1"/>
    </xf>
    <xf numFmtId="0" fontId="52" fillId="10" borderId="2" xfId="0" applyFont="1" applyFill="1" applyBorder="1"/>
    <xf numFmtId="1" fontId="0" fillId="19" borderId="11" xfId="0" applyNumberFormat="1" applyFill="1" applyBorder="1" applyProtection="1"/>
    <xf numFmtId="1" fontId="0" fillId="19" borderId="10" xfId="0" applyNumberFormat="1" applyFill="1" applyBorder="1" applyProtection="1"/>
    <xf numFmtId="1" fontId="0" fillId="19" borderId="12" xfId="0" applyNumberFormat="1" applyFill="1" applyBorder="1" applyProtection="1"/>
    <xf numFmtId="167" fontId="0" fillId="19" borderId="11" xfId="0" applyNumberFormat="1" applyFill="1" applyBorder="1" applyProtection="1"/>
    <xf numFmtId="167" fontId="0" fillId="19" borderId="10" xfId="0" applyNumberFormat="1" applyFill="1" applyBorder="1" applyProtection="1"/>
    <xf numFmtId="167" fontId="0" fillId="19" borderId="12" xfId="0" applyNumberFormat="1" applyFill="1" applyBorder="1" applyProtection="1"/>
    <xf numFmtId="167" fontId="0" fillId="19" borderId="11" xfId="0" applyNumberFormat="1" applyFill="1" applyBorder="1" applyAlignment="1" applyProtection="1">
      <alignment horizontal="center"/>
    </xf>
    <xf numFmtId="167" fontId="0" fillId="19" borderId="10" xfId="0" applyNumberFormat="1" applyFill="1" applyBorder="1" applyAlignment="1" applyProtection="1">
      <alignment horizontal="center"/>
    </xf>
    <xf numFmtId="167" fontId="0" fillId="19" borderId="12" xfId="0" applyNumberFormat="1" applyFill="1" applyBorder="1" applyAlignment="1" applyProtection="1">
      <alignment horizontal="center"/>
    </xf>
    <xf numFmtId="1" fontId="0" fillId="19" borderId="11" xfId="0" applyNumberFormat="1" applyFill="1" applyBorder="1" applyAlignment="1" applyProtection="1">
      <alignment horizontal="center"/>
    </xf>
    <xf numFmtId="1" fontId="0" fillId="19" borderId="10" xfId="0" applyNumberFormat="1" applyFill="1" applyBorder="1" applyAlignment="1" applyProtection="1">
      <alignment horizontal="center"/>
    </xf>
    <xf numFmtId="1" fontId="0" fillId="19" borderId="12" xfId="0" applyNumberFormat="1" applyFill="1" applyBorder="1" applyAlignment="1" applyProtection="1">
      <alignment horizontal="center"/>
    </xf>
    <xf numFmtId="0" fontId="0" fillId="19" borderId="11" xfId="0" applyFill="1" applyBorder="1" applyAlignment="1" applyProtection="1">
      <alignment horizontal="center"/>
    </xf>
    <xf numFmtId="0" fontId="0" fillId="19" borderId="10" xfId="0" applyFill="1" applyBorder="1" applyAlignment="1" applyProtection="1">
      <alignment horizontal="center"/>
    </xf>
    <xf numFmtId="0" fontId="0" fillId="19" borderId="12" xfId="0" applyFill="1" applyBorder="1" applyAlignment="1" applyProtection="1">
      <alignment horizontal="center"/>
    </xf>
  </cellXfs>
  <cellStyles count="13">
    <cellStyle name="Hyperlink" xfId="12" xr:uid="{00000000-000B-0000-0000-000008000000}"/>
    <cellStyle name="Hyperlink 2" xfId="10" xr:uid="{00000000-0005-0000-0000-000001000000}"/>
    <cellStyle name="Neutral" xfId="1" builtinId="28" customBuiltin="1"/>
    <cellStyle name="Neutral 2" xfId="2" xr:uid="{00000000-0005-0000-0000-000003000000}"/>
    <cellStyle name="Normal" xfId="0" builtinId="0"/>
    <cellStyle name="Normal 2" xfId="3" xr:uid="{00000000-0005-0000-0000-000005000000}"/>
    <cellStyle name="Normal 3" xfId="4" xr:uid="{00000000-0005-0000-0000-000006000000}"/>
    <cellStyle name="Normal 4" xfId="5" xr:uid="{00000000-0005-0000-0000-000007000000}"/>
    <cellStyle name="Normal 5" xfId="6" xr:uid="{00000000-0005-0000-0000-000008000000}"/>
    <cellStyle name="Normal 6" xfId="11" xr:uid="{39FD84AE-1FD1-4F49-9228-B2ADF10778A6}"/>
    <cellStyle name="Standaard 2" xfId="9" xr:uid="{00000000-0005-0000-0000-000009000000}"/>
    <cellStyle name="Standard 2" xfId="7" xr:uid="{00000000-0005-0000-0000-00000A000000}"/>
    <cellStyle name="Standard 3" xfId="8" xr:uid="{00000000-0005-0000-0000-00000B000000}"/>
  </cellStyles>
  <dxfs count="327">
    <dxf>
      <font>
        <color rgb="FF000000"/>
      </font>
      <fill>
        <patternFill patternType="solid">
          <bgColor theme="0" tint="-0.24994659260841701"/>
        </patternFill>
      </fill>
    </dxf>
    <dxf>
      <font>
        <color rgb="FF000000"/>
      </font>
      <fill>
        <patternFill patternType="solid">
          <bgColor theme="0" tint="-0.24994659260841701"/>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theme="0" tint="-0.24994659260841701"/>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FFFFFF"/>
        </patternFill>
      </fill>
    </dxf>
    <dxf>
      <fill>
        <patternFill>
          <bgColor rgb="FFFF0000"/>
        </patternFill>
      </fill>
    </dxf>
    <dxf>
      <fill>
        <patternFill>
          <bgColor rgb="FFFF0000"/>
        </patternFill>
      </fill>
    </dxf>
    <dxf>
      <fill>
        <patternFill>
          <bgColor rgb="FFFF0000"/>
        </patternFill>
      </fill>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ont>
        <color rgb="FFFF0000"/>
      </font>
    </dxf>
    <dxf>
      <font>
        <color theme="9" tint="-0.24994659260841701"/>
      </font>
    </dxf>
    <dxf>
      <font>
        <color rgb="FF00B050"/>
      </font>
    </dxf>
    <dxf>
      <fill>
        <patternFill>
          <bgColor rgb="FF00FF00"/>
        </patternFill>
      </fill>
    </dxf>
    <dxf>
      <fill>
        <patternFill>
          <bgColor rgb="FFFF0000"/>
        </patternFill>
      </fill>
    </dxf>
    <dxf>
      <fill>
        <patternFill>
          <bgColor rgb="FFFFC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theme="0" tint="-0.24994659260841701"/>
        </patternFill>
      </fill>
    </dxf>
    <dxf>
      <fill>
        <patternFill>
          <bgColor rgb="FFFF0000"/>
        </patternFill>
      </fill>
    </dxf>
    <dxf>
      <fill>
        <patternFill>
          <bgColor rgb="FF00FF00"/>
        </patternFill>
      </fill>
    </dxf>
    <dxf>
      <fill>
        <patternFill>
          <bgColor theme="0" tint="-0.24994659260841701"/>
        </patternFill>
      </fill>
    </dxf>
    <dxf>
      <fill>
        <patternFill>
          <bgColor rgb="FFFFFF00"/>
        </patternFill>
      </fill>
    </dxf>
    <dxf>
      <font>
        <color rgb="FF000000"/>
      </font>
      <fill>
        <patternFill patternType="solid">
          <bgColor rgb="FFFFC000"/>
        </patternFill>
      </fill>
    </dxf>
    <dxf>
      <fill>
        <patternFill patternType="solid">
          <bgColor rgb="FF00FF00"/>
        </patternFill>
      </fill>
    </dxf>
    <dxf>
      <font>
        <color rgb="FF000000"/>
      </font>
      <fill>
        <patternFill patternType="solid">
          <bgColor theme="0" tint="-0.24994659260841701"/>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theme="0"/>
        </patternFill>
      </fill>
    </dxf>
    <dxf>
      <font>
        <color theme="1"/>
      </font>
      <fill>
        <patternFill patternType="solid">
          <bgColor theme="0"/>
        </patternFill>
      </fill>
    </dxf>
    <dxf>
      <font>
        <color theme="1"/>
      </font>
      <fill>
        <patternFill patternType="solid">
          <bgColor theme="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ont>
        <color theme="1"/>
      </font>
      <fill>
        <patternFill patternType="solid">
          <bgColor rgb="FF00B050"/>
        </patternFill>
      </fill>
    </dxf>
    <dxf>
      <font>
        <color theme="1"/>
      </font>
      <fill>
        <patternFill patternType="solid">
          <bgColor rgb="FFFF0000"/>
        </patternFill>
      </fill>
    </dxf>
    <dxf>
      <font>
        <color theme="1"/>
      </font>
      <fill>
        <patternFill patternType="solid">
          <bgColor rgb="FFFFC000"/>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patternType="solid">
          <bgColor rgb="FFFF0000"/>
        </patternFill>
      </fill>
    </dxf>
    <dxf>
      <fill>
        <patternFill patternType="solid">
          <bgColor rgb="FFFF0000"/>
        </patternFill>
      </fill>
    </dxf>
    <dxf>
      <fill>
        <patternFill>
          <bgColor rgb="FFFF0000"/>
        </patternFill>
      </fill>
    </dxf>
    <dxf>
      <fill>
        <patternFill>
          <bgColor indexed="10"/>
        </patternFill>
      </fill>
    </dxf>
    <dxf>
      <fill>
        <patternFill>
          <bgColor indexed="11"/>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dxf>
    <dxf>
      <fill>
        <patternFill>
          <bgColor rgb="FF00B05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rgb="FFFF0000"/>
        </patternFill>
      </fill>
    </dxf>
    <dxf>
      <fill>
        <patternFill>
          <bgColor rgb="FFFF0000"/>
        </patternFill>
      </fill>
    </dxf>
    <dxf>
      <font>
        <b/>
        <i val="0"/>
        <color theme="1"/>
      </font>
      <fill>
        <patternFill patternType="solid">
          <bgColor rgb="FFFF0000"/>
        </patternFill>
      </fill>
    </dxf>
    <dxf>
      <font>
        <b/>
        <i val="0"/>
        <color theme="1"/>
      </font>
      <fill>
        <patternFill patternType="solid">
          <bgColor rgb="FF00B050"/>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FF0000"/>
        </patternFill>
      </fill>
    </dxf>
    <dxf>
      <fill>
        <patternFill>
          <bgColor theme="0" tint="-0.2499465926084170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F0"/>
        </patternFill>
      </fill>
    </dxf>
    <dxf>
      <fill>
        <patternFill>
          <bgColor theme="7" tint="0.39994506668294322"/>
        </patternFill>
      </fill>
    </dxf>
    <dxf>
      <font>
        <color rgb="FF000000"/>
      </font>
      <fill>
        <patternFill patternType="solid">
          <bgColor rgb="FF00FF00"/>
        </patternFill>
      </fill>
    </dxf>
    <dxf>
      <fill>
        <patternFill patternType="solid">
          <bgColor rgb="FFFF0000"/>
        </patternFill>
      </fill>
    </dxf>
    <dxf>
      <font>
        <color rgb="FF000000"/>
      </font>
      <fill>
        <patternFill patternType="solid">
          <bgColor rgb="FFFFFFFF"/>
        </patternFill>
      </fill>
    </dxf>
    <dxf>
      <font>
        <color theme="9" tint="-0.24994659260841701"/>
      </font>
    </dxf>
    <dxf>
      <fill>
        <patternFill>
          <bgColor rgb="FF00B0F0"/>
        </patternFill>
      </fill>
    </dxf>
    <dxf>
      <fill>
        <patternFill>
          <bgColor theme="7" tint="0.39994506668294322"/>
        </patternFill>
      </fill>
    </dxf>
  </dxfs>
  <tableStyles count="0" defaultTableStyle="TableStyleMedium2" defaultPivotStyle="PivotStyleLight16"/>
  <colors>
    <mruColors>
      <color rgb="FF00FF00"/>
      <color rgb="FFFF0000"/>
      <color rgb="FFFFFF66"/>
      <color rgb="FF9999FF"/>
      <color rgb="FFC0C0C0"/>
      <color rgb="FFFF9999"/>
      <color rgb="FFFFCCCC"/>
      <color rgb="FFCCFF99"/>
      <color rgb="FFFFCC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9</xdr:row>
      <xdr:rowOff>47625</xdr:rowOff>
    </xdr:from>
    <xdr:to>
      <xdr:col>18</xdr:col>
      <xdr:colOff>0</xdr:colOff>
      <xdr:row>38</xdr:row>
      <xdr:rowOff>76200</xdr:rowOff>
    </xdr:to>
    <xdr:pic>
      <xdr:nvPicPr>
        <xdr:cNvPr id="44943" name="Grafik 4">
          <a:extLst>
            <a:ext uri="{FF2B5EF4-FFF2-40B4-BE49-F238E27FC236}">
              <a16:creationId xmlns:a16="http://schemas.microsoft.com/office/drawing/2014/main" id="{C5A200DA-F92D-41B7-99F4-6FCCB70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1504950"/>
          <a:ext cx="5981700"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114300</xdr:colOff>
      <xdr:row>9</xdr:row>
      <xdr:rowOff>47625</xdr:rowOff>
    </xdr:from>
    <xdr:to>
      <xdr:col>16</xdr:col>
      <xdr:colOff>276225</xdr:colOff>
      <xdr:row>13</xdr:row>
      <xdr:rowOff>85725</xdr:rowOff>
    </xdr:to>
    <xdr:sp macro="" textlink="">
      <xdr:nvSpPr>
        <xdr:cNvPr id="2" name="Textfeld 1">
          <a:extLst>
            <a:ext uri="{FF2B5EF4-FFF2-40B4-BE49-F238E27FC236}">
              <a16:creationId xmlns:a16="http://schemas.microsoft.com/office/drawing/2014/main" id="{B2E8F4F5-7B89-42C7-A975-427F91DDEF9C}"/>
            </a:ext>
            <a:ext uri="{147F2762-F138-4A5C-976F-8EAC2B608ADB}">
              <a16:predDERef xmlns:a16="http://schemas.microsoft.com/office/drawing/2014/main" pred="{C5A200DA-F92D-41B7-99F4-6FCCB70F50EE}"/>
            </a:ext>
          </a:extLst>
        </xdr:cNvPr>
        <xdr:cNvSpPr txBox="1"/>
      </xdr:nvSpPr>
      <xdr:spPr>
        <a:xfrm>
          <a:off x="4219575" y="1504950"/>
          <a:ext cx="1495425"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a:solidFill>
                <a:schemeClr val="dk1"/>
              </a:solidFill>
              <a:latin typeface="+mn-lt"/>
              <a:ea typeface="+mn-lt"/>
              <a:cs typeface="+mn-lt"/>
            </a:rPr>
            <a:t>Higher Peak:</a:t>
          </a:r>
        </a:p>
        <a:p>
          <a:pPr marL="0" indent="0"/>
          <a:r>
            <a:rPr lang="en-US" sz="1200" b="1">
              <a:solidFill>
                <a:schemeClr val="dk1"/>
              </a:solidFill>
              <a:latin typeface="+mn-lt"/>
              <a:ea typeface="+mn-lt"/>
              <a:cs typeface="+mn-lt"/>
            </a:rPr>
            <a:t>T3.14 / T3.15</a:t>
          </a:r>
          <a:br>
            <a:rPr lang="en-US" sz="1200" b="1">
              <a:solidFill>
                <a:schemeClr val="dk1"/>
              </a:solidFill>
              <a:latin typeface="+mn-lt"/>
              <a:ea typeface="+mn-lt"/>
              <a:cs typeface="+mn-lt"/>
            </a:rPr>
          </a:br>
          <a:r>
            <a:rPr lang="en-US" sz="1200" b="1">
              <a:solidFill>
                <a:schemeClr val="dk1"/>
              </a:solidFill>
              <a:latin typeface="+mn-lt"/>
              <a:ea typeface="+mn-lt"/>
              <a:cs typeface="+mn-lt"/>
            </a:rPr>
            <a:t>requirement</a:t>
          </a:r>
        </a:p>
      </xdr:txBody>
    </xdr:sp>
    <xdr:clientData/>
  </xdr:twoCellAnchor>
  <xdr:twoCellAnchor>
    <xdr:from>
      <xdr:col>3</xdr:col>
      <xdr:colOff>0</xdr:colOff>
      <xdr:row>11</xdr:row>
      <xdr:rowOff>95250</xdr:rowOff>
    </xdr:from>
    <xdr:to>
      <xdr:col>7</xdr:col>
      <xdr:colOff>188607</xdr:colOff>
      <xdr:row>16</xdr:row>
      <xdr:rowOff>123825</xdr:rowOff>
    </xdr:to>
    <xdr:sp macro="" textlink="">
      <xdr:nvSpPr>
        <xdr:cNvPr id="4" name="Textfeld 3">
          <a:extLst>
            <a:ext uri="{FF2B5EF4-FFF2-40B4-BE49-F238E27FC236}">
              <a16:creationId xmlns:a16="http://schemas.microsoft.com/office/drawing/2014/main" id="{A2E7E8F9-F94E-4217-A2BB-E704C95A1884}"/>
            </a:ext>
          </a:extLst>
        </xdr:cNvPr>
        <xdr:cNvSpPr txBox="1"/>
      </xdr:nvSpPr>
      <xdr:spPr>
        <a:xfrm>
          <a:off x="1104900" y="2038350"/>
          <a:ext cx="1522107" cy="83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36000" rIns="0" bIns="36000" rtlCol="0" anchor="t"/>
        <a:lstStyle/>
        <a:p>
          <a:r>
            <a:rPr lang="de-DE" sz="1200" b="1"/>
            <a:t>Lower Peak:</a:t>
          </a:r>
        </a:p>
        <a:p>
          <a:r>
            <a:rPr lang="de-DE" sz="1200" b="1"/>
            <a:t>Ymax, used to derive shear strenght for  any attachment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161925</xdr:colOff>
      <xdr:row>2</xdr:row>
      <xdr:rowOff>66675</xdr:rowOff>
    </xdr:from>
    <xdr:to>
      <xdr:col>18</xdr:col>
      <xdr:colOff>98882</xdr:colOff>
      <xdr:row>17</xdr:row>
      <xdr:rowOff>44450</xdr:rowOff>
    </xdr:to>
    <xdr:grpSp>
      <xdr:nvGrpSpPr>
        <xdr:cNvPr id="2" name="Group 12">
          <a:extLst>
            <a:ext uri="{FF2B5EF4-FFF2-40B4-BE49-F238E27FC236}">
              <a16:creationId xmlns:a16="http://schemas.microsoft.com/office/drawing/2014/main" id="{24DD04E5-57A3-C3F0-777D-8F57267F7A07}"/>
            </a:ext>
          </a:extLst>
        </xdr:cNvPr>
        <xdr:cNvGrpSpPr/>
      </xdr:nvGrpSpPr>
      <xdr:grpSpPr>
        <a:xfrm>
          <a:off x="5162550" y="390525"/>
          <a:ext cx="937082" cy="2406650"/>
          <a:chOff x="8500674" y="3867150"/>
          <a:chExt cx="937082" cy="2406650"/>
        </a:xfrm>
      </xdr:grpSpPr>
      <xdr:pic>
        <xdr:nvPicPr>
          <xdr:cNvPr id="3" name="Grafik 2">
            <a:extLst>
              <a:ext uri="{FF2B5EF4-FFF2-40B4-BE49-F238E27FC236}">
                <a16:creationId xmlns:a16="http://schemas.microsoft.com/office/drawing/2014/main" id="{DDBFD802-4DCA-09AA-4BE7-6E6308B8F214}"/>
              </a:ext>
            </a:extLst>
          </xdr:cNvPr>
          <xdr:cNvPicPr>
            <a:picLocks noChangeAspect="1"/>
          </xdr:cNvPicPr>
        </xdr:nvPicPr>
        <xdr:blipFill>
          <a:blip xmlns:r="http://schemas.openxmlformats.org/officeDocument/2006/relationships" r:embed="rId1"/>
          <a:stretch>
            <a:fillRect/>
          </a:stretch>
        </xdr:blipFill>
        <xdr:spPr>
          <a:xfrm>
            <a:off x="8500674" y="3867150"/>
            <a:ext cx="937082" cy="2406650"/>
          </a:xfrm>
          <a:prstGeom prst="rect">
            <a:avLst/>
          </a:prstGeom>
        </xdr:spPr>
      </xdr:pic>
      <xdr:sp macro="" textlink="">
        <xdr:nvSpPr>
          <xdr:cNvPr id="4" name="Textfeld 13">
            <a:extLst>
              <a:ext uri="{FF2B5EF4-FFF2-40B4-BE49-F238E27FC236}">
                <a16:creationId xmlns:a16="http://schemas.microsoft.com/office/drawing/2014/main" id="{83E3388E-32CA-E164-BBE7-B18F7DFE158B}"/>
              </a:ext>
            </a:extLst>
          </xdr:cNvPr>
          <xdr:cNvSpPr txBox="1"/>
        </xdr:nvSpPr>
        <xdr:spPr>
          <a:xfrm rot="16200000">
            <a:off x="8651254" y="5016250"/>
            <a:ext cx="791483" cy="374141"/>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a:solidFill>
                  <a:srgbClr val="FF0000"/>
                </a:solidFill>
              </a:rPr>
              <a:t>&gt;80 %</a:t>
            </a:r>
          </a:p>
        </xdr:txBody>
      </xdr:sp>
    </xdr:grpSp>
    <xdr:clientData/>
  </xdr:twoCellAnchor>
  <xdr:twoCellAnchor>
    <xdr:from>
      <xdr:col>15</xdr:col>
      <xdr:colOff>47625</xdr:colOff>
      <xdr:row>10</xdr:row>
      <xdr:rowOff>59532</xdr:rowOff>
    </xdr:from>
    <xdr:to>
      <xdr:col>16</xdr:col>
      <xdr:colOff>5953</xdr:colOff>
      <xdr:row>12</xdr:row>
      <xdr:rowOff>65484</xdr:rowOff>
    </xdr:to>
    <xdr:sp macro="" textlink="">
      <xdr:nvSpPr>
        <xdr:cNvPr id="5" name="Textfeld 4">
          <a:extLst>
            <a:ext uri="{FF2B5EF4-FFF2-40B4-BE49-F238E27FC236}">
              <a16:creationId xmlns:a16="http://schemas.microsoft.com/office/drawing/2014/main" id="{7D3E2C12-9380-E5CA-2868-74CBAC91C276}"/>
            </a:ext>
          </a:extLst>
        </xdr:cNvPr>
        <xdr:cNvSpPr txBox="1"/>
      </xdr:nvSpPr>
      <xdr:spPr>
        <a:xfrm>
          <a:off x="5048250" y="1666876"/>
          <a:ext cx="291703" cy="32742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h</a:t>
          </a:r>
        </a:p>
      </xdr:txBody>
    </xdr:sp>
    <xdr:clientData/>
  </xdr:twoCellAnchor>
  <xdr:twoCellAnchor>
    <xdr:from>
      <xdr:col>17</xdr:col>
      <xdr:colOff>27384</xdr:colOff>
      <xdr:row>14</xdr:row>
      <xdr:rowOff>51198</xdr:rowOff>
    </xdr:from>
    <xdr:to>
      <xdr:col>18</xdr:col>
      <xdr:colOff>35719</xdr:colOff>
      <xdr:row>16</xdr:row>
      <xdr:rowOff>65485</xdr:rowOff>
    </xdr:to>
    <xdr:sp macro="" textlink="">
      <xdr:nvSpPr>
        <xdr:cNvPr id="6" name="Textfeld 5">
          <a:extLst>
            <a:ext uri="{FF2B5EF4-FFF2-40B4-BE49-F238E27FC236}">
              <a16:creationId xmlns:a16="http://schemas.microsoft.com/office/drawing/2014/main" id="{A77FED18-FE0A-4B2C-8801-B69F4E3179BC}"/>
            </a:ext>
          </a:extLst>
        </xdr:cNvPr>
        <xdr:cNvSpPr txBox="1"/>
      </xdr:nvSpPr>
      <xdr:spPr>
        <a:xfrm>
          <a:off x="5694759" y="2301479"/>
          <a:ext cx="341710" cy="3357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w</a:t>
          </a:r>
        </a:p>
      </xdr:txBody>
    </xdr:sp>
    <xdr:clientData/>
  </xdr:twoCellAnchor>
  <xdr:twoCellAnchor editAs="oneCell">
    <xdr:from>
      <xdr:col>10</xdr:col>
      <xdr:colOff>315057</xdr:colOff>
      <xdr:row>22</xdr:row>
      <xdr:rowOff>58616</xdr:rowOff>
    </xdr:from>
    <xdr:to>
      <xdr:col>17</xdr:col>
      <xdr:colOff>183173</xdr:colOff>
      <xdr:row>37</xdr:row>
      <xdr:rowOff>101264</xdr:rowOff>
    </xdr:to>
    <xdr:pic>
      <xdr:nvPicPr>
        <xdr:cNvPr id="7" name="Grafik 6">
          <a:extLst>
            <a:ext uri="{FF2B5EF4-FFF2-40B4-BE49-F238E27FC236}">
              <a16:creationId xmlns:a16="http://schemas.microsoft.com/office/drawing/2014/main" id="{1ED0C5C9-8AC2-4A0D-1CA0-5EA0ACB0F676}"/>
            </a:ext>
          </a:extLst>
        </xdr:cNvPr>
        <xdr:cNvPicPr>
          <a:picLocks noChangeAspect="1"/>
        </xdr:cNvPicPr>
      </xdr:nvPicPr>
      <xdr:blipFill>
        <a:blip xmlns:r="http://schemas.openxmlformats.org/officeDocument/2006/relationships" r:embed="rId2"/>
        <a:stretch>
          <a:fillRect/>
        </a:stretch>
      </xdr:blipFill>
      <xdr:spPr>
        <a:xfrm>
          <a:off x="3685442" y="3604847"/>
          <a:ext cx="2227385" cy="24605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14</xdr:col>
      <xdr:colOff>238125</xdr:colOff>
      <xdr:row>22</xdr:row>
      <xdr:rowOff>28575</xdr:rowOff>
    </xdr:to>
    <xdr:pic>
      <xdr:nvPicPr>
        <xdr:cNvPr id="6" name="Picture 6">
          <a:extLst>
            <a:ext uri="{FF2B5EF4-FFF2-40B4-BE49-F238E27FC236}">
              <a16:creationId xmlns:a16="http://schemas.microsoft.com/office/drawing/2014/main" id="{766AE5D7-02C7-4289-902A-0EC4CB1CE623}"/>
            </a:ext>
            <a:ext uri="{147F2762-F138-4A5C-976F-8EAC2B608ADB}">
              <a16:predDERef xmlns:a16="http://schemas.microsoft.com/office/drawing/2014/main" pred="{24DD04E5-57A3-C3F0-777D-8F57267F7A07}"/>
            </a:ext>
          </a:extLst>
        </xdr:cNvPr>
        <xdr:cNvPicPr>
          <a:picLocks noChangeAspect="1"/>
        </xdr:cNvPicPr>
      </xdr:nvPicPr>
      <xdr:blipFill>
        <a:blip xmlns:r="http://schemas.openxmlformats.org/officeDocument/2006/relationships" r:embed="rId1"/>
        <a:stretch>
          <a:fillRect/>
        </a:stretch>
      </xdr:blipFill>
      <xdr:spPr>
        <a:xfrm>
          <a:off x="333375" y="1295400"/>
          <a:ext cx="4572000" cy="2295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1</xdr:row>
      <xdr:rowOff>142875</xdr:rowOff>
    </xdr:from>
    <xdr:to>
      <xdr:col>18</xdr:col>
      <xdr:colOff>180975</xdr:colOff>
      <xdr:row>23</xdr:row>
      <xdr:rowOff>47625</xdr:rowOff>
    </xdr:to>
    <xdr:pic>
      <xdr:nvPicPr>
        <xdr:cNvPr id="81036" name="Grafik 2">
          <a:extLst>
            <a:ext uri="{FF2B5EF4-FFF2-40B4-BE49-F238E27FC236}">
              <a16:creationId xmlns:a16="http://schemas.microsoft.com/office/drawing/2014/main" id="{70A9386B-A334-439D-A825-F11E095B5C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304800"/>
          <a:ext cx="6172200" cy="3467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56"/>
  <sheetViews>
    <sheetView tabSelected="1" view="pageBreakPreview" zoomScaleNormal="100" zoomScaleSheetLayoutView="100" workbookViewId="0"/>
  </sheetViews>
  <sheetFormatPr defaultColWidth="11.42578125" defaultRowHeight="12.75"/>
  <cols>
    <col min="1" max="1" width="9.140625" style="174" customWidth="1"/>
    <col min="2" max="2" width="11" style="174" bestFit="1" customWidth="1"/>
    <col min="3" max="8" width="11.42578125" style="174"/>
    <col min="17" max="16384" width="11.42578125" style="174"/>
  </cols>
  <sheetData>
    <row r="1" spans="1:16">
      <c r="A1" s="173">
        <v>2026</v>
      </c>
      <c r="B1" s="173" t="s">
        <v>7</v>
      </c>
      <c r="C1" s="173" t="s">
        <v>355</v>
      </c>
      <c r="D1" s="173"/>
      <c r="E1" s="173"/>
      <c r="F1" s="173"/>
    </row>
    <row r="3" spans="1:16">
      <c r="A3" s="451" t="s">
        <v>356</v>
      </c>
      <c r="B3" s="451"/>
      <c r="C3" s="451"/>
      <c r="D3" s="451"/>
      <c r="E3" s="451"/>
      <c r="F3" s="451"/>
      <c r="G3" s="451"/>
      <c r="H3" s="451"/>
    </row>
    <row r="4" spans="1:16">
      <c r="A4" s="451"/>
      <c r="B4" s="451"/>
      <c r="C4" s="451"/>
      <c r="D4" s="451"/>
      <c r="E4" s="451"/>
      <c r="F4" s="451"/>
      <c r="G4" s="451"/>
      <c r="H4" s="451"/>
    </row>
    <row r="5" spans="1:16">
      <c r="A5" s="185"/>
      <c r="B5" s="185"/>
      <c r="C5" s="185"/>
      <c r="D5" s="185"/>
      <c r="E5" s="185"/>
      <c r="F5" s="185"/>
      <c r="G5" s="185"/>
      <c r="H5" s="185"/>
      <c r="I5" s="186"/>
      <c r="J5" s="186"/>
      <c r="K5" s="186"/>
      <c r="L5" s="186"/>
      <c r="M5" s="186"/>
      <c r="N5" s="186"/>
      <c r="O5" s="186"/>
    </row>
    <row r="6" spans="1:16">
      <c r="A6" s="452" t="s">
        <v>0</v>
      </c>
      <c r="B6" s="452"/>
      <c r="C6" s="452"/>
      <c r="D6" s="452"/>
      <c r="E6" s="452"/>
      <c r="F6" s="452"/>
      <c r="G6" s="452"/>
      <c r="H6" s="452"/>
      <c r="I6" s="186"/>
      <c r="J6" s="186"/>
      <c r="K6" s="186"/>
      <c r="L6" s="186"/>
      <c r="M6" s="186"/>
      <c r="N6" s="186"/>
      <c r="O6" s="186"/>
    </row>
    <row r="7" spans="1:16">
      <c r="A7" s="452"/>
      <c r="B7" s="452"/>
      <c r="C7" s="452"/>
      <c r="D7" s="452"/>
      <c r="E7" s="452"/>
      <c r="F7" s="452"/>
      <c r="G7" s="452"/>
      <c r="H7" s="452"/>
      <c r="I7" s="186"/>
      <c r="J7" s="186"/>
      <c r="K7" s="186"/>
      <c r="L7" s="186"/>
      <c r="M7" s="186"/>
      <c r="N7" s="186"/>
      <c r="O7" s="186"/>
    </row>
    <row r="8" spans="1:16">
      <c r="A8" s="187"/>
      <c r="B8" s="185"/>
      <c r="C8" s="185"/>
      <c r="D8" s="185"/>
      <c r="E8" s="185"/>
      <c r="F8" s="185"/>
      <c r="G8" s="185"/>
      <c r="H8" s="185"/>
      <c r="I8" s="186"/>
      <c r="J8" s="186"/>
      <c r="K8" s="186"/>
      <c r="L8" s="186"/>
      <c r="M8" s="186"/>
      <c r="N8" s="186"/>
      <c r="O8" s="186"/>
    </row>
    <row r="9" spans="1:16">
      <c r="A9" s="187" t="s">
        <v>1</v>
      </c>
      <c r="B9" s="185"/>
      <c r="C9" s="185"/>
      <c r="D9" s="185"/>
      <c r="E9" s="185"/>
      <c r="F9" s="185"/>
      <c r="G9" s="185"/>
      <c r="H9" s="185"/>
      <c r="I9" s="186"/>
      <c r="J9" s="186"/>
      <c r="K9" s="186"/>
      <c r="L9" s="186"/>
      <c r="M9" s="186"/>
      <c r="N9" s="186"/>
      <c r="O9" s="186"/>
    </row>
    <row r="10" spans="1:16">
      <c r="A10" s="187"/>
      <c r="B10" s="185"/>
      <c r="C10" s="185"/>
      <c r="D10" s="185"/>
      <c r="E10" s="185"/>
      <c r="F10" s="185"/>
      <c r="G10" s="185"/>
      <c r="H10" s="185"/>
      <c r="I10" s="186"/>
      <c r="J10" s="186"/>
      <c r="K10" s="186"/>
      <c r="L10" s="186"/>
      <c r="M10" s="186"/>
      <c r="N10" s="186"/>
      <c r="O10" s="186"/>
    </row>
    <row r="11" spans="1:16">
      <c r="A11" s="453" t="s">
        <v>434</v>
      </c>
      <c r="B11" s="453"/>
      <c r="C11" s="453"/>
      <c r="D11" s="453"/>
      <c r="E11" s="453"/>
      <c r="F11" s="453"/>
      <c r="G11" s="453"/>
      <c r="H11" s="453"/>
      <c r="I11" s="186"/>
      <c r="J11" s="186"/>
      <c r="K11" s="186"/>
      <c r="L11" s="186"/>
      <c r="M11" s="186"/>
      <c r="N11" s="186"/>
      <c r="O11" s="186"/>
    </row>
    <row r="12" spans="1:16">
      <c r="A12" s="453"/>
      <c r="B12" s="453"/>
      <c r="C12" s="453"/>
      <c r="D12" s="453"/>
      <c r="E12" s="453"/>
      <c r="F12" s="453"/>
      <c r="G12" s="453"/>
      <c r="H12" s="453"/>
      <c r="I12" s="186"/>
      <c r="J12" s="186"/>
      <c r="K12" s="186"/>
      <c r="L12" s="186"/>
      <c r="M12" s="186"/>
      <c r="N12" s="186"/>
      <c r="O12" s="186"/>
    </row>
    <row r="13" spans="1:16">
      <c r="A13" s="187"/>
      <c r="B13" s="185"/>
      <c r="C13" s="185"/>
      <c r="D13" s="185"/>
      <c r="E13" s="185"/>
      <c r="F13" s="185"/>
      <c r="G13" s="185"/>
      <c r="H13" s="185"/>
      <c r="I13" s="186"/>
      <c r="J13" s="186"/>
      <c r="K13" s="186"/>
      <c r="L13" s="186"/>
      <c r="M13" s="186"/>
      <c r="N13" s="186"/>
      <c r="O13" s="186"/>
    </row>
    <row r="14" spans="1:16">
      <c r="A14" s="454" t="s">
        <v>357</v>
      </c>
      <c r="B14" s="454"/>
      <c r="C14" s="454"/>
      <c r="D14" s="454"/>
      <c r="E14" s="454"/>
      <c r="F14" s="454"/>
      <c r="G14" s="454"/>
      <c r="H14" s="454"/>
    </row>
    <row r="15" spans="1:16">
      <c r="A15" s="454"/>
      <c r="B15" s="454"/>
      <c r="C15" s="454"/>
      <c r="D15" s="454"/>
      <c r="E15" s="454"/>
      <c r="F15" s="454"/>
      <c r="G15" s="454"/>
      <c r="H15" s="454"/>
      <c r="I15" s="186"/>
      <c r="J15" s="186"/>
      <c r="K15" s="186"/>
      <c r="L15" s="186"/>
      <c r="M15" s="186"/>
      <c r="N15" s="186"/>
      <c r="O15" s="186"/>
      <c r="P15" s="186"/>
    </row>
    <row r="16" spans="1:16">
      <c r="A16" s="451" t="s">
        <v>2</v>
      </c>
      <c r="B16" s="451"/>
      <c r="C16" s="451"/>
      <c r="D16" s="451"/>
      <c r="E16" s="451"/>
      <c r="F16" s="451"/>
      <c r="G16" s="451"/>
      <c r="H16" s="451"/>
    </row>
    <row r="17" spans="1:16">
      <c r="A17" s="451"/>
      <c r="B17" s="451"/>
      <c r="C17" s="451"/>
      <c r="D17" s="451"/>
      <c r="E17" s="451"/>
      <c r="F17" s="451"/>
      <c r="G17" s="451"/>
      <c r="H17" s="451"/>
      <c r="I17" s="186"/>
      <c r="J17" s="186"/>
      <c r="K17" s="186"/>
      <c r="L17" s="186"/>
      <c r="M17" s="186"/>
      <c r="N17" s="186"/>
      <c r="O17" s="186"/>
      <c r="P17" s="186"/>
    </row>
    <row r="18" spans="1:16" ht="12.75" customHeight="1">
      <c r="A18" s="451" t="s">
        <v>3</v>
      </c>
      <c r="B18" s="451"/>
      <c r="C18" s="451"/>
      <c r="D18" s="451"/>
      <c r="E18" s="451"/>
      <c r="F18" s="451"/>
      <c r="G18" s="451"/>
      <c r="H18" s="451"/>
      <c r="I18" s="183"/>
      <c r="J18" s="183"/>
      <c r="K18" s="183"/>
      <c r="L18" s="183"/>
      <c r="M18" s="183"/>
      <c r="N18" s="183"/>
      <c r="O18" s="183"/>
      <c r="P18" s="183"/>
    </row>
    <row r="19" spans="1:16">
      <c r="A19" s="451"/>
      <c r="B19" s="451"/>
      <c r="C19" s="451"/>
      <c r="D19" s="451"/>
      <c r="E19" s="451"/>
      <c r="F19" s="451"/>
      <c r="G19" s="451"/>
      <c r="H19" s="451"/>
      <c r="I19" s="188"/>
      <c r="J19" s="188"/>
      <c r="K19" s="188"/>
      <c r="L19" s="188"/>
      <c r="M19" s="188"/>
      <c r="N19" s="188"/>
      <c r="O19" s="188"/>
      <c r="P19" s="188"/>
    </row>
    <row r="20" spans="1:16" ht="12.75" customHeight="1">
      <c r="A20" s="443" t="s">
        <v>4</v>
      </c>
      <c r="B20" s="443"/>
      <c r="C20" s="443"/>
      <c r="D20" s="443"/>
      <c r="E20" s="443"/>
      <c r="F20" s="443"/>
      <c r="G20" s="443"/>
      <c r="H20" s="443"/>
      <c r="I20" s="188"/>
      <c r="J20" s="188"/>
      <c r="K20" s="188"/>
      <c r="L20" s="188"/>
      <c r="M20" s="188"/>
      <c r="N20" s="188"/>
      <c r="O20" s="188"/>
      <c r="P20" s="188"/>
    </row>
    <row r="21" spans="1:16">
      <c r="A21" s="443"/>
      <c r="B21" s="443"/>
      <c r="C21" s="443"/>
      <c r="D21" s="443"/>
      <c r="E21" s="443"/>
      <c r="F21" s="443"/>
      <c r="G21" s="443"/>
      <c r="H21" s="443"/>
      <c r="I21" s="188"/>
      <c r="J21" s="188"/>
      <c r="K21" s="188"/>
      <c r="L21" s="188"/>
      <c r="M21" s="188"/>
      <c r="N21" s="188"/>
      <c r="O21" s="188"/>
      <c r="P21" s="188"/>
    </row>
    <row r="22" spans="1:16">
      <c r="A22" s="187" t="s">
        <v>5</v>
      </c>
      <c r="B22" s="189"/>
      <c r="C22" s="189"/>
      <c r="D22" s="189"/>
      <c r="E22" s="189"/>
      <c r="F22" s="189"/>
      <c r="G22" s="189"/>
      <c r="H22" s="189"/>
      <c r="I22" s="188"/>
      <c r="J22" s="188"/>
      <c r="K22" s="188"/>
      <c r="L22" s="188"/>
      <c r="M22" s="188"/>
      <c r="N22" s="188"/>
      <c r="O22" s="188"/>
      <c r="P22" s="188"/>
    </row>
    <row r="23" spans="1:16">
      <c r="A23" s="190"/>
      <c r="B23" s="189"/>
      <c r="C23" s="189"/>
      <c r="D23" s="189"/>
      <c r="E23" s="189"/>
      <c r="F23" s="189"/>
      <c r="G23" s="189"/>
      <c r="H23" s="189"/>
      <c r="I23" s="188"/>
      <c r="J23" s="188"/>
      <c r="K23" s="188"/>
      <c r="L23" s="188"/>
      <c r="M23" s="188"/>
      <c r="N23" s="188"/>
      <c r="O23" s="188"/>
      <c r="P23" s="188"/>
    </row>
    <row r="24" spans="1:16">
      <c r="A24" s="444" t="s">
        <v>403</v>
      </c>
      <c r="B24" s="444"/>
      <c r="C24" s="444"/>
      <c r="D24" s="444"/>
      <c r="E24" s="444"/>
      <c r="F24" s="444"/>
      <c r="G24" s="444"/>
      <c r="H24" s="444"/>
    </row>
    <row r="25" spans="1:16">
      <c r="A25" s="444"/>
      <c r="B25" s="444"/>
      <c r="C25" s="444"/>
      <c r="D25" s="444"/>
      <c r="E25" s="444"/>
      <c r="F25" s="444"/>
      <c r="G25" s="444"/>
      <c r="H25" s="444"/>
    </row>
    <row r="26" spans="1:16">
      <c r="A26" s="444"/>
      <c r="B26" s="444"/>
      <c r="C26" s="444"/>
      <c r="D26" s="444"/>
      <c r="E26" s="444"/>
      <c r="F26" s="444"/>
      <c r="G26" s="444"/>
      <c r="H26" s="444"/>
    </row>
    <row r="27" spans="1:16" ht="13.5" thickBot="1">
      <c r="A27" s="173"/>
    </row>
    <row r="28" spans="1:16">
      <c r="A28" s="173"/>
      <c r="B28" s="445" t="s">
        <v>358</v>
      </c>
      <c r="C28" s="446"/>
      <c r="D28" s="446"/>
      <c r="E28" s="446"/>
      <c r="F28" s="446"/>
      <c r="G28" s="447"/>
    </row>
    <row r="29" spans="1:16" ht="13.5" thickBot="1">
      <c r="B29" s="448"/>
      <c r="C29" s="449"/>
      <c r="D29" s="449"/>
      <c r="E29" s="449"/>
      <c r="F29" s="449"/>
      <c r="G29" s="450"/>
      <c r="H29" s="191"/>
      <c r="I29" s="192"/>
    </row>
    <row r="30" spans="1:16">
      <c r="A30" s="193"/>
      <c r="B30" s="193"/>
      <c r="C30" s="193"/>
      <c r="D30" s="193"/>
      <c r="E30" s="193"/>
      <c r="F30" s="193"/>
      <c r="G30" s="193"/>
      <c r="H30" s="193"/>
    </row>
    <row r="31" spans="1:16" s="173" customFormat="1">
      <c r="A31" s="173" t="s">
        <v>6</v>
      </c>
      <c r="I31" s="3"/>
      <c r="J31" s="3"/>
      <c r="K31" s="3"/>
      <c r="L31" s="3"/>
      <c r="M31" s="3"/>
      <c r="N31" s="3"/>
      <c r="O31" s="3"/>
      <c r="P31" s="3"/>
    </row>
    <row r="32" spans="1:16">
      <c r="A32" s="194" t="s">
        <v>7</v>
      </c>
      <c r="B32" s="195" t="s">
        <v>431</v>
      </c>
      <c r="C32" s="195"/>
    </row>
    <row r="33" spans="1:3">
      <c r="A33" s="194"/>
      <c r="B33" s="196" t="s">
        <v>444</v>
      </c>
    </row>
    <row r="34" spans="1:3">
      <c r="A34" s="194"/>
      <c r="B34" s="196" t="s">
        <v>435</v>
      </c>
    </row>
    <row r="35" spans="1:3">
      <c r="A35" s="194"/>
      <c r="B35" s="196" t="s">
        <v>436</v>
      </c>
    </row>
    <row r="36" spans="1:3">
      <c r="A36" s="194"/>
      <c r="B36" s="196" t="s">
        <v>441</v>
      </c>
      <c r="C36" s="195"/>
    </row>
    <row r="37" spans="1:3">
      <c r="A37" s="194"/>
      <c r="B37" s="196" t="s">
        <v>443</v>
      </c>
      <c r="C37" s="195"/>
    </row>
    <row r="38" spans="1:3">
      <c r="A38" s="176"/>
      <c r="B38" s="196" t="s">
        <v>442</v>
      </c>
      <c r="C38" s="195"/>
    </row>
    <row r="39" spans="1:3">
      <c r="A39" s="176"/>
      <c r="B39" s="196" t="s">
        <v>445</v>
      </c>
      <c r="C39" s="195"/>
    </row>
    <row r="40" spans="1:3">
      <c r="A40" s="194"/>
      <c r="B40" s="197"/>
      <c r="C40" s="195"/>
    </row>
    <row r="41" spans="1:3">
      <c r="B41" s="197"/>
      <c r="C41" s="195"/>
    </row>
    <row r="42" spans="1:3">
      <c r="B42" s="197"/>
      <c r="C42" s="195"/>
    </row>
    <row r="43" spans="1:3">
      <c r="B43" s="196"/>
      <c r="C43" s="195"/>
    </row>
    <row r="44" spans="1:3">
      <c r="B44" s="196"/>
      <c r="C44" s="195"/>
    </row>
    <row r="45" spans="1:3">
      <c r="A45" s="194"/>
      <c r="B45" s="197"/>
      <c r="C45" s="195"/>
    </row>
    <row r="46" spans="1:3">
      <c r="B46" s="196"/>
      <c r="C46" s="195"/>
    </row>
    <row r="47" spans="1:3">
      <c r="B47" s="197"/>
    </row>
    <row r="48" spans="1:3">
      <c r="A48" s="194"/>
      <c r="B48" s="195"/>
    </row>
    <row r="49" spans="2:5">
      <c r="B49" s="196"/>
    </row>
    <row r="50" spans="2:5">
      <c r="B50" s="196"/>
    </row>
    <row r="51" spans="2:5">
      <c r="B51" s="196"/>
      <c r="E51" s="195"/>
    </row>
    <row r="52" spans="2:5">
      <c r="B52" s="197"/>
    </row>
    <row r="53" spans="2:5">
      <c r="B53" s="196"/>
    </row>
    <row r="56" spans="2:5">
      <c r="B56" s="196"/>
    </row>
  </sheetData>
  <sheetProtection algorithmName="SHA-512" hashValue="rV26CmU9ADjhbdp4hHyqzXutz+2J0blXIgGQBl2oy+u1ehWHtckAk8U2J+0oAJ0uEC6/EARU16A2wDIBTghvWQ==" saltValue="NoUlotGPzxfF8grX5meA0g==" spinCount="100000" sheet="1" scenarios="1"/>
  <mergeCells count="9">
    <mergeCell ref="A20:H21"/>
    <mergeCell ref="A24:H26"/>
    <mergeCell ref="B28:G29"/>
    <mergeCell ref="A3:H4"/>
    <mergeCell ref="A6:H7"/>
    <mergeCell ref="A11:H12"/>
    <mergeCell ref="A16:H17"/>
    <mergeCell ref="A18:H19"/>
    <mergeCell ref="A14:H15"/>
  </mergeCells>
  <phoneticPr fontId="18"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O118"/>
  <sheetViews>
    <sheetView view="pageBreakPreview" zoomScaleNormal="100" zoomScaleSheetLayoutView="100" workbookViewId="0">
      <selection sqref="A1:O2"/>
    </sheetView>
  </sheetViews>
  <sheetFormatPr defaultColWidth="11.42578125" defaultRowHeight="12.75"/>
  <cols>
    <col min="1" max="1" width="18.5703125" style="884" customWidth="1"/>
    <col min="2" max="2" width="5" style="884" customWidth="1"/>
    <col min="3" max="23" width="5" customWidth="1"/>
  </cols>
  <sheetData>
    <row r="1" spans="1:15">
      <c r="A1" s="886" t="s">
        <v>8</v>
      </c>
      <c r="B1" s="886"/>
      <c r="C1" s="886"/>
      <c r="D1" s="886"/>
      <c r="E1" s="886"/>
      <c r="F1" s="886"/>
      <c r="G1" s="886"/>
      <c r="H1" s="886"/>
      <c r="I1" s="886"/>
      <c r="J1" s="886"/>
      <c r="K1" s="886"/>
      <c r="L1" s="886"/>
      <c r="M1" s="886"/>
      <c r="N1" s="886"/>
      <c r="O1" s="886"/>
    </row>
    <row r="2" spans="1:15">
      <c r="A2" s="886"/>
      <c r="B2" s="886"/>
      <c r="C2" s="886"/>
      <c r="D2" s="886"/>
      <c r="E2" s="886"/>
      <c r="F2" s="886"/>
      <c r="G2" s="886"/>
      <c r="H2" s="886"/>
      <c r="I2" s="886"/>
      <c r="J2" s="886"/>
      <c r="K2" s="886"/>
      <c r="L2" s="886"/>
      <c r="M2" s="886"/>
      <c r="N2" s="886"/>
      <c r="O2" s="886"/>
    </row>
    <row r="3" spans="1:15">
      <c r="C3" s="881"/>
      <c r="D3" s="881"/>
      <c r="E3" s="881"/>
      <c r="F3" s="881"/>
      <c r="G3" s="881"/>
      <c r="H3" s="881"/>
      <c r="I3" s="881"/>
      <c r="J3" s="881"/>
      <c r="K3" s="881"/>
      <c r="L3" s="881"/>
      <c r="M3" s="881"/>
      <c r="N3" s="881"/>
      <c r="O3" s="881"/>
    </row>
    <row r="4" spans="1:15">
      <c r="A4" s="887" t="s">
        <v>9</v>
      </c>
      <c r="B4" s="455" t="s">
        <v>10</v>
      </c>
      <c r="C4" s="456"/>
      <c r="D4" s="456"/>
      <c r="E4" s="456"/>
      <c r="F4" s="456"/>
      <c r="G4" s="456"/>
      <c r="H4" s="456"/>
      <c r="I4" s="456"/>
      <c r="J4" s="456"/>
      <c r="K4" s="456"/>
      <c r="L4" s="456"/>
      <c r="M4" s="456"/>
      <c r="N4" s="456"/>
      <c r="O4" s="457"/>
    </row>
    <row r="5" spans="1:15">
      <c r="A5" s="150"/>
      <c r="B5" s="150"/>
      <c r="C5" s="882"/>
      <c r="D5" s="882"/>
      <c r="E5" s="882"/>
      <c r="F5" s="882"/>
      <c r="G5" s="882"/>
      <c r="H5" s="882"/>
      <c r="I5" s="882"/>
      <c r="J5" s="882"/>
      <c r="K5" s="882"/>
      <c r="L5" s="882"/>
      <c r="M5" s="882"/>
      <c r="N5" s="882"/>
      <c r="O5" s="145"/>
    </row>
    <row r="6" spans="1:15">
      <c r="A6" s="150"/>
      <c r="B6" s="150"/>
      <c r="C6" s="882"/>
      <c r="D6" s="882"/>
      <c r="E6" s="882"/>
      <c r="F6" s="882"/>
      <c r="G6" s="882"/>
      <c r="H6" s="882"/>
      <c r="I6" s="882"/>
      <c r="J6" s="882"/>
      <c r="K6" s="882"/>
      <c r="L6" s="882"/>
      <c r="M6" s="882"/>
      <c r="N6" s="882"/>
      <c r="O6" s="145"/>
    </row>
    <row r="7" spans="1:15">
      <c r="A7" s="150"/>
      <c r="B7" s="150"/>
      <c r="C7" s="882"/>
      <c r="D7" s="882"/>
      <c r="E7" s="882"/>
      <c r="F7" s="882"/>
      <c r="G7" s="882"/>
      <c r="H7" s="882"/>
      <c r="I7" s="882"/>
      <c r="J7" s="882"/>
      <c r="K7" s="882"/>
      <c r="L7" s="882"/>
      <c r="M7" s="882"/>
      <c r="N7" s="882"/>
      <c r="O7" s="145"/>
    </row>
    <row r="8" spans="1:15">
      <c r="A8" s="150"/>
      <c r="B8" s="150"/>
      <c r="C8" s="882"/>
      <c r="D8" s="882"/>
      <c r="E8" s="882"/>
      <c r="F8" s="882"/>
      <c r="G8" s="882"/>
      <c r="H8" s="882"/>
      <c r="I8" s="882"/>
      <c r="J8" s="882"/>
      <c r="K8" s="882"/>
      <c r="L8" s="882"/>
      <c r="M8" s="882"/>
      <c r="N8" s="882"/>
      <c r="O8" s="145"/>
    </row>
    <row r="9" spans="1:15">
      <c r="A9" s="150"/>
      <c r="B9" s="150"/>
      <c r="C9" s="882"/>
      <c r="D9" s="882"/>
      <c r="E9" s="882"/>
      <c r="F9" s="882"/>
      <c r="G9" s="882"/>
      <c r="H9" s="882"/>
      <c r="I9" s="882"/>
      <c r="J9" s="882"/>
      <c r="K9" s="882"/>
      <c r="L9" s="882"/>
      <c r="M9" s="882"/>
      <c r="N9" s="882"/>
      <c r="O9" s="145"/>
    </row>
    <row r="10" spans="1:15">
      <c r="A10" s="150"/>
      <c r="B10" s="150"/>
      <c r="C10" s="882"/>
      <c r="D10" s="882"/>
      <c r="E10" s="882"/>
      <c r="F10" s="882"/>
      <c r="G10" s="882"/>
      <c r="H10" s="882"/>
      <c r="I10" s="882"/>
      <c r="J10" s="882"/>
      <c r="K10" s="882"/>
      <c r="L10" s="882"/>
      <c r="M10" s="882"/>
      <c r="N10" s="882"/>
      <c r="O10" s="145"/>
    </row>
    <row r="11" spans="1:15">
      <c r="A11" s="150"/>
      <c r="B11" s="150"/>
      <c r="C11" s="882"/>
      <c r="D11" s="882"/>
      <c r="E11" s="882"/>
      <c r="F11" s="882"/>
      <c r="G11" s="882"/>
      <c r="H11" s="882"/>
      <c r="I11" s="882"/>
      <c r="J11" s="882"/>
      <c r="K11" s="882"/>
      <c r="L11" s="882"/>
      <c r="M11" s="882"/>
      <c r="N11" s="882"/>
      <c r="O11" s="145"/>
    </row>
    <row r="12" spans="1:15">
      <c r="A12" s="150"/>
      <c r="B12" s="150"/>
      <c r="C12" s="882"/>
      <c r="D12" s="882"/>
      <c r="E12" s="882"/>
      <c r="F12" s="882"/>
      <c r="G12" s="882"/>
      <c r="H12" s="882"/>
      <c r="I12" s="882"/>
      <c r="J12" s="882"/>
      <c r="K12" s="882"/>
      <c r="L12" s="882"/>
      <c r="M12" s="882"/>
      <c r="N12" s="882"/>
      <c r="O12" s="145"/>
    </row>
    <row r="13" spans="1:15">
      <c r="A13" s="150"/>
      <c r="B13" s="150"/>
      <c r="C13" s="882"/>
      <c r="D13" s="882"/>
      <c r="E13" s="882"/>
      <c r="F13" s="882"/>
      <c r="G13" s="882"/>
      <c r="H13" s="882"/>
      <c r="I13" s="882"/>
      <c r="J13" s="882"/>
      <c r="K13" s="882"/>
      <c r="L13" s="882"/>
      <c r="M13" s="882"/>
      <c r="N13" s="882"/>
      <c r="O13" s="145"/>
    </row>
    <row r="14" spans="1:15">
      <c r="A14" s="150"/>
      <c r="B14" s="150"/>
      <c r="C14" s="882"/>
      <c r="D14" s="882"/>
      <c r="E14" s="882"/>
      <c r="F14" s="882"/>
      <c r="G14" s="882"/>
      <c r="H14" s="882"/>
      <c r="I14" s="882"/>
      <c r="J14" s="882"/>
      <c r="K14" s="882"/>
      <c r="L14" s="882"/>
      <c r="M14" s="882"/>
      <c r="N14" s="882"/>
      <c r="O14" s="145"/>
    </row>
    <row r="15" spans="1:15">
      <c r="A15" s="150"/>
      <c r="B15" s="150"/>
      <c r="C15" s="882"/>
      <c r="D15" s="882"/>
      <c r="E15" s="882"/>
      <c r="F15" s="882"/>
      <c r="G15" s="882"/>
      <c r="H15" s="882"/>
      <c r="I15" s="882"/>
      <c r="J15" s="882"/>
      <c r="K15" s="882"/>
      <c r="L15" s="882"/>
      <c r="M15" s="882"/>
      <c r="N15" s="882"/>
      <c r="O15" s="145"/>
    </row>
    <row r="16" spans="1:15">
      <c r="A16" s="150"/>
      <c r="B16" s="150"/>
      <c r="C16" s="882"/>
      <c r="D16" s="882"/>
      <c r="E16" s="882"/>
      <c r="F16" s="882"/>
      <c r="G16" s="882"/>
      <c r="H16" s="882"/>
      <c r="I16" s="882"/>
      <c r="J16" s="882"/>
      <c r="K16" s="882"/>
      <c r="L16" s="882"/>
      <c r="M16" s="882"/>
      <c r="N16" s="882"/>
      <c r="O16" s="145"/>
    </row>
    <row r="17" spans="1:15">
      <c r="A17" s="150"/>
      <c r="B17" s="150"/>
      <c r="C17" s="882"/>
      <c r="D17" s="882"/>
      <c r="E17" s="882"/>
      <c r="F17" s="882"/>
      <c r="G17" s="882"/>
      <c r="H17" s="882"/>
      <c r="I17" s="882"/>
      <c r="J17" s="882"/>
      <c r="K17" s="882"/>
      <c r="L17" s="882"/>
      <c r="M17" s="882"/>
      <c r="N17" s="882"/>
      <c r="O17" s="145"/>
    </row>
    <row r="18" spans="1:15">
      <c r="A18" s="150"/>
      <c r="B18" s="150"/>
      <c r="C18" s="882"/>
      <c r="D18" s="882"/>
      <c r="E18" s="882"/>
      <c r="F18" s="882"/>
      <c r="G18" s="882"/>
      <c r="H18" s="882"/>
      <c r="I18" s="882"/>
      <c r="J18" s="882"/>
      <c r="K18" s="882"/>
      <c r="L18" s="882"/>
      <c r="M18" s="882"/>
      <c r="N18" s="882"/>
      <c r="O18" s="145"/>
    </row>
    <row r="19" spans="1:15">
      <c r="A19" s="150"/>
      <c r="B19" s="150"/>
      <c r="C19" s="882"/>
      <c r="D19" s="882"/>
      <c r="E19" s="882"/>
      <c r="F19" s="882"/>
      <c r="G19" s="882"/>
      <c r="H19" s="882"/>
      <c r="I19" s="882"/>
      <c r="J19" s="882"/>
      <c r="K19" s="882"/>
      <c r="L19" s="882"/>
      <c r="M19" s="882"/>
      <c r="N19" s="882"/>
      <c r="O19" s="145"/>
    </row>
    <row r="20" spans="1:15">
      <c r="A20" s="150"/>
      <c r="B20" s="150"/>
      <c r="C20" s="882"/>
      <c r="D20" s="882"/>
      <c r="E20" s="882"/>
      <c r="F20" s="882"/>
      <c r="G20" s="882"/>
      <c r="H20" s="882"/>
      <c r="I20" s="882"/>
      <c r="J20" s="882"/>
      <c r="K20" s="882"/>
      <c r="L20" s="882"/>
      <c r="M20" s="882"/>
      <c r="N20" s="882"/>
      <c r="O20" s="145"/>
    </row>
    <row r="21" spans="1:15">
      <c r="A21" s="150"/>
      <c r="B21" s="150"/>
      <c r="C21" s="882"/>
      <c r="D21" s="882"/>
      <c r="E21" s="882"/>
      <c r="F21" s="882"/>
      <c r="G21" s="882"/>
      <c r="H21" s="882"/>
      <c r="I21" s="882"/>
      <c r="J21" s="882"/>
      <c r="K21" s="882"/>
      <c r="L21" s="882"/>
      <c r="M21" s="882"/>
      <c r="N21" s="882"/>
      <c r="O21" s="145"/>
    </row>
    <row r="22" spans="1:15">
      <c r="A22" s="150"/>
      <c r="B22" s="150"/>
      <c r="C22" s="882"/>
      <c r="D22" s="882"/>
      <c r="E22" s="882"/>
      <c r="F22" s="882"/>
      <c r="G22" s="882"/>
      <c r="H22" s="882"/>
      <c r="I22" s="882"/>
      <c r="J22" s="882"/>
      <c r="K22" s="882"/>
      <c r="L22" s="882"/>
      <c r="M22" s="882"/>
      <c r="N22" s="882"/>
      <c r="O22" s="145"/>
    </row>
    <row r="23" spans="1:15">
      <c r="A23" s="150"/>
      <c r="B23" s="150"/>
      <c r="C23" s="882"/>
      <c r="D23" s="882"/>
      <c r="E23" s="882"/>
      <c r="F23" s="882"/>
      <c r="G23" s="882"/>
      <c r="H23" s="882"/>
      <c r="I23" s="882"/>
      <c r="J23" s="882"/>
      <c r="K23" s="882"/>
      <c r="L23" s="882"/>
      <c r="M23" s="882"/>
      <c r="N23" s="882"/>
      <c r="O23" s="145"/>
    </row>
    <row r="24" spans="1:15">
      <c r="A24" s="150"/>
      <c r="B24" s="150"/>
      <c r="C24" s="882"/>
      <c r="D24" s="882"/>
      <c r="E24" s="882"/>
      <c r="F24" s="882"/>
      <c r="G24" s="882"/>
      <c r="H24" s="882"/>
      <c r="I24" s="882"/>
      <c r="J24" s="882"/>
      <c r="K24" s="882"/>
      <c r="L24" s="882"/>
      <c r="M24" s="882"/>
      <c r="N24" s="882"/>
      <c r="O24" s="145"/>
    </row>
    <row r="25" spans="1:15">
      <c r="A25" s="150"/>
      <c r="B25" s="150"/>
      <c r="C25" s="882"/>
      <c r="D25" s="882"/>
      <c r="E25" s="882"/>
      <c r="F25" s="882"/>
      <c r="G25" s="882"/>
      <c r="H25" s="882"/>
      <c r="I25" s="882"/>
      <c r="J25" s="882"/>
      <c r="K25" s="882"/>
      <c r="L25" s="882"/>
      <c r="M25" s="882"/>
      <c r="N25" s="882"/>
      <c r="O25" s="145"/>
    </row>
    <row r="26" spans="1:15">
      <c r="A26" s="150"/>
      <c r="B26" s="150"/>
      <c r="C26" s="882"/>
      <c r="D26" s="882"/>
      <c r="E26" s="882"/>
      <c r="F26" s="882"/>
      <c r="G26" s="882"/>
      <c r="H26" s="882"/>
      <c r="I26" s="882"/>
      <c r="J26" s="882"/>
      <c r="K26" s="882"/>
      <c r="L26" s="882"/>
      <c r="M26" s="882"/>
      <c r="N26" s="882"/>
      <c r="O26" s="145"/>
    </row>
    <row r="27" spans="1:15">
      <c r="A27" s="150"/>
      <c r="B27" s="150"/>
      <c r="C27" s="882"/>
      <c r="D27" s="882"/>
      <c r="E27" s="882"/>
      <c r="F27" s="882"/>
      <c r="G27" s="882"/>
      <c r="H27" s="882"/>
      <c r="I27" s="882"/>
      <c r="J27" s="882"/>
      <c r="K27" s="882"/>
      <c r="L27" s="882"/>
      <c r="M27" s="882"/>
      <c r="N27" s="882"/>
      <c r="O27" s="145"/>
    </row>
    <row r="28" spans="1:15">
      <c r="A28" s="150"/>
      <c r="B28" s="150"/>
      <c r="C28" s="882"/>
      <c r="D28" s="882"/>
      <c r="E28" s="882"/>
      <c r="F28" s="882"/>
      <c r="G28" s="882"/>
      <c r="H28" s="882"/>
      <c r="I28" s="882"/>
      <c r="J28" s="882"/>
      <c r="K28" s="882"/>
      <c r="L28" s="882"/>
      <c r="M28" s="882"/>
      <c r="N28" s="882"/>
      <c r="O28" s="145"/>
    </row>
    <row r="29" spans="1:15">
      <c r="A29" s="150"/>
      <c r="B29" s="150"/>
      <c r="C29" s="882"/>
      <c r="D29" s="882"/>
      <c r="E29" s="882"/>
      <c r="F29" s="882"/>
      <c r="G29" s="882"/>
      <c r="H29" s="882"/>
      <c r="I29" s="882"/>
      <c r="J29" s="882"/>
      <c r="K29" s="882"/>
      <c r="L29" s="882"/>
      <c r="M29" s="882"/>
      <c r="N29" s="882"/>
      <c r="O29" s="145"/>
    </row>
    <row r="30" spans="1:15">
      <c r="A30" s="150"/>
      <c r="B30" s="150"/>
      <c r="C30" s="882"/>
      <c r="D30" s="882"/>
      <c r="E30" s="882"/>
      <c r="F30" s="882"/>
      <c r="G30" s="882"/>
      <c r="H30" s="882"/>
      <c r="I30" s="882"/>
      <c r="J30" s="882"/>
      <c r="K30" s="882"/>
      <c r="L30" s="882"/>
      <c r="M30" s="882"/>
      <c r="N30" s="882"/>
      <c r="O30" s="145"/>
    </row>
    <row r="31" spans="1:15">
      <c r="A31" s="150"/>
      <c r="B31" s="150"/>
      <c r="C31" s="882"/>
      <c r="D31" s="882"/>
      <c r="E31" s="882"/>
      <c r="F31" s="882"/>
      <c r="G31" s="882"/>
      <c r="H31" s="882"/>
      <c r="I31" s="882"/>
      <c r="J31" s="882"/>
      <c r="K31" s="882"/>
      <c r="L31" s="882"/>
      <c r="M31" s="882"/>
      <c r="N31" s="882"/>
      <c r="O31" s="145"/>
    </row>
    <row r="32" spans="1:15">
      <c r="A32" s="150"/>
      <c r="B32" s="150"/>
      <c r="C32" s="882"/>
      <c r="D32" s="882"/>
      <c r="E32" s="882"/>
      <c r="F32" s="882"/>
      <c r="G32" s="882"/>
      <c r="H32" s="882"/>
      <c r="I32" s="882"/>
      <c r="J32" s="882"/>
      <c r="K32" s="882"/>
      <c r="L32" s="882"/>
      <c r="M32" s="882"/>
      <c r="N32" s="882"/>
      <c r="O32" s="145"/>
    </row>
    <row r="33" spans="1:15">
      <c r="A33" s="150"/>
      <c r="B33" s="150"/>
      <c r="C33" s="882"/>
      <c r="D33" s="882"/>
      <c r="E33" s="882"/>
      <c r="F33" s="882"/>
      <c r="G33" s="882"/>
      <c r="H33" s="882"/>
      <c r="I33" s="882"/>
      <c r="J33" s="882"/>
      <c r="K33" s="882"/>
      <c r="L33" s="882"/>
      <c r="M33" s="882"/>
      <c r="N33" s="882"/>
      <c r="O33" s="145"/>
    </row>
    <row r="34" spans="1:15">
      <c r="A34" s="150"/>
      <c r="B34" s="150"/>
      <c r="C34" s="882"/>
      <c r="D34" s="882"/>
      <c r="E34" s="882"/>
      <c r="F34" s="882"/>
      <c r="G34" s="882"/>
      <c r="H34" s="882"/>
      <c r="I34" s="882"/>
      <c r="J34" s="882"/>
      <c r="K34" s="882"/>
      <c r="L34" s="882"/>
      <c r="M34" s="882"/>
      <c r="N34" s="882"/>
      <c r="O34" s="145"/>
    </row>
    <row r="35" spans="1:15">
      <c r="A35" s="150"/>
      <c r="B35" s="150"/>
      <c r="C35" s="882"/>
      <c r="D35" s="882"/>
      <c r="E35" s="882"/>
      <c r="F35" s="882"/>
      <c r="G35" s="882"/>
      <c r="H35" s="882"/>
      <c r="I35" s="882"/>
      <c r="J35" s="882"/>
      <c r="K35" s="882"/>
      <c r="L35" s="882"/>
      <c r="M35" s="882"/>
      <c r="N35" s="882"/>
      <c r="O35" s="145"/>
    </row>
    <row r="36" spans="1:15">
      <c r="A36" s="150"/>
      <c r="B36" s="150"/>
      <c r="C36" s="882"/>
      <c r="D36" s="882"/>
      <c r="E36" s="882"/>
      <c r="F36" s="882"/>
      <c r="G36" s="882"/>
      <c r="H36" s="882"/>
      <c r="I36" s="882"/>
      <c r="J36" s="882"/>
      <c r="K36" s="882"/>
      <c r="L36" s="882"/>
      <c r="M36" s="882"/>
      <c r="N36" s="882"/>
      <c r="O36" s="145"/>
    </row>
    <row r="37" spans="1:15">
      <c r="A37" s="150"/>
      <c r="B37" s="150"/>
      <c r="C37" s="882"/>
      <c r="D37" s="882"/>
      <c r="E37" s="882"/>
      <c r="F37" s="882"/>
      <c r="G37" s="882"/>
      <c r="H37" s="882"/>
      <c r="I37" s="882"/>
      <c r="J37" s="882"/>
      <c r="K37" s="882"/>
      <c r="L37" s="882"/>
      <c r="M37" s="882"/>
      <c r="N37" s="882"/>
      <c r="O37" s="145"/>
    </row>
    <row r="38" spans="1:15">
      <c r="A38" s="150"/>
      <c r="B38" s="150"/>
      <c r="C38" s="882"/>
      <c r="D38" s="882"/>
      <c r="E38" s="882"/>
      <c r="F38" s="882"/>
      <c r="G38" s="882"/>
      <c r="H38" s="882"/>
      <c r="I38" s="882"/>
      <c r="J38" s="882"/>
      <c r="K38" s="882"/>
      <c r="L38" s="882"/>
      <c r="M38" s="882"/>
      <c r="N38" s="882"/>
      <c r="O38" s="145"/>
    </row>
    <row r="39" spans="1:15">
      <c r="A39" s="150"/>
      <c r="B39" s="150"/>
      <c r="C39" s="882"/>
      <c r="D39" s="882"/>
      <c r="E39" s="882"/>
      <c r="F39" s="882"/>
      <c r="G39" s="882"/>
      <c r="H39" s="882"/>
      <c r="I39" s="882"/>
      <c r="J39" s="882"/>
      <c r="K39" s="882"/>
      <c r="L39" s="882"/>
      <c r="M39" s="882"/>
      <c r="N39" s="882"/>
      <c r="O39" s="145"/>
    </row>
    <row r="40" spans="1:15">
      <c r="A40" s="150"/>
      <c r="B40" s="150"/>
      <c r="C40" s="882"/>
      <c r="D40" s="882"/>
      <c r="E40" s="882"/>
      <c r="F40" s="882"/>
      <c r="G40" s="882"/>
      <c r="H40" s="882"/>
      <c r="I40" s="882"/>
      <c r="J40" s="882"/>
      <c r="K40" s="882"/>
      <c r="L40" s="882"/>
      <c r="M40" s="882"/>
      <c r="N40" s="882"/>
      <c r="O40" s="145"/>
    </row>
    <row r="41" spans="1:15">
      <c r="A41" s="150"/>
      <c r="B41" s="150"/>
      <c r="C41" s="882"/>
      <c r="D41" s="882"/>
      <c r="E41" s="882"/>
      <c r="F41" s="882"/>
      <c r="G41" s="882"/>
      <c r="H41" s="882"/>
      <c r="I41" s="882"/>
      <c r="J41" s="882"/>
      <c r="K41" s="882"/>
      <c r="L41" s="882"/>
      <c r="M41" s="882"/>
      <c r="N41" s="882"/>
      <c r="O41" s="145"/>
    </row>
    <row r="42" spans="1:15">
      <c r="A42" s="150"/>
      <c r="B42" s="150"/>
      <c r="C42" s="882"/>
      <c r="D42" s="882"/>
      <c r="E42" s="882"/>
      <c r="F42" s="882"/>
      <c r="G42" s="882"/>
      <c r="H42" s="882"/>
      <c r="I42" s="882"/>
      <c r="J42" s="882"/>
      <c r="K42" s="882"/>
      <c r="L42" s="882"/>
      <c r="M42" s="882"/>
      <c r="N42" s="882"/>
      <c r="O42" s="145"/>
    </row>
    <row r="43" spans="1:15">
      <c r="A43" s="150"/>
      <c r="B43" s="150"/>
      <c r="C43" s="882"/>
      <c r="D43" s="882"/>
      <c r="E43" s="882"/>
      <c r="F43" s="882"/>
      <c r="G43" s="882"/>
      <c r="H43" s="882"/>
      <c r="I43" s="882"/>
      <c r="J43" s="882"/>
      <c r="K43" s="882"/>
      <c r="L43" s="882"/>
      <c r="M43" s="882"/>
      <c r="N43" s="882"/>
      <c r="O43" s="145"/>
    </row>
    <row r="44" spans="1:15">
      <c r="A44" s="150"/>
      <c r="B44" s="150"/>
      <c r="C44" s="882"/>
      <c r="D44" s="882"/>
      <c r="E44" s="882"/>
      <c r="F44" s="882"/>
      <c r="G44" s="882"/>
      <c r="H44" s="882"/>
      <c r="I44" s="882"/>
      <c r="J44" s="882"/>
      <c r="K44" s="882"/>
      <c r="L44" s="882"/>
      <c r="M44" s="882"/>
      <c r="N44" s="882"/>
      <c r="O44" s="145"/>
    </row>
    <row r="45" spans="1:15">
      <c r="A45" s="150"/>
      <c r="B45" s="150"/>
      <c r="C45" s="882"/>
      <c r="D45" s="882"/>
      <c r="E45" s="882"/>
      <c r="F45" s="882"/>
      <c r="G45" s="882"/>
      <c r="H45" s="882"/>
      <c r="I45" s="882"/>
      <c r="J45" s="882"/>
      <c r="K45" s="882"/>
      <c r="L45" s="882"/>
      <c r="M45" s="882"/>
      <c r="N45" s="882"/>
      <c r="O45" s="145"/>
    </row>
    <row r="46" spans="1:15">
      <c r="A46" s="150"/>
      <c r="B46" s="150"/>
      <c r="C46" s="882"/>
      <c r="D46" s="882"/>
      <c r="E46" s="882"/>
      <c r="F46" s="882"/>
      <c r="G46" s="882"/>
      <c r="H46" s="882"/>
      <c r="I46" s="882"/>
      <c r="J46" s="882"/>
      <c r="K46" s="882"/>
      <c r="L46" s="882"/>
      <c r="M46" s="882"/>
      <c r="N46" s="882"/>
      <c r="O46" s="145"/>
    </row>
    <row r="47" spans="1:15">
      <c r="A47" s="150"/>
      <c r="B47" s="150"/>
      <c r="C47" s="882"/>
      <c r="D47" s="882"/>
      <c r="E47" s="882"/>
      <c r="F47" s="882"/>
      <c r="G47" s="882"/>
      <c r="H47" s="882"/>
      <c r="I47" s="882"/>
      <c r="J47" s="882"/>
      <c r="K47" s="882"/>
      <c r="L47" s="882"/>
      <c r="M47" s="882"/>
      <c r="N47" s="882"/>
      <c r="O47" s="145"/>
    </row>
    <row r="48" spans="1:15">
      <c r="A48" s="150"/>
      <c r="B48" s="150"/>
      <c r="C48" s="882"/>
      <c r="D48" s="882"/>
      <c r="E48" s="882"/>
      <c r="F48" s="882"/>
      <c r="G48" s="882"/>
      <c r="H48" s="882"/>
      <c r="I48" s="882"/>
      <c r="J48" s="882"/>
      <c r="K48" s="882"/>
      <c r="L48" s="882"/>
      <c r="M48" s="882"/>
      <c r="N48" s="882"/>
      <c r="O48" s="145"/>
    </row>
    <row r="49" spans="1:15">
      <c r="A49" s="150"/>
      <c r="B49" s="150"/>
      <c r="C49" s="882"/>
      <c r="D49" s="882"/>
      <c r="E49" s="882"/>
      <c r="F49" s="882"/>
      <c r="G49" s="882"/>
      <c r="H49" s="882"/>
      <c r="I49" s="882"/>
      <c r="J49" s="882"/>
      <c r="K49" s="882"/>
      <c r="L49" s="882"/>
      <c r="M49" s="882"/>
      <c r="N49" s="882"/>
      <c r="O49" s="145"/>
    </row>
    <row r="50" spans="1:15">
      <c r="A50" s="150"/>
      <c r="B50" s="150"/>
      <c r="C50" s="882"/>
      <c r="D50" s="882"/>
      <c r="E50" s="882"/>
      <c r="F50" s="882"/>
      <c r="G50" s="882"/>
      <c r="H50" s="882"/>
      <c r="I50" s="882"/>
      <c r="J50" s="882"/>
      <c r="K50" s="882"/>
      <c r="L50" s="882"/>
      <c r="M50" s="882"/>
      <c r="N50" s="882"/>
      <c r="O50" s="145"/>
    </row>
    <row r="51" spans="1:15">
      <c r="A51" s="150"/>
      <c r="B51" s="150"/>
      <c r="C51" s="882"/>
      <c r="D51" s="882"/>
      <c r="E51" s="882"/>
      <c r="F51" s="882"/>
      <c r="G51" s="882"/>
      <c r="H51" s="882"/>
      <c r="I51" s="882"/>
      <c r="J51" s="882"/>
      <c r="K51" s="882"/>
      <c r="L51" s="882"/>
      <c r="M51" s="882"/>
      <c r="N51" s="882"/>
      <c r="O51" s="145"/>
    </row>
    <row r="52" spans="1:15">
      <c r="A52" s="150"/>
      <c r="B52" s="150"/>
      <c r="C52" s="882"/>
      <c r="D52" s="882"/>
      <c r="E52" s="882"/>
      <c r="F52" s="882"/>
      <c r="G52" s="882"/>
      <c r="H52" s="882"/>
      <c r="I52" s="882"/>
      <c r="J52" s="882"/>
      <c r="K52" s="882"/>
      <c r="L52" s="882"/>
      <c r="M52" s="882"/>
      <c r="N52" s="882"/>
      <c r="O52" s="145"/>
    </row>
    <row r="53" spans="1:15">
      <c r="A53" s="150"/>
      <c r="B53" s="150"/>
      <c r="C53" s="882"/>
      <c r="D53" s="882"/>
      <c r="E53" s="882"/>
      <c r="F53" s="882"/>
      <c r="G53" s="882"/>
      <c r="H53" s="882"/>
      <c r="I53" s="882"/>
      <c r="J53" s="882"/>
      <c r="K53" s="882"/>
      <c r="L53" s="882"/>
      <c r="M53" s="882"/>
      <c r="N53" s="882"/>
      <c r="O53" s="145"/>
    </row>
    <row r="54" spans="1:15">
      <c r="A54" s="150"/>
      <c r="B54" s="150"/>
      <c r="C54" s="882"/>
      <c r="D54" s="882"/>
      <c r="E54" s="882"/>
      <c r="F54" s="882"/>
      <c r="G54" s="882"/>
      <c r="H54" s="882"/>
      <c r="I54" s="882"/>
      <c r="J54" s="882"/>
      <c r="K54" s="882"/>
      <c r="L54" s="882"/>
      <c r="M54" s="882"/>
      <c r="N54" s="882"/>
      <c r="O54" s="145"/>
    </row>
    <row r="55" spans="1:15">
      <c r="A55" s="150"/>
      <c r="B55" s="150"/>
      <c r="C55" s="882"/>
      <c r="D55" s="882"/>
      <c r="E55" s="882"/>
      <c r="F55" s="882"/>
      <c r="G55" s="882"/>
      <c r="H55" s="882"/>
      <c r="I55" s="882"/>
      <c r="J55" s="882"/>
      <c r="K55" s="882"/>
      <c r="L55" s="882"/>
      <c r="M55" s="882"/>
      <c r="N55" s="882"/>
      <c r="O55" s="145"/>
    </row>
    <row r="56" spans="1:15">
      <c r="A56" s="150"/>
      <c r="B56" s="150"/>
      <c r="C56" s="882"/>
      <c r="D56" s="882"/>
      <c r="E56" s="882"/>
      <c r="F56" s="882"/>
      <c r="G56" s="882"/>
      <c r="H56" s="882"/>
      <c r="I56" s="882"/>
      <c r="J56" s="882"/>
      <c r="K56" s="882"/>
      <c r="L56" s="882"/>
      <c r="M56" s="882"/>
      <c r="N56" s="882"/>
      <c r="O56" s="145"/>
    </row>
    <row r="57" spans="1:15">
      <c r="A57" s="150"/>
      <c r="B57" s="150"/>
      <c r="C57" s="882"/>
      <c r="D57" s="882"/>
      <c r="E57" s="882"/>
      <c r="F57" s="882"/>
      <c r="G57" s="882"/>
      <c r="H57" s="882"/>
      <c r="I57" s="882"/>
      <c r="J57" s="882"/>
      <c r="K57" s="882"/>
      <c r="L57" s="882"/>
      <c r="M57" s="882"/>
      <c r="N57" s="882"/>
      <c r="O57" s="145"/>
    </row>
    <row r="58" spans="1:15">
      <c r="A58" s="150"/>
      <c r="B58" s="150"/>
      <c r="C58" s="882"/>
      <c r="D58" s="882"/>
      <c r="E58" s="882"/>
      <c r="F58" s="882"/>
      <c r="G58" s="882"/>
      <c r="H58" s="882"/>
      <c r="I58" s="882"/>
      <c r="J58" s="882"/>
      <c r="K58" s="882"/>
      <c r="L58" s="882"/>
      <c r="M58" s="882"/>
      <c r="N58" s="882"/>
      <c r="O58" s="145"/>
    </row>
    <row r="59" spans="1:15">
      <c r="A59" s="150"/>
      <c r="B59" s="150"/>
      <c r="C59" s="882"/>
      <c r="D59" s="882"/>
      <c r="E59" s="882"/>
      <c r="F59" s="882"/>
      <c r="G59" s="882"/>
      <c r="H59" s="882"/>
      <c r="I59" s="882"/>
      <c r="J59" s="882"/>
      <c r="K59" s="882"/>
      <c r="L59" s="882"/>
      <c r="M59" s="882"/>
      <c r="N59" s="882"/>
      <c r="O59" s="145"/>
    </row>
    <row r="60" spans="1:15">
      <c r="A60" s="150"/>
      <c r="B60" s="150"/>
      <c r="C60" s="882"/>
      <c r="D60" s="882"/>
      <c r="E60" s="882"/>
      <c r="F60" s="882"/>
      <c r="G60" s="882"/>
      <c r="H60" s="882"/>
      <c r="I60" s="882"/>
      <c r="J60" s="882"/>
      <c r="K60" s="882"/>
      <c r="L60" s="882"/>
      <c r="M60" s="882"/>
      <c r="N60" s="882"/>
      <c r="O60" s="145"/>
    </row>
    <row r="61" spans="1:15">
      <c r="A61" s="150"/>
      <c r="B61" s="150"/>
      <c r="C61" s="882"/>
      <c r="D61" s="882"/>
      <c r="E61" s="882"/>
      <c r="F61" s="882"/>
      <c r="G61" s="882"/>
      <c r="H61" s="882"/>
      <c r="I61" s="882"/>
      <c r="J61" s="882"/>
      <c r="K61" s="882"/>
      <c r="L61" s="882"/>
      <c r="M61" s="882"/>
      <c r="N61" s="882"/>
      <c r="O61" s="145"/>
    </row>
    <row r="62" spans="1:15">
      <c r="A62" s="150"/>
      <c r="B62" s="150"/>
      <c r="C62" s="882"/>
      <c r="D62" s="882"/>
      <c r="E62" s="882"/>
      <c r="F62" s="882"/>
      <c r="G62" s="882"/>
      <c r="H62" s="882"/>
      <c r="I62" s="882"/>
      <c r="J62" s="882"/>
      <c r="K62" s="882"/>
      <c r="L62" s="882"/>
      <c r="M62" s="882"/>
      <c r="N62" s="882"/>
      <c r="O62" s="145"/>
    </row>
    <row r="63" spans="1:15">
      <c r="A63" s="150"/>
      <c r="B63" s="150"/>
      <c r="C63" s="882"/>
      <c r="D63" s="882"/>
      <c r="E63" s="882"/>
      <c r="F63" s="882"/>
      <c r="G63" s="882"/>
      <c r="H63" s="882"/>
      <c r="I63" s="882"/>
      <c r="J63" s="882"/>
      <c r="K63" s="882"/>
      <c r="L63" s="882"/>
      <c r="M63" s="882"/>
      <c r="N63" s="882"/>
      <c r="O63" s="145"/>
    </row>
    <row r="64" spans="1:15">
      <c r="A64" s="150"/>
      <c r="B64" s="150"/>
      <c r="C64" s="882"/>
      <c r="D64" s="882"/>
      <c r="E64" s="882"/>
      <c r="F64" s="882"/>
      <c r="G64" s="882"/>
      <c r="H64" s="882"/>
      <c r="I64" s="882"/>
      <c r="J64" s="882"/>
      <c r="K64" s="882"/>
      <c r="L64" s="882"/>
      <c r="M64" s="882"/>
      <c r="N64" s="882"/>
      <c r="O64" s="145"/>
    </row>
    <row r="65" spans="1:15">
      <c r="A65" s="150"/>
      <c r="B65" s="150"/>
      <c r="C65" s="882"/>
      <c r="D65" s="882"/>
      <c r="E65" s="882"/>
      <c r="F65" s="882"/>
      <c r="G65" s="882"/>
      <c r="H65" s="882"/>
      <c r="I65" s="882"/>
      <c r="J65" s="882"/>
      <c r="K65" s="882"/>
      <c r="L65" s="882"/>
      <c r="M65" s="882"/>
      <c r="N65" s="882"/>
      <c r="O65" s="145"/>
    </row>
    <row r="66" spans="1:15">
      <c r="A66" s="150"/>
      <c r="B66" s="150"/>
      <c r="C66" s="882"/>
      <c r="D66" s="882"/>
      <c r="E66" s="882"/>
      <c r="F66" s="882"/>
      <c r="G66" s="882"/>
      <c r="H66" s="882"/>
      <c r="I66" s="882"/>
      <c r="J66" s="882"/>
      <c r="K66" s="882"/>
      <c r="L66" s="882"/>
      <c r="M66" s="882"/>
      <c r="N66" s="882"/>
      <c r="O66" s="145"/>
    </row>
    <row r="67" spans="1:15">
      <c r="A67" s="150"/>
      <c r="B67" s="150"/>
      <c r="C67" s="882"/>
      <c r="D67" s="882"/>
      <c r="E67" s="882"/>
      <c r="F67" s="882"/>
      <c r="G67" s="882"/>
      <c r="H67" s="882"/>
      <c r="I67" s="882"/>
      <c r="J67" s="882"/>
      <c r="K67" s="882"/>
      <c r="L67" s="882"/>
      <c r="M67" s="882"/>
      <c r="N67" s="882"/>
      <c r="O67" s="145"/>
    </row>
    <row r="68" spans="1:15">
      <c r="A68" s="150"/>
      <c r="B68" s="150"/>
      <c r="C68" s="882"/>
      <c r="D68" s="882"/>
      <c r="E68" s="882"/>
      <c r="F68" s="882"/>
      <c r="G68" s="882"/>
      <c r="H68" s="882"/>
      <c r="I68" s="882"/>
      <c r="J68" s="882"/>
      <c r="K68" s="882"/>
      <c r="L68" s="882"/>
      <c r="M68" s="882"/>
      <c r="N68" s="882"/>
      <c r="O68" s="145"/>
    </row>
    <row r="69" spans="1:15">
      <c r="A69" s="150"/>
      <c r="B69" s="150"/>
      <c r="C69" s="882"/>
      <c r="D69" s="882"/>
      <c r="E69" s="882"/>
      <c r="F69" s="882"/>
      <c r="G69" s="882"/>
      <c r="H69" s="882"/>
      <c r="I69" s="882"/>
      <c r="J69" s="882"/>
      <c r="K69" s="882"/>
      <c r="L69" s="882"/>
      <c r="M69" s="882"/>
      <c r="N69" s="882"/>
      <c r="O69" s="145"/>
    </row>
    <row r="70" spans="1:15">
      <c r="A70" s="150"/>
      <c r="B70" s="150"/>
      <c r="C70" s="882"/>
      <c r="D70" s="882"/>
      <c r="E70" s="882"/>
      <c r="F70" s="882"/>
      <c r="G70" s="882"/>
      <c r="H70" s="882"/>
      <c r="I70" s="882"/>
      <c r="J70" s="882"/>
      <c r="K70" s="882"/>
      <c r="L70" s="882"/>
      <c r="M70" s="882"/>
      <c r="N70" s="882"/>
      <c r="O70" s="145"/>
    </row>
    <row r="71" spans="1:15">
      <c r="A71" s="150"/>
      <c r="B71" s="150"/>
      <c r="C71" s="882"/>
      <c r="D71" s="882"/>
      <c r="E71" s="882"/>
      <c r="F71" s="882"/>
      <c r="G71" s="882"/>
      <c r="H71" s="882"/>
      <c r="I71" s="882"/>
      <c r="J71" s="882"/>
      <c r="K71" s="882"/>
      <c r="L71" s="882"/>
      <c r="M71" s="882"/>
      <c r="N71" s="882"/>
      <c r="O71" s="145"/>
    </row>
    <row r="72" spans="1:15">
      <c r="A72" s="150"/>
      <c r="B72" s="150"/>
      <c r="C72" s="882"/>
      <c r="D72" s="882"/>
      <c r="E72" s="882"/>
      <c r="F72" s="882"/>
      <c r="G72" s="882"/>
      <c r="H72" s="882"/>
      <c r="I72" s="882"/>
      <c r="J72" s="882"/>
      <c r="K72" s="882"/>
      <c r="L72" s="882"/>
      <c r="M72" s="882"/>
      <c r="N72" s="882"/>
      <c r="O72" s="145"/>
    </row>
    <row r="73" spans="1:15">
      <c r="A73" s="150"/>
      <c r="B73" s="150"/>
      <c r="C73" s="882"/>
      <c r="D73" s="882"/>
      <c r="E73" s="882"/>
      <c r="F73" s="882"/>
      <c r="G73" s="882"/>
      <c r="H73" s="882"/>
      <c r="I73" s="882"/>
      <c r="J73" s="882"/>
      <c r="K73" s="882"/>
      <c r="L73" s="882"/>
      <c r="M73" s="882"/>
      <c r="N73" s="882"/>
      <c r="O73" s="145"/>
    </row>
    <row r="74" spans="1:15">
      <c r="A74" s="150"/>
      <c r="B74" s="150"/>
      <c r="C74" s="882"/>
      <c r="D74" s="882"/>
      <c r="E74" s="882"/>
      <c r="F74" s="882"/>
      <c r="G74" s="882"/>
      <c r="H74" s="882"/>
      <c r="I74" s="882"/>
      <c r="J74" s="882"/>
      <c r="K74" s="882"/>
      <c r="L74" s="882"/>
      <c r="M74" s="882"/>
      <c r="N74" s="882"/>
      <c r="O74" s="145"/>
    </row>
    <row r="75" spans="1:15">
      <c r="A75" s="150"/>
      <c r="B75" s="150"/>
      <c r="C75" s="882"/>
      <c r="D75" s="882"/>
      <c r="E75" s="882"/>
      <c r="F75" s="882"/>
      <c r="G75" s="882"/>
      <c r="H75" s="882"/>
      <c r="I75" s="882"/>
      <c r="J75" s="882"/>
      <c r="K75" s="882"/>
      <c r="L75" s="882"/>
      <c r="M75" s="882"/>
      <c r="N75" s="882"/>
      <c r="O75" s="145"/>
    </row>
    <row r="76" spans="1:15">
      <c r="A76" s="150"/>
      <c r="B76" s="150"/>
      <c r="C76" s="882"/>
      <c r="D76" s="882"/>
      <c r="E76" s="882"/>
      <c r="F76" s="882"/>
      <c r="G76" s="882"/>
      <c r="H76" s="882"/>
      <c r="I76" s="882"/>
      <c r="J76" s="882"/>
      <c r="K76" s="882"/>
      <c r="L76" s="882"/>
      <c r="M76" s="882"/>
      <c r="N76" s="882"/>
      <c r="O76" s="145"/>
    </row>
    <row r="77" spans="1:15">
      <c r="A77" s="150"/>
      <c r="B77" s="150"/>
      <c r="C77" s="882"/>
      <c r="D77" s="882"/>
      <c r="E77" s="882"/>
      <c r="F77" s="882"/>
      <c r="G77" s="882"/>
      <c r="H77" s="882"/>
      <c r="I77" s="882"/>
      <c r="J77" s="882"/>
      <c r="K77" s="882"/>
      <c r="L77" s="882"/>
      <c r="M77" s="882"/>
      <c r="N77" s="882"/>
      <c r="O77" s="145"/>
    </row>
    <row r="78" spans="1:15">
      <c r="A78" s="150"/>
      <c r="B78" s="150"/>
      <c r="C78" s="882"/>
      <c r="D78" s="882"/>
      <c r="E78" s="882"/>
      <c r="F78" s="882"/>
      <c r="G78" s="882"/>
      <c r="H78" s="882"/>
      <c r="I78" s="882"/>
      <c r="J78" s="882"/>
      <c r="K78" s="882"/>
      <c r="L78" s="882"/>
      <c r="M78" s="882"/>
      <c r="N78" s="882"/>
      <c r="O78" s="145"/>
    </row>
    <row r="79" spans="1:15">
      <c r="A79" s="150"/>
      <c r="B79" s="150"/>
      <c r="C79" s="882"/>
      <c r="D79" s="882"/>
      <c r="E79" s="882"/>
      <c r="F79" s="882"/>
      <c r="G79" s="882"/>
      <c r="H79" s="882"/>
      <c r="I79" s="882"/>
      <c r="J79" s="882"/>
      <c r="K79" s="882"/>
      <c r="L79" s="882"/>
      <c r="M79" s="882"/>
      <c r="N79" s="882"/>
      <c r="O79" s="145"/>
    </row>
    <row r="80" spans="1:15">
      <c r="A80" s="150"/>
      <c r="B80" s="150"/>
      <c r="C80" s="882"/>
      <c r="D80" s="882"/>
      <c r="E80" s="882"/>
      <c r="F80" s="882"/>
      <c r="G80" s="882"/>
      <c r="H80" s="882"/>
      <c r="I80" s="882"/>
      <c r="J80" s="882"/>
      <c r="K80" s="882"/>
      <c r="L80" s="882"/>
      <c r="M80" s="882"/>
      <c r="N80" s="882"/>
      <c r="O80" s="145"/>
    </row>
    <row r="81" spans="1:15">
      <c r="A81" s="150"/>
      <c r="B81" s="150"/>
      <c r="C81" s="882"/>
      <c r="D81" s="882"/>
      <c r="E81" s="882"/>
      <c r="F81" s="882"/>
      <c r="G81" s="882"/>
      <c r="H81" s="882"/>
      <c r="I81" s="882"/>
      <c r="J81" s="882"/>
      <c r="K81" s="882"/>
      <c r="L81" s="882"/>
      <c r="M81" s="882"/>
      <c r="N81" s="882"/>
      <c r="O81" s="145"/>
    </row>
    <row r="82" spans="1:15">
      <c r="A82" s="150"/>
      <c r="B82" s="150"/>
      <c r="C82" s="882"/>
      <c r="D82" s="882"/>
      <c r="E82" s="882"/>
      <c r="F82" s="882"/>
      <c r="G82" s="882"/>
      <c r="H82" s="882"/>
      <c r="I82" s="882"/>
      <c r="J82" s="882"/>
      <c r="K82" s="882"/>
      <c r="L82" s="882"/>
      <c r="M82" s="882"/>
      <c r="N82" s="882"/>
      <c r="O82" s="145"/>
    </row>
    <row r="83" spans="1:15">
      <c r="A83" s="150"/>
      <c r="B83" s="150"/>
      <c r="C83" s="882"/>
      <c r="D83" s="882"/>
      <c r="E83" s="882"/>
      <c r="F83" s="882"/>
      <c r="G83" s="882"/>
      <c r="H83" s="882"/>
      <c r="I83" s="882"/>
      <c r="J83" s="882"/>
      <c r="K83" s="882"/>
      <c r="L83" s="882"/>
      <c r="M83" s="882"/>
      <c r="N83" s="882"/>
      <c r="O83" s="145"/>
    </row>
    <row r="84" spans="1:15">
      <c r="A84" s="150"/>
      <c r="B84" s="150"/>
      <c r="C84" s="882"/>
      <c r="D84" s="882"/>
      <c r="E84" s="882"/>
      <c r="F84" s="882"/>
      <c r="G84" s="882"/>
      <c r="H84" s="882"/>
      <c r="I84" s="882"/>
      <c r="J84" s="882"/>
      <c r="K84" s="882"/>
      <c r="L84" s="882"/>
      <c r="M84" s="882"/>
      <c r="N84" s="882"/>
      <c r="O84" s="145"/>
    </row>
    <row r="85" spans="1:15">
      <c r="A85" s="150"/>
      <c r="B85" s="150"/>
      <c r="C85" s="882"/>
      <c r="D85" s="882"/>
      <c r="E85" s="882"/>
      <c r="F85" s="882"/>
      <c r="G85" s="882"/>
      <c r="H85" s="882"/>
      <c r="I85" s="882"/>
      <c r="J85" s="882"/>
      <c r="K85" s="882"/>
      <c r="L85" s="882"/>
      <c r="M85" s="882"/>
      <c r="N85" s="882"/>
      <c r="O85" s="145"/>
    </row>
    <row r="86" spans="1:15">
      <c r="A86" s="150"/>
      <c r="B86" s="150"/>
      <c r="C86" s="882"/>
      <c r="D86" s="882"/>
      <c r="E86" s="882"/>
      <c r="F86" s="882"/>
      <c r="G86" s="882"/>
      <c r="H86" s="882"/>
      <c r="I86" s="882"/>
      <c r="J86" s="882"/>
      <c r="K86" s="882"/>
      <c r="L86" s="882"/>
      <c r="M86" s="882"/>
      <c r="N86" s="882"/>
      <c r="O86" s="145"/>
    </row>
    <row r="87" spans="1:15">
      <c r="A87" s="150"/>
      <c r="B87" s="150"/>
      <c r="C87" s="882"/>
      <c r="D87" s="882"/>
      <c r="E87" s="882"/>
      <c r="F87" s="882"/>
      <c r="G87" s="882"/>
      <c r="H87" s="882"/>
      <c r="I87" s="882"/>
      <c r="J87" s="882"/>
      <c r="K87" s="882"/>
      <c r="L87" s="882"/>
      <c r="M87" s="882"/>
      <c r="N87" s="882"/>
      <c r="O87" s="145"/>
    </row>
    <row r="88" spans="1:15">
      <c r="A88" s="150"/>
      <c r="B88" s="150"/>
      <c r="C88" s="882"/>
      <c r="D88" s="882"/>
      <c r="E88" s="882"/>
      <c r="F88" s="882"/>
      <c r="G88" s="882"/>
      <c r="H88" s="882"/>
      <c r="I88" s="882"/>
      <c r="J88" s="882"/>
      <c r="K88" s="882"/>
      <c r="L88" s="882"/>
      <c r="M88" s="882"/>
      <c r="N88" s="882"/>
      <c r="O88" s="145"/>
    </row>
    <row r="89" spans="1:15">
      <c r="A89" s="150"/>
      <c r="B89" s="150"/>
      <c r="C89" s="882"/>
      <c r="D89" s="882"/>
      <c r="E89" s="882"/>
      <c r="F89" s="882"/>
      <c r="G89" s="882"/>
      <c r="H89" s="882"/>
      <c r="I89" s="882"/>
      <c r="J89" s="882"/>
      <c r="K89" s="882"/>
      <c r="L89" s="882"/>
      <c r="M89" s="882"/>
      <c r="N89" s="882"/>
      <c r="O89" s="145"/>
    </row>
    <row r="90" spans="1:15">
      <c r="A90" s="150"/>
      <c r="B90" s="150"/>
      <c r="C90" s="882"/>
      <c r="D90" s="882"/>
      <c r="E90" s="882"/>
      <c r="F90" s="882"/>
      <c r="G90" s="882"/>
      <c r="H90" s="882"/>
      <c r="I90" s="882"/>
      <c r="J90" s="882"/>
      <c r="K90" s="882"/>
      <c r="L90" s="882"/>
      <c r="M90" s="882"/>
      <c r="N90" s="882"/>
      <c r="O90" s="145"/>
    </row>
    <row r="91" spans="1:15">
      <c r="A91" s="150"/>
      <c r="B91" s="150"/>
      <c r="C91" s="882"/>
      <c r="D91" s="882"/>
      <c r="E91" s="882"/>
      <c r="F91" s="882"/>
      <c r="G91" s="882"/>
      <c r="H91" s="882"/>
      <c r="I91" s="882"/>
      <c r="J91" s="882"/>
      <c r="K91" s="882"/>
      <c r="L91" s="882"/>
      <c r="M91" s="882"/>
      <c r="N91" s="882"/>
      <c r="O91" s="145"/>
    </row>
    <row r="92" spans="1:15">
      <c r="A92" s="150"/>
      <c r="B92" s="150"/>
      <c r="C92" s="882"/>
      <c r="D92" s="882"/>
      <c r="E92" s="882"/>
      <c r="F92" s="882"/>
      <c r="G92" s="882"/>
      <c r="H92" s="882"/>
      <c r="I92" s="882"/>
      <c r="J92" s="882"/>
      <c r="K92" s="882"/>
      <c r="L92" s="882"/>
      <c r="M92" s="882"/>
      <c r="N92" s="882"/>
      <c r="O92" s="145"/>
    </row>
    <row r="93" spans="1:15">
      <c r="A93" s="150"/>
      <c r="B93" s="150"/>
      <c r="C93" s="882"/>
      <c r="D93" s="882"/>
      <c r="E93" s="882"/>
      <c r="F93" s="882"/>
      <c r="G93" s="882"/>
      <c r="H93" s="882"/>
      <c r="I93" s="882"/>
      <c r="J93" s="882"/>
      <c r="K93" s="882"/>
      <c r="L93" s="882"/>
      <c r="M93" s="882"/>
      <c r="N93" s="882"/>
      <c r="O93" s="145"/>
    </row>
    <row r="94" spans="1:15">
      <c r="A94" s="150"/>
      <c r="B94" s="150"/>
      <c r="C94" s="882"/>
      <c r="D94" s="882"/>
      <c r="E94" s="882"/>
      <c r="F94" s="882"/>
      <c r="G94" s="882"/>
      <c r="H94" s="882"/>
      <c r="I94" s="882"/>
      <c r="J94" s="882"/>
      <c r="K94" s="882"/>
      <c r="L94" s="882"/>
      <c r="M94" s="882"/>
      <c r="N94" s="882"/>
      <c r="O94" s="145"/>
    </row>
    <row r="95" spans="1:15">
      <c r="A95" s="150"/>
      <c r="B95" s="150"/>
      <c r="C95" s="882"/>
      <c r="D95" s="882"/>
      <c r="E95" s="882"/>
      <c r="F95" s="882"/>
      <c r="G95" s="882"/>
      <c r="H95" s="882"/>
      <c r="I95" s="882"/>
      <c r="J95" s="882"/>
      <c r="K95" s="882"/>
      <c r="L95" s="882"/>
      <c r="M95" s="882"/>
      <c r="N95" s="882"/>
      <c r="O95" s="145"/>
    </row>
    <row r="96" spans="1:15">
      <c r="A96" s="150"/>
      <c r="B96" s="150"/>
      <c r="C96" s="882"/>
      <c r="D96" s="882"/>
      <c r="E96" s="882"/>
      <c r="F96" s="882"/>
      <c r="G96" s="882"/>
      <c r="H96" s="882"/>
      <c r="I96" s="882"/>
      <c r="J96" s="882"/>
      <c r="K96" s="882"/>
      <c r="L96" s="882"/>
      <c r="M96" s="882"/>
      <c r="N96" s="882"/>
      <c r="O96" s="145"/>
    </row>
    <row r="97" spans="1:15">
      <c r="A97" s="150"/>
      <c r="B97" s="150"/>
      <c r="C97" s="882"/>
      <c r="D97" s="882"/>
      <c r="E97" s="882"/>
      <c r="F97" s="882"/>
      <c r="G97" s="882"/>
      <c r="H97" s="882"/>
      <c r="I97" s="882"/>
      <c r="J97" s="882"/>
      <c r="K97" s="882"/>
      <c r="L97" s="882"/>
      <c r="M97" s="882"/>
      <c r="N97" s="882"/>
      <c r="O97" s="145"/>
    </row>
    <row r="98" spans="1:15">
      <c r="A98" s="150"/>
      <c r="B98" s="150"/>
      <c r="C98" s="882"/>
      <c r="D98" s="882"/>
      <c r="E98" s="882"/>
      <c r="F98" s="882"/>
      <c r="G98" s="882"/>
      <c r="H98" s="882"/>
      <c r="I98" s="882"/>
      <c r="J98" s="882"/>
      <c r="K98" s="882"/>
      <c r="L98" s="882"/>
      <c r="M98" s="882"/>
      <c r="N98" s="882"/>
      <c r="O98" s="145"/>
    </row>
    <row r="99" spans="1:15">
      <c r="A99" s="150"/>
      <c r="B99" s="150"/>
      <c r="C99" s="882"/>
      <c r="D99" s="882"/>
      <c r="E99" s="882"/>
      <c r="F99" s="882"/>
      <c r="G99" s="882"/>
      <c r="H99" s="882"/>
      <c r="I99" s="882"/>
      <c r="J99" s="882"/>
      <c r="K99" s="882"/>
      <c r="L99" s="882"/>
      <c r="M99" s="882"/>
      <c r="N99" s="882"/>
      <c r="O99" s="145"/>
    </row>
    <row r="100" spans="1:15">
      <c r="A100" s="150"/>
      <c r="B100" s="150"/>
      <c r="C100" s="882"/>
      <c r="D100" s="882"/>
      <c r="E100" s="882"/>
      <c r="F100" s="882"/>
      <c r="G100" s="882"/>
      <c r="H100" s="882"/>
      <c r="I100" s="882"/>
      <c r="J100" s="882"/>
      <c r="K100" s="882"/>
      <c r="L100" s="882"/>
      <c r="M100" s="882"/>
      <c r="N100" s="882"/>
      <c r="O100" s="145"/>
    </row>
    <row r="101" spans="1:15">
      <c r="A101" s="150"/>
      <c r="B101" s="150"/>
      <c r="C101" s="882"/>
      <c r="D101" s="882"/>
      <c r="E101" s="882"/>
      <c r="F101" s="882"/>
      <c r="G101" s="882"/>
      <c r="H101" s="882"/>
      <c r="I101" s="882"/>
      <c r="J101" s="882"/>
      <c r="K101" s="882"/>
      <c r="L101" s="882"/>
      <c r="M101" s="882"/>
      <c r="N101" s="882"/>
      <c r="O101" s="145"/>
    </row>
    <row r="102" spans="1:15">
      <c r="A102" s="150"/>
      <c r="B102" s="150"/>
      <c r="C102" s="882"/>
      <c r="D102" s="882"/>
      <c r="E102" s="882"/>
      <c r="F102" s="882"/>
      <c r="G102" s="882"/>
      <c r="H102" s="882"/>
      <c r="I102" s="882"/>
      <c r="J102" s="882"/>
      <c r="K102" s="882"/>
      <c r="L102" s="882"/>
      <c r="M102" s="882"/>
      <c r="N102" s="882"/>
      <c r="O102" s="145"/>
    </row>
    <row r="103" spans="1:15">
      <c r="A103" s="150"/>
      <c r="B103" s="150"/>
      <c r="C103" s="882"/>
      <c r="D103" s="882"/>
      <c r="E103" s="882"/>
      <c r="F103" s="882"/>
      <c r="G103" s="882"/>
      <c r="H103" s="882"/>
      <c r="I103" s="882"/>
      <c r="J103" s="882"/>
      <c r="K103" s="882"/>
      <c r="L103" s="882"/>
      <c r="M103" s="882"/>
      <c r="N103" s="882"/>
      <c r="O103" s="145"/>
    </row>
    <row r="104" spans="1:15">
      <c r="A104" s="150"/>
      <c r="B104" s="150"/>
      <c r="C104" s="882"/>
      <c r="D104" s="882"/>
      <c r="E104" s="882"/>
      <c r="F104" s="882"/>
      <c r="G104" s="882"/>
      <c r="H104" s="882"/>
      <c r="I104" s="882"/>
      <c r="J104" s="882"/>
      <c r="K104" s="882"/>
      <c r="L104" s="882"/>
      <c r="M104" s="882"/>
      <c r="N104" s="882"/>
      <c r="O104" s="145"/>
    </row>
    <row r="105" spans="1:15">
      <c r="A105" s="150"/>
      <c r="B105" s="150"/>
      <c r="C105" s="882"/>
      <c r="D105" s="882"/>
      <c r="E105" s="882"/>
      <c r="F105" s="882"/>
      <c r="G105" s="882"/>
      <c r="H105" s="882"/>
      <c r="I105" s="882"/>
      <c r="J105" s="882"/>
      <c r="K105" s="882"/>
      <c r="L105" s="882"/>
      <c r="M105" s="882"/>
      <c r="N105" s="882"/>
      <c r="O105" s="145"/>
    </row>
    <row r="106" spans="1:15">
      <c r="A106" s="150"/>
      <c r="B106" s="150"/>
      <c r="C106" s="882"/>
      <c r="D106" s="882"/>
      <c r="E106" s="882"/>
      <c r="F106" s="882"/>
      <c r="G106" s="882"/>
      <c r="H106" s="882"/>
      <c r="I106" s="882"/>
      <c r="J106" s="882"/>
      <c r="K106" s="882"/>
      <c r="L106" s="882"/>
      <c r="M106" s="882"/>
      <c r="N106" s="882"/>
      <c r="O106" s="145"/>
    </row>
    <row r="107" spans="1:15">
      <c r="A107" s="150"/>
      <c r="B107" s="150"/>
      <c r="C107" s="882"/>
      <c r="D107" s="882"/>
      <c r="E107" s="882"/>
      <c r="F107" s="882"/>
      <c r="G107" s="882"/>
      <c r="H107" s="882"/>
      <c r="I107" s="882"/>
      <c r="J107" s="882"/>
      <c r="K107" s="882"/>
      <c r="L107" s="882"/>
      <c r="M107" s="882"/>
      <c r="N107" s="882"/>
      <c r="O107" s="145"/>
    </row>
    <row r="108" spans="1:15">
      <c r="A108" s="150"/>
      <c r="B108" s="150"/>
      <c r="C108" s="882"/>
      <c r="D108" s="882"/>
      <c r="E108" s="882"/>
      <c r="F108" s="882"/>
      <c r="G108" s="882"/>
      <c r="H108" s="882"/>
      <c r="I108" s="882"/>
      <c r="J108" s="882"/>
      <c r="K108" s="882"/>
      <c r="L108" s="882"/>
      <c r="M108" s="882"/>
      <c r="N108" s="882"/>
      <c r="O108" s="145"/>
    </row>
    <row r="109" spans="1:15">
      <c r="A109" s="150"/>
      <c r="B109" s="150"/>
      <c r="C109" s="882"/>
      <c r="D109" s="882"/>
      <c r="E109" s="882"/>
      <c r="F109" s="882"/>
      <c r="G109" s="882"/>
      <c r="H109" s="882"/>
      <c r="I109" s="882"/>
      <c r="J109" s="882"/>
      <c r="K109" s="882"/>
      <c r="L109" s="882"/>
      <c r="M109" s="882"/>
      <c r="N109" s="882"/>
      <c r="O109" s="145"/>
    </row>
    <row r="110" spans="1:15">
      <c r="A110" s="150"/>
      <c r="B110" s="150"/>
      <c r="C110" s="882"/>
      <c r="D110" s="882"/>
      <c r="E110" s="882"/>
      <c r="F110" s="882"/>
      <c r="G110" s="882"/>
      <c r="H110" s="882"/>
      <c r="I110" s="882"/>
      <c r="J110" s="882"/>
      <c r="K110" s="882"/>
      <c r="L110" s="882"/>
      <c r="M110" s="882"/>
      <c r="N110" s="882"/>
      <c r="O110" s="145"/>
    </row>
    <row r="111" spans="1:15">
      <c r="A111" s="150"/>
      <c r="B111" s="150"/>
      <c r="C111" s="882"/>
      <c r="D111" s="882"/>
      <c r="E111" s="882"/>
      <c r="F111" s="882"/>
      <c r="G111" s="882"/>
      <c r="H111" s="882"/>
      <c r="I111" s="882"/>
      <c r="J111" s="882"/>
      <c r="K111" s="882"/>
      <c r="L111" s="882"/>
      <c r="M111" s="882"/>
      <c r="N111" s="882"/>
      <c r="O111" s="145"/>
    </row>
    <row r="112" spans="1:15">
      <c r="A112" s="150"/>
      <c r="B112" s="150"/>
      <c r="C112" s="882"/>
      <c r="D112" s="882"/>
      <c r="E112" s="882"/>
      <c r="F112" s="882"/>
      <c r="G112" s="882"/>
      <c r="H112" s="882"/>
      <c r="I112" s="882"/>
      <c r="J112" s="882"/>
      <c r="K112" s="882"/>
      <c r="L112" s="882"/>
      <c r="M112" s="882"/>
      <c r="N112" s="882"/>
      <c r="O112" s="145"/>
    </row>
    <row r="113" spans="1:15">
      <c r="A113" s="150"/>
      <c r="B113" s="150"/>
      <c r="C113" s="882"/>
      <c r="D113" s="882"/>
      <c r="E113" s="882"/>
      <c r="F113" s="882"/>
      <c r="G113" s="882"/>
      <c r="H113" s="882"/>
      <c r="I113" s="882"/>
      <c r="J113" s="882"/>
      <c r="K113" s="882"/>
      <c r="L113" s="882"/>
      <c r="M113" s="882"/>
      <c r="N113" s="882"/>
      <c r="O113" s="145"/>
    </row>
    <row r="114" spans="1:15">
      <c r="A114" s="150"/>
      <c r="B114" s="150"/>
      <c r="C114" s="882"/>
      <c r="D114" s="882"/>
      <c r="E114" s="882"/>
      <c r="F114" s="882"/>
      <c r="G114" s="882"/>
      <c r="H114" s="882"/>
      <c r="I114" s="882"/>
      <c r="J114" s="882"/>
      <c r="K114" s="882"/>
      <c r="L114" s="882"/>
      <c r="M114" s="882"/>
      <c r="N114" s="882"/>
      <c r="O114" s="145"/>
    </row>
    <row r="115" spans="1:15">
      <c r="A115" s="150"/>
      <c r="B115" s="150"/>
      <c r="C115" s="882"/>
      <c r="D115" s="882"/>
      <c r="E115" s="882"/>
      <c r="F115" s="882"/>
      <c r="G115" s="882"/>
      <c r="H115" s="882"/>
      <c r="I115" s="882"/>
      <c r="J115" s="882"/>
      <c r="K115" s="882"/>
      <c r="L115" s="882"/>
      <c r="M115" s="882"/>
      <c r="N115" s="882"/>
      <c r="O115" s="145"/>
    </row>
    <row r="116" spans="1:15">
      <c r="A116" s="150"/>
      <c r="B116" s="150"/>
      <c r="C116" s="882"/>
      <c r="D116" s="882"/>
      <c r="E116" s="882"/>
      <c r="F116" s="882"/>
      <c r="G116" s="882"/>
      <c r="H116" s="882"/>
      <c r="I116" s="882"/>
      <c r="J116" s="882"/>
      <c r="K116" s="882"/>
      <c r="L116" s="882"/>
      <c r="M116" s="882"/>
      <c r="N116" s="882"/>
      <c r="O116" s="145"/>
    </row>
    <row r="117" spans="1:15">
      <c r="A117" s="150"/>
      <c r="B117" s="150"/>
      <c r="C117" s="882"/>
      <c r="D117" s="882"/>
      <c r="E117" s="882"/>
      <c r="F117" s="882"/>
      <c r="G117" s="882"/>
      <c r="H117" s="882"/>
      <c r="I117" s="882"/>
      <c r="J117" s="882"/>
      <c r="K117" s="882"/>
      <c r="L117" s="882"/>
      <c r="M117" s="882"/>
      <c r="N117" s="882"/>
      <c r="O117" s="145"/>
    </row>
    <row r="118" spans="1:15">
      <c r="A118" s="151"/>
      <c r="B118" s="151"/>
      <c r="C118" s="152"/>
      <c r="D118" s="152"/>
      <c r="E118" s="152"/>
      <c r="F118" s="152"/>
      <c r="G118" s="152"/>
      <c r="H118" s="152"/>
      <c r="I118" s="152"/>
      <c r="J118" s="152"/>
      <c r="K118" s="152"/>
      <c r="L118" s="152"/>
      <c r="M118" s="152"/>
      <c r="N118" s="152"/>
      <c r="O118" s="153"/>
    </row>
  </sheetData>
  <sheetProtection algorithmName="SHA-512" hashValue="FhPbPicRpHzNLOuukrozkdga8URCOe+mhvQ1+yxsJcGAtjEv6llbGoF1oGzc01fYmzr72e7cv8ZfCw1U1Eztmg==" saltValue="iROJhHBfkBfPkwp98irylQ==" spinCount="100000" sheet="1" scenarios="1"/>
  <protectedRanges>
    <protectedRange sqref="A5:O118" name="Range1"/>
  </protectedRanges>
  <mergeCells count="2">
    <mergeCell ref="B4:O4"/>
    <mergeCell ref="A1:O2"/>
  </mergeCells>
  <phoneticPr fontId="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tabColor theme="7" tint="0.59999389629810485"/>
  </sheetPr>
  <dimension ref="A1:O177"/>
  <sheetViews>
    <sheetView view="pageBreakPreview" zoomScaleNormal="100" zoomScaleSheetLayoutView="100" workbookViewId="0">
      <selection sqref="A1:O2"/>
    </sheetView>
  </sheetViews>
  <sheetFormatPr defaultColWidth="11.42578125" defaultRowHeight="12.75"/>
  <cols>
    <col min="1" max="1" width="18.5703125" style="884" customWidth="1"/>
    <col min="2" max="14" width="5" style="884" customWidth="1"/>
    <col min="15" max="15" width="4.85546875" style="884" customWidth="1"/>
    <col min="16" max="16384" width="11.42578125" style="883"/>
  </cols>
  <sheetData>
    <row r="1" spans="1:15" ht="12.75" customHeight="1">
      <c r="A1" s="892" t="s">
        <v>475</v>
      </c>
      <c r="B1" s="890"/>
      <c r="C1" s="890"/>
      <c r="D1" s="890"/>
      <c r="E1" s="890"/>
      <c r="F1" s="890"/>
      <c r="G1" s="890"/>
      <c r="H1" s="890"/>
      <c r="I1" s="890"/>
      <c r="J1" s="890"/>
      <c r="K1" s="890"/>
      <c r="L1" s="890"/>
      <c r="M1" s="890"/>
      <c r="N1" s="890"/>
      <c r="O1" s="890"/>
    </row>
    <row r="2" spans="1:15">
      <c r="A2" s="890"/>
      <c r="B2" s="890"/>
      <c r="C2" s="890"/>
      <c r="D2" s="890"/>
      <c r="E2" s="890"/>
      <c r="F2" s="890"/>
      <c r="G2" s="890"/>
      <c r="H2" s="890"/>
      <c r="I2" s="890"/>
      <c r="J2" s="890"/>
      <c r="K2" s="890"/>
      <c r="L2" s="890"/>
      <c r="M2" s="890"/>
      <c r="N2" s="890"/>
      <c r="O2" s="890"/>
    </row>
    <row r="3" spans="1:15">
      <c r="A3" s="885" t="s">
        <v>11</v>
      </c>
      <c r="B3" s="888" t="s">
        <v>12</v>
      </c>
      <c r="C3" s="888"/>
      <c r="D3" s="888"/>
      <c r="E3" s="888"/>
      <c r="F3" s="888"/>
      <c r="G3" s="888"/>
      <c r="H3" s="888"/>
      <c r="I3" s="888"/>
      <c r="J3" s="888"/>
      <c r="K3" s="888"/>
      <c r="L3" s="888"/>
      <c r="M3" s="888"/>
      <c r="N3" s="888"/>
      <c r="O3" s="889"/>
    </row>
    <row r="4" spans="1:15">
      <c r="A4" s="90"/>
      <c r="B4" s="882"/>
      <c r="C4" s="882"/>
      <c r="D4" s="882"/>
      <c r="E4" s="882"/>
      <c r="F4" s="882"/>
      <c r="G4" s="882"/>
      <c r="H4" s="882"/>
      <c r="I4" s="882"/>
      <c r="J4" s="882"/>
      <c r="K4" s="882"/>
      <c r="L4" s="882"/>
      <c r="M4" s="882"/>
      <c r="N4" s="882"/>
      <c r="O4" s="145"/>
    </row>
    <row r="5" spans="1:15">
      <c r="A5" s="90"/>
      <c r="B5" s="882"/>
      <c r="C5" s="882"/>
      <c r="D5" s="882"/>
      <c r="E5" s="882"/>
      <c r="F5" s="882"/>
      <c r="G5" s="882"/>
      <c r="H5" s="882"/>
      <c r="I5" s="882"/>
      <c r="J5" s="882"/>
      <c r="K5" s="882"/>
      <c r="L5" s="882"/>
      <c r="M5" s="882"/>
      <c r="N5" s="882"/>
      <c r="O5" s="145"/>
    </row>
    <row r="6" spans="1:15">
      <c r="A6" s="90"/>
      <c r="B6" s="882"/>
      <c r="C6" s="882"/>
      <c r="D6" s="882"/>
      <c r="E6" s="882"/>
      <c r="F6" s="882"/>
      <c r="G6" s="882"/>
      <c r="H6" s="882"/>
      <c r="I6" s="882"/>
      <c r="J6" s="882"/>
      <c r="K6" s="882"/>
      <c r="L6" s="882"/>
      <c r="M6" s="882"/>
      <c r="N6" s="882"/>
      <c r="O6" s="145"/>
    </row>
    <row r="7" spans="1:15">
      <c r="A7" s="90"/>
      <c r="B7" s="882"/>
      <c r="C7" s="882"/>
      <c r="D7" s="882"/>
      <c r="E7" s="882"/>
      <c r="F7" s="882"/>
      <c r="G7" s="882"/>
      <c r="H7" s="882"/>
      <c r="I7" s="882"/>
      <c r="J7" s="882"/>
      <c r="K7" s="882"/>
      <c r="L7" s="882"/>
      <c r="M7" s="882"/>
      <c r="N7" s="882"/>
      <c r="O7" s="145"/>
    </row>
    <row r="8" spans="1:15">
      <c r="A8" s="90"/>
      <c r="B8" s="882"/>
      <c r="C8" s="882"/>
      <c r="D8" s="882"/>
      <c r="E8" s="882"/>
      <c r="F8" s="882"/>
      <c r="G8" s="882"/>
      <c r="H8" s="882"/>
      <c r="I8" s="882"/>
      <c r="J8" s="882"/>
      <c r="K8" s="882"/>
      <c r="L8" s="882"/>
      <c r="M8" s="882"/>
      <c r="N8" s="882"/>
      <c r="O8" s="145"/>
    </row>
    <row r="9" spans="1:15">
      <c r="A9" s="90"/>
      <c r="B9" s="882"/>
      <c r="C9" s="882"/>
      <c r="D9" s="882"/>
      <c r="E9" s="882"/>
      <c r="F9" s="882"/>
      <c r="G9" s="882"/>
      <c r="H9" s="882"/>
      <c r="I9" s="882"/>
      <c r="J9" s="882"/>
      <c r="K9" s="882"/>
      <c r="L9" s="882"/>
      <c r="M9" s="882"/>
      <c r="N9" s="882"/>
      <c r="O9" s="145"/>
    </row>
    <row r="10" spans="1:15">
      <c r="A10" s="90"/>
      <c r="B10" s="882"/>
      <c r="C10" s="882"/>
      <c r="D10" s="882"/>
      <c r="E10" s="882"/>
      <c r="F10" s="882"/>
      <c r="G10" s="882"/>
      <c r="H10" s="882"/>
      <c r="I10" s="882"/>
      <c r="J10" s="882"/>
      <c r="K10" s="882"/>
      <c r="L10" s="882"/>
      <c r="M10" s="882"/>
      <c r="N10" s="882"/>
      <c r="O10" s="145"/>
    </row>
    <row r="11" spans="1:15">
      <c r="A11" s="90"/>
      <c r="B11" s="882"/>
      <c r="C11" s="882"/>
      <c r="D11" s="882"/>
      <c r="E11" s="882"/>
      <c r="F11" s="882"/>
      <c r="G11" s="882"/>
      <c r="H11" s="882"/>
      <c r="I11" s="882"/>
      <c r="J11" s="882"/>
      <c r="K11" s="882"/>
      <c r="L11" s="882"/>
      <c r="M11" s="882"/>
      <c r="N11" s="882"/>
      <c r="O11" s="145"/>
    </row>
    <row r="12" spans="1:15">
      <c r="A12" s="90"/>
      <c r="B12" s="882"/>
      <c r="C12" s="882"/>
      <c r="D12" s="882"/>
      <c r="E12" s="882"/>
      <c r="F12" s="882"/>
      <c r="G12" s="882"/>
      <c r="H12" s="882"/>
      <c r="I12" s="882"/>
      <c r="J12" s="882"/>
      <c r="K12" s="882"/>
      <c r="L12" s="882"/>
      <c r="M12" s="882"/>
      <c r="N12" s="882"/>
      <c r="O12" s="145"/>
    </row>
    <row r="13" spans="1:15">
      <c r="A13" s="90"/>
      <c r="B13" s="882"/>
      <c r="C13" s="882"/>
      <c r="D13" s="882"/>
      <c r="E13" s="882"/>
      <c r="F13" s="882"/>
      <c r="G13" s="882"/>
      <c r="H13" s="882"/>
      <c r="I13" s="882"/>
      <c r="J13" s="882"/>
      <c r="K13" s="882"/>
      <c r="L13" s="882"/>
      <c r="M13" s="882"/>
      <c r="N13" s="882"/>
      <c r="O13" s="145"/>
    </row>
    <row r="14" spans="1:15">
      <c r="A14" s="90"/>
      <c r="B14" s="882"/>
      <c r="C14" s="882"/>
      <c r="D14" s="882"/>
      <c r="E14" s="882"/>
      <c r="F14" s="882"/>
      <c r="G14" s="882"/>
      <c r="H14" s="882"/>
      <c r="I14" s="882"/>
      <c r="J14" s="882"/>
      <c r="K14" s="882"/>
      <c r="L14" s="882"/>
      <c r="M14" s="882"/>
      <c r="N14" s="882"/>
      <c r="O14" s="145"/>
    </row>
    <row r="15" spans="1:15">
      <c r="A15" s="90"/>
      <c r="B15" s="882"/>
      <c r="C15" s="882"/>
      <c r="D15" s="882"/>
      <c r="E15" s="882"/>
      <c r="F15" s="882"/>
      <c r="G15" s="882"/>
      <c r="H15" s="882"/>
      <c r="I15" s="882"/>
      <c r="J15" s="882"/>
      <c r="K15" s="882"/>
      <c r="L15" s="882"/>
      <c r="M15" s="882"/>
      <c r="N15" s="882"/>
      <c r="O15" s="145"/>
    </row>
    <row r="16" spans="1:15">
      <c r="A16" s="90"/>
      <c r="B16" s="882"/>
      <c r="C16" s="882"/>
      <c r="D16" s="882"/>
      <c r="E16" s="882"/>
      <c r="F16" s="882"/>
      <c r="G16" s="882"/>
      <c r="H16" s="882"/>
      <c r="I16" s="882"/>
      <c r="J16" s="882"/>
      <c r="K16" s="882"/>
      <c r="L16" s="882"/>
      <c r="M16" s="882"/>
      <c r="N16" s="882"/>
      <c r="O16" s="145"/>
    </row>
    <row r="17" spans="1:15">
      <c r="A17" s="90"/>
      <c r="B17" s="882"/>
      <c r="C17" s="882"/>
      <c r="D17" s="882"/>
      <c r="E17" s="882"/>
      <c r="F17" s="882"/>
      <c r="G17" s="882"/>
      <c r="H17" s="882"/>
      <c r="I17" s="882"/>
      <c r="J17" s="882"/>
      <c r="K17" s="882"/>
      <c r="L17" s="882"/>
      <c r="M17" s="882"/>
      <c r="N17" s="882"/>
      <c r="O17" s="145"/>
    </row>
    <row r="18" spans="1:15">
      <c r="A18" s="90"/>
      <c r="B18" s="882"/>
      <c r="C18" s="882"/>
      <c r="D18" s="882"/>
      <c r="E18" s="882"/>
      <c r="F18" s="882"/>
      <c r="G18" s="882"/>
      <c r="H18" s="882"/>
      <c r="I18" s="882"/>
      <c r="J18" s="882"/>
      <c r="K18" s="882"/>
      <c r="L18" s="882"/>
      <c r="M18" s="882"/>
      <c r="N18" s="882"/>
      <c r="O18" s="145"/>
    </row>
    <row r="19" spans="1:15">
      <c r="A19" s="90"/>
      <c r="B19" s="882"/>
      <c r="C19" s="882"/>
      <c r="D19" s="882"/>
      <c r="E19" s="882"/>
      <c r="F19" s="882"/>
      <c r="G19" s="882"/>
      <c r="H19" s="882"/>
      <c r="I19" s="882"/>
      <c r="J19" s="882"/>
      <c r="K19" s="882"/>
      <c r="L19" s="882"/>
      <c r="M19" s="882"/>
      <c r="N19" s="882"/>
      <c r="O19" s="145"/>
    </row>
    <row r="20" spans="1:15">
      <c r="A20" s="90"/>
      <c r="B20" s="882"/>
      <c r="C20" s="882"/>
      <c r="D20" s="882"/>
      <c r="E20" s="882"/>
      <c r="F20" s="882"/>
      <c r="G20" s="882"/>
      <c r="H20" s="882"/>
      <c r="I20" s="882"/>
      <c r="J20" s="882"/>
      <c r="K20" s="882"/>
      <c r="L20" s="882"/>
      <c r="M20" s="882"/>
      <c r="N20" s="882"/>
      <c r="O20" s="145"/>
    </row>
    <row r="21" spans="1:15">
      <c r="A21" s="90"/>
      <c r="B21" s="882"/>
      <c r="C21" s="882"/>
      <c r="D21" s="882"/>
      <c r="E21" s="882"/>
      <c r="F21" s="882"/>
      <c r="G21" s="882"/>
      <c r="H21" s="882"/>
      <c r="I21" s="882"/>
      <c r="J21" s="882"/>
      <c r="K21" s="882"/>
      <c r="L21" s="882"/>
      <c r="M21" s="882"/>
      <c r="N21" s="882"/>
      <c r="O21" s="145"/>
    </row>
    <row r="22" spans="1:15">
      <c r="A22" s="90"/>
      <c r="B22" s="882"/>
      <c r="C22" s="882"/>
      <c r="D22" s="882"/>
      <c r="E22" s="882"/>
      <c r="F22" s="882"/>
      <c r="G22" s="882"/>
      <c r="H22" s="882"/>
      <c r="I22" s="882"/>
      <c r="J22" s="882"/>
      <c r="K22" s="882"/>
      <c r="L22" s="882"/>
      <c r="M22" s="882"/>
      <c r="N22" s="882"/>
      <c r="O22" s="145"/>
    </row>
    <row r="23" spans="1:15">
      <c r="A23" s="90"/>
      <c r="B23" s="882"/>
      <c r="C23" s="882"/>
      <c r="D23" s="882"/>
      <c r="E23" s="882"/>
      <c r="F23" s="882"/>
      <c r="G23" s="882"/>
      <c r="H23" s="882"/>
      <c r="I23" s="882"/>
      <c r="J23" s="882"/>
      <c r="K23" s="882"/>
      <c r="L23" s="882"/>
      <c r="M23" s="882"/>
      <c r="N23" s="882"/>
      <c r="O23" s="145"/>
    </row>
    <row r="24" spans="1:15">
      <c r="A24" s="90"/>
      <c r="B24" s="882"/>
      <c r="C24" s="882"/>
      <c r="D24" s="882"/>
      <c r="E24" s="882"/>
      <c r="F24" s="882"/>
      <c r="G24" s="882"/>
      <c r="H24" s="882"/>
      <c r="I24" s="882"/>
      <c r="J24" s="882"/>
      <c r="K24" s="882"/>
      <c r="L24" s="882"/>
      <c r="M24" s="882"/>
      <c r="N24" s="882"/>
      <c r="O24" s="145"/>
    </row>
    <row r="25" spans="1:15">
      <c r="A25" s="90"/>
      <c r="B25" s="882"/>
      <c r="C25" s="882"/>
      <c r="D25" s="882"/>
      <c r="E25" s="882"/>
      <c r="F25" s="882"/>
      <c r="G25" s="882"/>
      <c r="H25" s="882"/>
      <c r="I25" s="882"/>
      <c r="J25" s="882"/>
      <c r="K25" s="882"/>
      <c r="L25" s="882"/>
      <c r="M25" s="882"/>
      <c r="N25" s="882"/>
      <c r="O25" s="145"/>
    </row>
    <row r="26" spans="1:15">
      <c r="A26" s="90"/>
      <c r="B26" s="882"/>
      <c r="C26" s="882"/>
      <c r="D26" s="882"/>
      <c r="E26" s="882"/>
      <c r="F26" s="882"/>
      <c r="G26" s="882"/>
      <c r="H26" s="882"/>
      <c r="I26" s="882"/>
      <c r="J26" s="882"/>
      <c r="K26" s="882"/>
      <c r="L26" s="882"/>
      <c r="M26" s="882"/>
      <c r="N26" s="882"/>
      <c r="O26" s="145"/>
    </row>
    <row r="27" spans="1:15">
      <c r="A27" s="90"/>
      <c r="B27" s="882"/>
      <c r="C27" s="882"/>
      <c r="D27" s="882"/>
      <c r="E27" s="882"/>
      <c r="F27" s="882"/>
      <c r="G27" s="882"/>
      <c r="H27" s="882"/>
      <c r="I27" s="882"/>
      <c r="J27" s="882"/>
      <c r="K27" s="882"/>
      <c r="L27" s="882"/>
      <c r="M27" s="882"/>
      <c r="N27" s="882"/>
      <c r="O27" s="145"/>
    </row>
    <row r="28" spans="1:15">
      <c r="A28" s="90"/>
      <c r="B28" s="882"/>
      <c r="C28" s="882"/>
      <c r="D28" s="882"/>
      <c r="E28" s="882"/>
      <c r="F28" s="882"/>
      <c r="G28" s="882"/>
      <c r="H28" s="882"/>
      <c r="I28" s="882"/>
      <c r="J28" s="882"/>
      <c r="K28" s="882"/>
      <c r="L28" s="882"/>
      <c r="M28" s="882"/>
      <c r="N28" s="882"/>
      <c r="O28" s="145"/>
    </row>
    <row r="29" spans="1:15">
      <c r="A29" s="90"/>
      <c r="B29" s="882"/>
      <c r="C29" s="882"/>
      <c r="D29" s="882"/>
      <c r="E29" s="882"/>
      <c r="F29" s="882"/>
      <c r="G29" s="882"/>
      <c r="H29" s="882"/>
      <c r="I29" s="882"/>
      <c r="J29" s="882"/>
      <c r="K29" s="882"/>
      <c r="L29" s="882"/>
      <c r="M29" s="882"/>
      <c r="N29" s="882"/>
      <c r="O29" s="145"/>
    </row>
    <row r="30" spans="1:15">
      <c r="A30" s="90"/>
      <c r="B30" s="882"/>
      <c r="C30" s="882"/>
      <c r="D30" s="882"/>
      <c r="E30" s="882"/>
      <c r="F30" s="882"/>
      <c r="G30" s="882"/>
      <c r="H30" s="882"/>
      <c r="I30" s="882"/>
      <c r="J30" s="882"/>
      <c r="K30" s="882"/>
      <c r="L30" s="882"/>
      <c r="M30" s="882"/>
      <c r="N30" s="882"/>
      <c r="O30" s="145"/>
    </row>
    <row r="31" spans="1:15">
      <c r="A31" s="90"/>
      <c r="B31" s="882"/>
      <c r="C31" s="882"/>
      <c r="D31" s="882"/>
      <c r="E31" s="882"/>
      <c r="F31" s="882"/>
      <c r="G31" s="882"/>
      <c r="H31" s="882"/>
      <c r="I31" s="882"/>
      <c r="J31" s="882"/>
      <c r="K31" s="882"/>
      <c r="L31" s="882"/>
      <c r="M31" s="882"/>
      <c r="N31" s="882"/>
      <c r="O31" s="145"/>
    </row>
    <row r="32" spans="1:15">
      <c r="A32" s="90"/>
      <c r="B32" s="882"/>
      <c r="C32" s="882"/>
      <c r="D32" s="882"/>
      <c r="E32" s="882"/>
      <c r="F32" s="882"/>
      <c r="G32" s="882"/>
      <c r="H32" s="882"/>
      <c r="I32" s="882"/>
      <c r="J32" s="882"/>
      <c r="K32" s="882"/>
      <c r="L32" s="882"/>
      <c r="M32" s="882"/>
      <c r="N32" s="882"/>
      <c r="O32" s="145"/>
    </row>
    <row r="33" spans="1:15">
      <c r="A33" s="90"/>
      <c r="B33" s="882"/>
      <c r="C33" s="882"/>
      <c r="D33" s="882"/>
      <c r="E33" s="882"/>
      <c r="F33" s="882"/>
      <c r="G33" s="882"/>
      <c r="H33" s="882"/>
      <c r="I33" s="882"/>
      <c r="J33" s="882"/>
      <c r="K33" s="882"/>
      <c r="L33" s="882"/>
      <c r="M33" s="882"/>
      <c r="N33" s="882"/>
      <c r="O33" s="145"/>
    </row>
    <row r="34" spans="1:15">
      <c r="A34" s="90"/>
      <c r="B34" s="882"/>
      <c r="C34" s="882"/>
      <c r="D34" s="882"/>
      <c r="E34" s="882"/>
      <c r="F34" s="882"/>
      <c r="G34" s="882"/>
      <c r="H34" s="882"/>
      <c r="I34" s="882"/>
      <c r="J34" s="882"/>
      <c r="K34" s="882"/>
      <c r="L34" s="882"/>
      <c r="M34" s="882"/>
      <c r="N34" s="882"/>
      <c r="O34" s="145"/>
    </row>
    <row r="35" spans="1:15">
      <c r="A35" s="90"/>
      <c r="B35" s="882"/>
      <c r="C35" s="882"/>
      <c r="D35" s="882"/>
      <c r="E35" s="882"/>
      <c r="F35" s="882"/>
      <c r="G35" s="882"/>
      <c r="H35" s="882"/>
      <c r="I35" s="882"/>
      <c r="J35" s="882"/>
      <c r="K35" s="882"/>
      <c r="L35" s="882"/>
      <c r="M35" s="882"/>
      <c r="N35" s="882"/>
      <c r="O35" s="145"/>
    </row>
    <row r="36" spans="1:15">
      <c r="A36" s="90"/>
      <c r="B36" s="882"/>
      <c r="C36" s="882"/>
      <c r="D36" s="882"/>
      <c r="E36" s="882"/>
      <c r="F36" s="882"/>
      <c r="G36" s="882"/>
      <c r="H36" s="882"/>
      <c r="I36" s="882"/>
      <c r="J36" s="882"/>
      <c r="K36" s="882"/>
      <c r="L36" s="882"/>
      <c r="M36" s="882"/>
      <c r="N36" s="882"/>
      <c r="O36" s="145"/>
    </row>
    <row r="37" spans="1:15">
      <c r="A37" s="90"/>
      <c r="B37" s="882"/>
      <c r="C37" s="882"/>
      <c r="D37" s="882"/>
      <c r="E37" s="882"/>
      <c r="F37" s="882"/>
      <c r="G37" s="882"/>
      <c r="H37" s="882"/>
      <c r="I37" s="882"/>
      <c r="J37" s="882"/>
      <c r="K37" s="882"/>
      <c r="L37" s="882"/>
      <c r="M37" s="882"/>
      <c r="N37" s="882"/>
      <c r="O37" s="145"/>
    </row>
    <row r="38" spans="1:15">
      <c r="A38" s="90"/>
      <c r="B38" s="882"/>
      <c r="C38" s="882"/>
      <c r="D38" s="882"/>
      <c r="E38" s="882"/>
      <c r="F38" s="882"/>
      <c r="G38" s="882"/>
      <c r="H38" s="882"/>
      <c r="I38" s="882"/>
      <c r="J38" s="882"/>
      <c r="K38" s="882"/>
      <c r="L38" s="882"/>
      <c r="M38" s="882"/>
      <c r="N38" s="882"/>
      <c r="O38" s="145"/>
    </row>
    <row r="39" spans="1:15">
      <c r="A39" s="90"/>
      <c r="B39" s="882"/>
      <c r="C39" s="882"/>
      <c r="D39" s="882"/>
      <c r="E39" s="882"/>
      <c r="F39" s="882"/>
      <c r="G39" s="882"/>
      <c r="H39" s="882"/>
      <c r="I39" s="882"/>
      <c r="J39" s="882"/>
      <c r="K39" s="882"/>
      <c r="L39" s="882"/>
      <c r="M39" s="882"/>
      <c r="N39" s="882"/>
      <c r="O39" s="145"/>
    </row>
    <row r="40" spans="1:15">
      <c r="A40" s="90"/>
      <c r="B40" s="882"/>
      <c r="C40" s="882"/>
      <c r="D40" s="882"/>
      <c r="E40" s="882"/>
      <c r="F40" s="882"/>
      <c r="G40" s="882"/>
      <c r="H40" s="882"/>
      <c r="I40" s="882"/>
      <c r="J40" s="882"/>
      <c r="K40" s="882"/>
      <c r="L40" s="882"/>
      <c r="M40" s="882"/>
      <c r="N40" s="882"/>
      <c r="O40" s="145"/>
    </row>
    <row r="41" spans="1:15">
      <c r="A41" s="90"/>
      <c r="B41" s="882"/>
      <c r="C41" s="882"/>
      <c r="D41" s="882"/>
      <c r="E41" s="882"/>
      <c r="F41" s="882"/>
      <c r="G41" s="882"/>
      <c r="H41" s="882"/>
      <c r="I41" s="882"/>
      <c r="J41" s="882"/>
      <c r="K41" s="882"/>
      <c r="L41" s="882"/>
      <c r="M41" s="882"/>
      <c r="N41" s="882"/>
      <c r="O41" s="145"/>
    </row>
    <row r="42" spans="1:15">
      <c r="A42" s="90"/>
      <c r="B42" s="882"/>
      <c r="C42" s="882"/>
      <c r="D42" s="882"/>
      <c r="E42" s="882"/>
      <c r="F42" s="882"/>
      <c r="G42" s="882"/>
      <c r="H42" s="882"/>
      <c r="I42" s="882"/>
      <c r="J42" s="882"/>
      <c r="K42" s="882"/>
      <c r="L42" s="882"/>
      <c r="M42" s="882"/>
      <c r="N42" s="882"/>
      <c r="O42" s="145"/>
    </row>
    <row r="43" spans="1:15">
      <c r="A43" s="90"/>
      <c r="B43" s="882"/>
      <c r="C43" s="882"/>
      <c r="D43" s="882"/>
      <c r="E43" s="882"/>
      <c r="F43" s="882"/>
      <c r="G43" s="882"/>
      <c r="H43" s="882"/>
      <c r="I43" s="882"/>
      <c r="J43" s="882"/>
      <c r="K43" s="882"/>
      <c r="L43" s="882"/>
      <c r="M43" s="882"/>
      <c r="N43" s="882"/>
      <c r="O43" s="145"/>
    </row>
    <row r="44" spans="1:15">
      <c r="A44" s="90"/>
      <c r="B44" s="882"/>
      <c r="C44" s="882"/>
      <c r="D44" s="882"/>
      <c r="E44" s="882"/>
      <c r="F44" s="882"/>
      <c r="G44" s="882"/>
      <c r="H44" s="882"/>
      <c r="I44" s="882"/>
      <c r="J44" s="882"/>
      <c r="K44" s="882"/>
      <c r="L44" s="882"/>
      <c r="M44" s="882"/>
      <c r="N44" s="882"/>
      <c r="O44" s="145"/>
    </row>
    <row r="45" spans="1:15">
      <c r="A45" s="90"/>
      <c r="B45" s="882"/>
      <c r="C45" s="882"/>
      <c r="D45" s="882"/>
      <c r="E45" s="882"/>
      <c r="F45" s="882"/>
      <c r="G45" s="882"/>
      <c r="H45" s="882"/>
      <c r="I45" s="882"/>
      <c r="J45" s="882"/>
      <c r="K45" s="882"/>
      <c r="L45" s="882"/>
      <c r="M45" s="882"/>
      <c r="N45" s="882"/>
      <c r="O45" s="145"/>
    </row>
    <row r="46" spans="1:15">
      <c r="A46" s="90"/>
      <c r="B46" s="882"/>
      <c r="C46" s="882"/>
      <c r="D46" s="882"/>
      <c r="E46" s="882"/>
      <c r="F46" s="882"/>
      <c r="G46" s="882"/>
      <c r="H46" s="882"/>
      <c r="I46" s="882"/>
      <c r="J46" s="882"/>
      <c r="K46" s="882"/>
      <c r="L46" s="882"/>
      <c r="M46" s="882"/>
      <c r="N46" s="882"/>
      <c r="O46" s="145"/>
    </row>
    <row r="47" spans="1:15">
      <c r="A47" s="90"/>
      <c r="B47" s="882"/>
      <c r="C47" s="882"/>
      <c r="D47" s="882"/>
      <c r="E47" s="882"/>
      <c r="F47" s="882"/>
      <c r="G47" s="882"/>
      <c r="H47" s="882"/>
      <c r="I47" s="882"/>
      <c r="J47" s="882"/>
      <c r="K47" s="882"/>
      <c r="L47" s="882"/>
      <c r="M47" s="882"/>
      <c r="N47" s="882"/>
      <c r="O47" s="145"/>
    </row>
    <row r="48" spans="1:15">
      <c r="A48" s="90"/>
      <c r="B48" s="882"/>
      <c r="C48" s="882"/>
      <c r="D48" s="882"/>
      <c r="E48" s="882"/>
      <c r="F48" s="882"/>
      <c r="G48" s="882"/>
      <c r="H48" s="882"/>
      <c r="I48" s="882"/>
      <c r="J48" s="882"/>
      <c r="K48" s="882"/>
      <c r="L48" s="882"/>
      <c r="M48" s="882"/>
      <c r="N48" s="882"/>
      <c r="O48" s="145"/>
    </row>
    <row r="49" spans="1:15">
      <c r="A49" s="90"/>
      <c r="B49" s="882"/>
      <c r="C49" s="882"/>
      <c r="D49" s="882"/>
      <c r="E49" s="882"/>
      <c r="F49" s="882"/>
      <c r="G49" s="882"/>
      <c r="H49" s="882"/>
      <c r="I49" s="882"/>
      <c r="J49" s="882"/>
      <c r="K49" s="882"/>
      <c r="L49" s="882"/>
      <c r="M49" s="882"/>
      <c r="N49" s="882"/>
      <c r="O49" s="145"/>
    </row>
    <row r="50" spans="1:15">
      <c r="A50" s="90"/>
      <c r="B50" s="882"/>
      <c r="C50" s="882"/>
      <c r="D50" s="882"/>
      <c r="E50" s="882"/>
      <c r="F50" s="882"/>
      <c r="G50" s="882"/>
      <c r="H50" s="882"/>
      <c r="I50" s="882"/>
      <c r="J50" s="882"/>
      <c r="K50" s="882"/>
      <c r="L50" s="882"/>
      <c r="M50" s="882"/>
      <c r="N50" s="882"/>
      <c r="O50" s="145"/>
    </row>
    <row r="51" spans="1:15">
      <c r="A51" s="90"/>
      <c r="B51" s="882"/>
      <c r="C51" s="882"/>
      <c r="D51" s="882"/>
      <c r="E51" s="882"/>
      <c r="F51" s="882"/>
      <c r="G51" s="882"/>
      <c r="H51" s="882"/>
      <c r="I51" s="882"/>
      <c r="J51" s="882"/>
      <c r="K51" s="882"/>
      <c r="L51" s="882"/>
      <c r="M51" s="882"/>
      <c r="N51" s="882"/>
      <c r="O51" s="145"/>
    </row>
    <row r="52" spans="1:15">
      <c r="A52" s="90"/>
      <c r="B52" s="882"/>
      <c r="C52" s="882"/>
      <c r="D52" s="882"/>
      <c r="E52" s="882"/>
      <c r="F52" s="882"/>
      <c r="G52" s="882"/>
      <c r="H52" s="882"/>
      <c r="I52" s="882"/>
      <c r="J52" s="882"/>
      <c r="K52" s="882"/>
      <c r="L52" s="882"/>
      <c r="M52" s="882"/>
      <c r="N52" s="882"/>
      <c r="O52" s="145"/>
    </row>
    <row r="53" spans="1:15">
      <c r="A53" s="90"/>
      <c r="B53" s="882"/>
      <c r="C53" s="882"/>
      <c r="D53" s="882"/>
      <c r="E53" s="882"/>
      <c r="F53" s="882"/>
      <c r="G53" s="882"/>
      <c r="H53" s="882"/>
      <c r="I53" s="882"/>
      <c r="J53" s="882"/>
      <c r="K53" s="882"/>
      <c r="L53" s="882"/>
      <c r="M53" s="882"/>
      <c r="N53" s="882"/>
      <c r="O53" s="145"/>
    </row>
    <row r="54" spans="1:15">
      <c r="A54" s="90"/>
      <c r="B54" s="882"/>
      <c r="C54" s="882"/>
      <c r="D54" s="882"/>
      <c r="E54" s="882"/>
      <c r="F54" s="882"/>
      <c r="G54" s="882"/>
      <c r="H54" s="882"/>
      <c r="I54" s="882"/>
      <c r="J54" s="882"/>
      <c r="K54" s="882"/>
      <c r="L54" s="882"/>
      <c r="M54" s="882"/>
      <c r="N54" s="882"/>
      <c r="O54" s="145"/>
    </row>
    <row r="55" spans="1:15">
      <c r="A55" s="90"/>
      <c r="B55" s="882"/>
      <c r="C55" s="882"/>
      <c r="D55" s="882"/>
      <c r="E55" s="882"/>
      <c r="F55" s="882"/>
      <c r="G55" s="882"/>
      <c r="H55" s="882"/>
      <c r="I55" s="882"/>
      <c r="J55" s="882"/>
      <c r="K55" s="882"/>
      <c r="L55" s="882"/>
      <c r="M55" s="882"/>
      <c r="N55" s="882"/>
      <c r="O55" s="145"/>
    </row>
    <row r="56" spans="1:15">
      <c r="A56" s="90"/>
      <c r="B56" s="882"/>
      <c r="C56" s="882"/>
      <c r="D56" s="882"/>
      <c r="E56" s="882"/>
      <c r="F56" s="882"/>
      <c r="G56" s="882"/>
      <c r="H56" s="882"/>
      <c r="I56" s="882"/>
      <c r="J56" s="882"/>
      <c r="K56" s="882"/>
      <c r="L56" s="882"/>
      <c r="M56" s="882"/>
      <c r="N56" s="882"/>
      <c r="O56" s="145"/>
    </row>
    <row r="57" spans="1:15">
      <c r="A57" s="90"/>
      <c r="B57" s="882"/>
      <c r="C57" s="882"/>
      <c r="D57" s="882"/>
      <c r="E57" s="882"/>
      <c r="F57" s="882"/>
      <c r="G57" s="882"/>
      <c r="H57" s="882"/>
      <c r="I57" s="882"/>
      <c r="J57" s="882"/>
      <c r="K57" s="882"/>
      <c r="L57" s="882"/>
      <c r="M57" s="882"/>
      <c r="N57" s="882"/>
      <c r="O57" s="145"/>
    </row>
    <row r="58" spans="1:15">
      <c r="A58" s="90"/>
      <c r="B58" s="882"/>
      <c r="C58" s="882"/>
      <c r="D58" s="882"/>
      <c r="E58" s="882"/>
      <c r="F58" s="882"/>
      <c r="G58" s="882"/>
      <c r="H58" s="882"/>
      <c r="I58" s="882"/>
      <c r="J58" s="882"/>
      <c r="K58" s="882"/>
      <c r="L58" s="882"/>
      <c r="M58" s="882"/>
      <c r="N58" s="882"/>
      <c r="O58" s="145"/>
    </row>
    <row r="59" spans="1:15">
      <c r="A59" s="90"/>
      <c r="B59" s="882"/>
      <c r="C59" s="882"/>
      <c r="D59" s="882"/>
      <c r="E59" s="882"/>
      <c r="F59" s="882"/>
      <c r="G59" s="882"/>
      <c r="H59" s="882"/>
      <c r="I59" s="882"/>
      <c r="J59" s="882"/>
      <c r="K59" s="882"/>
      <c r="L59" s="882"/>
      <c r="M59" s="882"/>
      <c r="N59" s="882"/>
      <c r="O59" s="145"/>
    </row>
    <row r="60" spans="1:15">
      <c r="A60" s="90"/>
      <c r="B60" s="882"/>
      <c r="C60" s="882"/>
      <c r="D60" s="882"/>
      <c r="E60" s="882"/>
      <c r="F60" s="882"/>
      <c r="G60" s="882"/>
      <c r="H60" s="882"/>
      <c r="I60" s="882"/>
      <c r="J60" s="882"/>
      <c r="K60" s="882"/>
      <c r="L60" s="882"/>
      <c r="M60" s="882"/>
      <c r="N60" s="882"/>
      <c r="O60" s="145"/>
    </row>
    <row r="61" spans="1:15">
      <c r="A61" s="90"/>
      <c r="B61" s="882"/>
      <c r="C61" s="882"/>
      <c r="D61" s="882"/>
      <c r="E61" s="882"/>
      <c r="F61" s="882"/>
      <c r="G61" s="882"/>
      <c r="H61" s="882"/>
      <c r="I61" s="882"/>
      <c r="J61" s="882"/>
      <c r="K61" s="882"/>
      <c r="L61" s="882"/>
      <c r="M61" s="882"/>
      <c r="N61" s="882"/>
      <c r="O61" s="145"/>
    </row>
    <row r="62" spans="1:15">
      <c r="A62" s="90"/>
      <c r="B62" s="882"/>
      <c r="C62" s="882"/>
      <c r="D62" s="882"/>
      <c r="E62" s="882"/>
      <c r="F62" s="882"/>
      <c r="G62" s="882"/>
      <c r="H62" s="882"/>
      <c r="I62" s="882"/>
      <c r="J62" s="882"/>
      <c r="K62" s="882"/>
      <c r="L62" s="882"/>
      <c r="M62" s="882"/>
      <c r="N62" s="882"/>
      <c r="O62" s="145"/>
    </row>
    <row r="63" spans="1:15">
      <c r="A63" s="90"/>
      <c r="B63" s="882"/>
      <c r="C63" s="882"/>
      <c r="D63" s="882"/>
      <c r="E63" s="882"/>
      <c r="F63" s="882"/>
      <c r="G63" s="882"/>
      <c r="H63" s="882"/>
      <c r="I63" s="882"/>
      <c r="J63" s="882"/>
      <c r="K63" s="882"/>
      <c r="L63" s="882"/>
      <c r="M63" s="882"/>
      <c r="N63" s="882"/>
      <c r="O63" s="145"/>
    </row>
    <row r="64" spans="1:15">
      <c r="A64" s="90"/>
      <c r="B64" s="882"/>
      <c r="C64" s="882"/>
      <c r="D64" s="882"/>
      <c r="E64" s="882"/>
      <c r="F64" s="882"/>
      <c r="G64" s="882"/>
      <c r="H64" s="882"/>
      <c r="I64" s="882"/>
      <c r="J64" s="882"/>
      <c r="K64" s="882"/>
      <c r="L64" s="882"/>
      <c r="M64" s="882"/>
      <c r="N64" s="882"/>
      <c r="O64" s="145"/>
    </row>
    <row r="65" spans="1:15">
      <c r="A65" s="90"/>
      <c r="B65" s="882"/>
      <c r="C65" s="882"/>
      <c r="D65" s="882"/>
      <c r="E65" s="882"/>
      <c r="F65" s="882"/>
      <c r="G65" s="882"/>
      <c r="H65" s="882"/>
      <c r="I65" s="882"/>
      <c r="J65" s="882"/>
      <c r="K65" s="882"/>
      <c r="L65" s="882"/>
      <c r="M65" s="882"/>
      <c r="N65" s="882"/>
      <c r="O65" s="145"/>
    </row>
    <row r="66" spans="1:15">
      <c r="A66" s="90"/>
      <c r="B66" s="882"/>
      <c r="C66" s="882"/>
      <c r="D66" s="882"/>
      <c r="E66" s="882"/>
      <c r="F66" s="882"/>
      <c r="G66" s="882"/>
      <c r="H66" s="882"/>
      <c r="I66" s="882"/>
      <c r="J66" s="882"/>
      <c r="K66" s="882"/>
      <c r="L66" s="882"/>
      <c r="M66" s="882"/>
      <c r="N66" s="882"/>
      <c r="O66" s="145"/>
    </row>
    <row r="67" spans="1:15">
      <c r="A67" s="90"/>
      <c r="B67" s="882"/>
      <c r="C67" s="882"/>
      <c r="D67" s="882"/>
      <c r="E67" s="882"/>
      <c r="F67" s="882"/>
      <c r="G67" s="882"/>
      <c r="H67" s="882"/>
      <c r="I67" s="882"/>
      <c r="J67" s="882"/>
      <c r="K67" s="882"/>
      <c r="L67" s="882"/>
      <c r="M67" s="882"/>
      <c r="N67" s="882"/>
      <c r="O67" s="145"/>
    </row>
    <row r="68" spans="1:15">
      <c r="A68" s="90"/>
      <c r="B68" s="882"/>
      <c r="C68" s="882"/>
      <c r="D68" s="882"/>
      <c r="E68" s="882"/>
      <c r="F68" s="882"/>
      <c r="G68" s="882"/>
      <c r="H68" s="882"/>
      <c r="I68" s="882"/>
      <c r="J68" s="882"/>
      <c r="K68" s="882"/>
      <c r="L68" s="882"/>
      <c r="M68" s="882"/>
      <c r="N68" s="882"/>
      <c r="O68" s="145"/>
    </row>
    <row r="69" spans="1:15">
      <c r="A69" s="90"/>
      <c r="B69" s="882"/>
      <c r="C69" s="882"/>
      <c r="D69" s="882"/>
      <c r="E69" s="882"/>
      <c r="F69" s="882"/>
      <c r="G69" s="882"/>
      <c r="H69" s="882"/>
      <c r="I69" s="882"/>
      <c r="J69" s="882"/>
      <c r="K69" s="882"/>
      <c r="L69" s="882"/>
      <c r="M69" s="882"/>
      <c r="N69" s="882"/>
      <c r="O69" s="145"/>
    </row>
    <row r="70" spans="1:15">
      <c r="A70" s="90"/>
      <c r="B70" s="882"/>
      <c r="C70" s="882"/>
      <c r="D70" s="882"/>
      <c r="E70" s="882"/>
      <c r="F70" s="882"/>
      <c r="G70" s="882"/>
      <c r="H70" s="882"/>
      <c r="I70" s="882"/>
      <c r="J70" s="882"/>
      <c r="K70" s="882"/>
      <c r="L70" s="882"/>
      <c r="M70" s="882"/>
      <c r="N70" s="882"/>
      <c r="O70" s="145"/>
    </row>
    <row r="71" spans="1:15">
      <c r="A71" s="90"/>
      <c r="B71" s="882"/>
      <c r="C71" s="882"/>
      <c r="D71" s="882"/>
      <c r="E71" s="882"/>
      <c r="F71" s="882"/>
      <c r="G71" s="882"/>
      <c r="H71" s="882"/>
      <c r="I71" s="882"/>
      <c r="J71" s="882"/>
      <c r="K71" s="882"/>
      <c r="L71" s="882"/>
      <c r="M71" s="882"/>
      <c r="N71" s="882"/>
      <c r="O71" s="145"/>
    </row>
    <row r="72" spans="1:15">
      <c r="A72" s="90"/>
      <c r="B72" s="882"/>
      <c r="C72" s="882"/>
      <c r="D72" s="882"/>
      <c r="E72" s="882"/>
      <c r="F72" s="882"/>
      <c r="G72" s="882"/>
      <c r="H72" s="882"/>
      <c r="I72" s="882"/>
      <c r="J72" s="882"/>
      <c r="K72" s="882"/>
      <c r="L72" s="882"/>
      <c r="M72" s="882"/>
      <c r="N72" s="882"/>
      <c r="O72" s="145"/>
    </row>
    <row r="73" spans="1:15">
      <c r="A73" s="90"/>
      <c r="B73" s="882"/>
      <c r="C73" s="882"/>
      <c r="D73" s="882"/>
      <c r="E73" s="882"/>
      <c r="F73" s="882"/>
      <c r="G73" s="882"/>
      <c r="H73" s="882"/>
      <c r="I73" s="882"/>
      <c r="J73" s="882"/>
      <c r="K73" s="882"/>
      <c r="L73" s="882"/>
      <c r="M73" s="882"/>
      <c r="N73" s="882"/>
      <c r="O73" s="145"/>
    </row>
    <row r="74" spans="1:15">
      <c r="A74" s="90"/>
      <c r="B74" s="882"/>
      <c r="C74" s="882"/>
      <c r="D74" s="882"/>
      <c r="E74" s="882"/>
      <c r="F74" s="882"/>
      <c r="G74" s="882"/>
      <c r="H74" s="882"/>
      <c r="I74" s="882"/>
      <c r="J74" s="882"/>
      <c r="K74" s="882"/>
      <c r="L74" s="882"/>
      <c r="M74" s="882"/>
      <c r="N74" s="882"/>
      <c r="O74" s="145"/>
    </row>
    <row r="75" spans="1:15">
      <c r="A75" s="90"/>
      <c r="B75" s="882"/>
      <c r="C75" s="882"/>
      <c r="D75" s="882"/>
      <c r="E75" s="882"/>
      <c r="F75" s="882"/>
      <c r="G75" s="882"/>
      <c r="H75" s="882"/>
      <c r="I75" s="882"/>
      <c r="J75" s="882"/>
      <c r="K75" s="882"/>
      <c r="L75" s="882"/>
      <c r="M75" s="882"/>
      <c r="N75" s="882"/>
      <c r="O75" s="145"/>
    </row>
    <row r="76" spans="1:15">
      <c r="A76" s="90"/>
      <c r="B76" s="882"/>
      <c r="C76" s="882"/>
      <c r="D76" s="882"/>
      <c r="E76" s="882"/>
      <c r="F76" s="882"/>
      <c r="G76" s="882"/>
      <c r="H76" s="882"/>
      <c r="I76" s="882"/>
      <c r="J76" s="882"/>
      <c r="K76" s="882"/>
      <c r="L76" s="882"/>
      <c r="M76" s="882"/>
      <c r="N76" s="882"/>
      <c r="O76" s="145"/>
    </row>
    <row r="77" spans="1:15">
      <c r="A77" s="90"/>
      <c r="B77" s="882"/>
      <c r="C77" s="882"/>
      <c r="D77" s="882"/>
      <c r="E77" s="882"/>
      <c r="F77" s="882"/>
      <c r="G77" s="882"/>
      <c r="H77" s="882"/>
      <c r="I77" s="882"/>
      <c r="J77" s="882"/>
      <c r="K77" s="882"/>
      <c r="L77" s="882"/>
      <c r="M77" s="882"/>
      <c r="N77" s="882"/>
      <c r="O77" s="145"/>
    </row>
    <row r="78" spans="1:15">
      <c r="A78" s="90"/>
      <c r="B78" s="882"/>
      <c r="C78" s="882"/>
      <c r="D78" s="882"/>
      <c r="E78" s="882"/>
      <c r="F78" s="882"/>
      <c r="G78" s="882"/>
      <c r="H78" s="882"/>
      <c r="I78" s="882"/>
      <c r="J78" s="882"/>
      <c r="K78" s="882"/>
      <c r="L78" s="882"/>
      <c r="M78" s="882"/>
      <c r="N78" s="882"/>
      <c r="O78" s="145"/>
    </row>
    <row r="79" spans="1:15">
      <c r="A79" s="90"/>
      <c r="B79" s="882"/>
      <c r="C79" s="882"/>
      <c r="D79" s="882"/>
      <c r="E79" s="882"/>
      <c r="F79" s="882"/>
      <c r="G79" s="882"/>
      <c r="H79" s="882"/>
      <c r="I79" s="882"/>
      <c r="J79" s="882"/>
      <c r="K79" s="882"/>
      <c r="L79" s="882"/>
      <c r="M79" s="882"/>
      <c r="N79" s="882"/>
      <c r="O79" s="145"/>
    </row>
    <row r="80" spans="1:15">
      <c r="A80" s="90"/>
      <c r="B80" s="882"/>
      <c r="C80" s="882"/>
      <c r="D80" s="882"/>
      <c r="E80" s="882"/>
      <c r="F80" s="882"/>
      <c r="G80" s="882"/>
      <c r="H80" s="882"/>
      <c r="I80" s="882"/>
      <c r="J80" s="882"/>
      <c r="K80" s="882"/>
      <c r="L80" s="882"/>
      <c r="M80" s="882"/>
      <c r="N80" s="882"/>
      <c r="O80" s="145"/>
    </row>
    <row r="81" spans="1:15">
      <c r="A81" s="90"/>
      <c r="B81" s="882"/>
      <c r="C81" s="882"/>
      <c r="D81" s="882"/>
      <c r="E81" s="882"/>
      <c r="F81" s="882"/>
      <c r="G81" s="882"/>
      <c r="H81" s="882"/>
      <c r="I81" s="882"/>
      <c r="J81" s="882"/>
      <c r="K81" s="882"/>
      <c r="L81" s="882"/>
      <c r="M81" s="882"/>
      <c r="N81" s="882"/>
      <c r="O81" s="145"/>
    </row>
    <row r="82" spans="1:15">
      <c r="A82" s="90"/>
      <c r="B82" s="882"/>
      <c r="C82" s="882"/>
      <c r="D82" s="882"/>
      <c r="E82" s="882"/>
      <c r="F82" s="882"/>
      <c r="G82" s="882"/>
      <c r="H82" s="882"/>
      <c r="I82" s="882"/>
      <c r="J82" s="882"/>
      <c r="K82" s="882"/>
      <c r="L82" s="882"/>
      <c r="M82" s="882"/>
      <c r="N82" s="882"/>
      <c r="O82" s="145"/>
    </row>
    <row r="83" spans="1:15">
      <c r="A83" s="90"/>
      <c r="B83" s="882"/>
      <c r="C83" s="882"/>
      <c r="D83" s="882"/>
      <c r="E83" s="882"/>
      <c r="F83" s="882"/>
      <c r="G83" s="882"/>
      <c r="H83" s="882"/>
      <c r="I83" s="882"/>
      <c r="J83" s="882"/>
      <c r="K83" s="882"/>
      <c r="L83" s="882"/>
      <c r="M83" s="882"/>
      <c r="N83" s="882"/>
      <c r="O83" s="145"/>
    </row>
    <row r="84" spans="1:15">
      <c r="A84" s="90"/>
      <c r="B84" s="882"/>
      <c r="C84" s="882"/>
      <c r="D84" s="882"/>
      <c r="E84" s="882"/>
      <c r="F84" s="882"/>
      <c r="G84" s="882"/>
      <c r="H84" s="882"/>
      <c r="I84" s="882"/>
      <c r="J84" s="882"/>
      <c r="K84" s="882"/>
      <c r="L84" s="882"/>
      <c r="M84" s="882"/>
      <c r="N84" s="882"/>
      <c r="O84" s="145"/>
    </row>
    <row r="85" spans="1:15">
      <c r="A85" s="90"/>
      <c r="B85" s="882"/>
      <c r="C85" s="882"/>
      <c r="D85" s="882"/>
      <c r="E85" s="882"/>
      <c r="F85" s="882"/>
      <c r="G85" s="882"/>
      <c r="H85" s="882"/>
      <c r="I85" s="882"/>
      <c r="J85" s="882"/>
      <c r="K85" s="882"/>
      <c r="L85" s="882"/>
      <c r="M85" s="882"/>
      <c r="N85" s="882"/>
      <c r="O85" s="145"/>
    </row>
    <row r="86" spans="1:15">
      <c r="A86" s="90"/>
      <c r="B86" s="882"/>
      <c r="C86" s="882"/>
      <c r="D86" s="882"/>
      <c r="E86" s="882"/>
      <c r="F86" s="882"/>
      <c r="G86" s="882"/>
      <c r="H86" s="882"/>
      <c r="I86" s="882"/>
      <c r="J86" s="882"/>
      <c r="K86" s="882"/>
      <c r="L86" s="882"/>
      <c r="M86" s="882"/>
      <c r="N86" s="882"/>
      <c r="O86" s="145"/>
    </row>
    <row r="87" spans="1:15">
      <c r="A87" s="90"/>
      <c r="B87" s="882"/>
      <c r="C87" s="882"/>
      <c r="D87" s="882"/>
      <c r="E87" s="882"/>
      <c r="F87" s="882"/>
      <c r="G87" s="882"/>
      <c r="H87" s="882"/>
      <c r="I87" s="882"/>
      <c r="J87" s="882"/>
      <c r="K87" s="882"/>
      <c r="L87" s="882"/>
      <c r="M87" s="882"/>
      <c r="N87" s="882"/>
      <c r="O87" s="145"/>
    </row>
    <row r="88" spans="1:15">
      <c r="A88" s="90"/>
      <c r="B88" s="882"/>
      <c r="C88" s="882"/>
      <c r="D88" s="882"/>
      <c r="E88" s="882"/>
      <c r="F88" s="882"/>
      <c r="G88" s="882"/>
      <c r="H88" s="882"/>
      <c r="I88" s="882"/>
      <c r="J88" s="882"/>
      <c r="K88" s="882"/>
      <c r="L88" s="882"/>
      <c r="M88" s="882"/>
      <c r="N88" s="882"/>
      <c r="O88" s="145"/>
    </row>
    <row r="89" spans="1:15">
      <c r="A89" s="90"/>
      <c r="B89" s="882"/>
      <c r="C89" s="882"/>
      <c r="D89" s="882"/>
      <c r="E89" s="882"/>
      <c r="F89" s="882"/>
      <c r="G89" s="882"/>
      <c r="H89" s="882"/>
      <c r="I89" s="882"/>
      <c r="J89" s="882"/>
      <c r="K89" s="882"/>
      <c r="L89" s="882"/>
      <c r="M89" s="882"/>
      <c r="N89" s="882"/>
      <c r="O89" s="145"/>
    </row>
    <row r="90" spans="1:15">
      <c r="A90" s="90"/>
      <c r="B90" s="882"/>
      <c r="C90" s="882"/>
      <c r="D90" s="882"/>
      <c r="E90" s="882"/>
      <c r="F90" s="882"/>
      <c r="G90" s="882"/>
      <c r="H90" s="882"/>
      <c r="I90" s="882"/>
      <c r="J90" s="882"/>
      <c r="K90" s="882"/>
      <c r="L90" s="882"/>
      <c r="M90" s="882"/>
      <c r="N90" s="882"/>
      <c r="O90" s="145"/>
    </row>
    <row r="91" spans="1:15">
      <c r="A91" s="90"/>
      <c r="B91" s="882"/>
      <c r="C91" s="882"/>
      <c r="D91" s="882"/>
      <c r="E91" s="882"/>
      <c r="F91" s="882"/>
      <c r="G91" s="882"/>
      <c r="H91" s="882"/>
      <c r="I91" s="882"/>
      <c r="J91" s="882"/>
      <c r="K91" s="882"/>
      <c r="L91" s="882"/>
      <c r="M91" s="882"/>
      <c r="N91" s="882"/>
      <c r="O91" s="145"/>
    </row>
    <row r="92" spans="1:15">
      <c r="A92" s="90"/>
      <c r="B92" s="882"/>
      <c r="C92" s="882"/>
      <c r="D92" s="882"/>
      <c r="E92" s="882"/>
      <c r="F92" s="882"/>
      <c r="G92" s="882"/>
      <c r="H92" s="882"/>
      <c r="I92" s="882"/>
      <c r="J92" s="882"/>
      <c r="K92" s="882"/>
      <c r="L92" s="882"/>
      <c r="M92" s="882"/>
      <c r="N92" s="882"/>
      <c r="O92" s="145"/>
    </row>
    <row r="93" spans="1:15">
      <c r="A93" s="90"/>
      <c r="B93" s="882"/>
      <c r="C93" s="882"/>
      <c r="D93" s="882"/>
      <c r="E93" s="882"/>
      <c r="F93" s="882"/>
      <c r="G93" s="882"/>
      <c r="H93" s="882"/>
      <c r="I93" s="882"/>
      <c r="J93" s="882"/>
      <c r="K93" s="882"/>
      <c r="L93" s="882"/>
      <c r="M93" s="882"/>
      <c r="N93" s="882"/>
      <c r="O93" s="145"/>
    </row>
    <row r="94" spans="1:15">
      <c r="A94" s="90"/>
      <c r="B94" s="882"/>
      <c r="C94" s="882"/>
      <c r="D94" s="882"/>
      <c r="E94" s="882"/>
      <c r="F94" s="882"/>
      <c r="G94" s="882"/>
      <c r="H94" s="882"/>
      <c r="I94" s="882"/>
      <c r="J94" s="882"/>
      <c r="K94" s="882"/>
      <c r="L94" s="882"/>
      <c r="M94" s="882"/>
      <c r="N94" s="882"/>
      <c r="O94" s="145"/>
    </row>
    <row r="95" spans="1:15">
      <c r="A95" s="90"/>
      <c r="B95" s="882"/>
      <c r="C95" s="882"/>
      <c r="D95" s="882"/>
      <c r="E95" s="882"/>
      <c r="F95" s="882"/>
      <c r="G95" s="882"/>
      <c r="H95" s="882"/>
      <c r="I95" s="882"/>
      <c r="J95" s="882"/>
      <c r="K95" s="882"/>
      <c r="L95" s="882"/>
      <c r="M95" s="882"/>
      <c r="N95" s="882"/>
      <c r="O95" s="145"/>
    </row>
    <row r="96" spans="1:15">
      <c r="A96" s="90"/>
      <c r="B96" s="882"/>
      <c r="C96" s="882"/>
      <c r="D96" s="882"/>
      <c r="E96" s="882"/>
      <c r="F96" s="882"/>
      <c r="G96" s="882"/>
      <c r="H96" s="882"/>
      <c r="I96" s="882"/>
      <c r="J96" s="882"/>
      <c r="K96" s="882"/>
      <c r="L96" s="882"/>
      <c r="M96" s="882"/>
      <c r="N96" s="882"/>
      <c r="O96" s="145"/>
    </row>
    <row r="97" spans="1:15">
      <c r="A97" s="90"/>
      <c r="B97" s="882"/>
      <c r="C97" s="882"/>
      <c r="D97" s="882"/>
      <c r="E97" s="882"/>
      <c r="F97" s="882"/>
      <c r="G97" s="882"/>
      <c r="H97" s="882"/>
      <c r="I97" s="882"/>
      <c r="J97" s="882"/>
      <c r="K97" s="882"/>
      <c r="L97" s="882"/>
      <c r="M97" s="882"/>
      <c r="N97" s="882"/>
      <c r="O97" s="145"/>
    </row>
    <row r="98" spans="1:15">
      <c r="A98" s="90"/>
      <c r="B98" s="882"/>
      <c r="C98" s="882"/>
      <c r="D98" s="882"/>
      <c r="E98" s="882"/>
      <c r="F98" s="882"/>
      <c r="G98" s="882"/>
      <c r="H98" s="882"/>
      <c r="I98" s="882"/>
      <c r="J98" s="882"/>
      <c r="K98" s="882"/>
      <c r="L98" s="882"/>
      <c r="M98" s="882"/>
      <c r="N98" s="882"/>
      <c r="O98" s="145"/>
    </row>
    <row r="99" spans="1:15">
      <c r="A99" s="90"/>
      <c r="B99" s="882"/>
      <c r="C99" s="882"/>
      <c r="D99" s="882"/>
      <c r="E99" s="882"/>
      <c r="F99" s="882"/>
      <c r="G99" s="882"/>
      <c r="H99" s="882"/>
      <c r="I99" s="882"/>
      <c r="J99" s="882"/>
      <c r="K99" s="882"/>
      <c r="L99" s="882"/>
      <c r="M99" s="882"/>
      <c r="N99" s="882"/>
      <c r="O99" s="145"/>
    </row>
    <row r="100" spans="1:15">
      <c r="A100" s="90"/>
      <c r="B100" s="882"/>
      <c r="C100" s="882"/>
      <c r="D100" s="882"/>
      <c r="E100" s="882"/>
      <c r="F100" s="882"/>
      <c r="G100" s="882"/>
      <c r="H100" s="882"/>
      <c r="I100" s="882"/>
      <c r="J100" s="882"/>
      <c r="K100" s="882"/>
      <c r="L100" s="882"/>
      <c r="M100" s="882"/>
      <c r="N100" s="882"/>
      <c r="O100" s="145"/>
    </row>
    <row r="101" spans="1:15">
      <c r="A101" s="90"/>
      <c r="B101" s="882"/>
      <c r="C101" s="882"/>
      <c r="D101" s="882"/>
      <c r="E101" s="882"/>
      <c r="F101" s="882"/>
      <c r="G101" s="882"/>
      <c r="H101" s="882"/>
      <c r="I101" s="882"/>
      <c r="J101" s="882"/>
      <c r="K101" s="882"/>
      <c r="L101" s="882"/>
      <c r="M101" s="882"/>
      <c r="N101" s="882"/>
      <c r="O101" s="145"/>
    </row>
    <row r="102" spans="1:15">
      <c r="A102" s="90"/>
      <c r="B102" s="882"/>
      <c r="C102" s="882"/>
      <c r="D102" s="882"/>
      <c r="E102" s="882"/>
      <c r="F102" s="882"/>
      <c r="G102" s="882"/>
      <c r="H102" s="882"/>
      <c r="I102" s="882"/>
      <c r="J102" s="882"/>
      <c r="K102" s="882"/>
      <c r="L102" s="882"/>
      <c r="M102" s="882"/>
      <c r="N102" s="882"/>
      <c r="O102" s="145"/>
    </row>
    <row r="103" spans="1:15">
      <c r="A103" s="90"/>
      <c r="B103" s="882"/>
      <c r="C103" s="882"/>
      <c r="D103" s="882"/>
      <c r="E103" s="882"/>
      <c r="F103" s="882"/>
      <c r="G103" s="882"/>
      <c r="H103" s="882"/>
      <c r="I103" s="882"/>
      <c r="J103" s="882"/>
      <c r="K103" s="882"/>
      <c r="L103" s="882"/>
      <c r="M103" s="882"/>
      <c r="N103" s="882"/>
      <c r="O103" s="145"/>
    </row>
    <row r="104" spans="1:15">
      <c r="A104" s="90"/>
      <c r="B104" s="882"/>
      <c r="C104" s="882"/>
      <c r="D104" s="882"/>
      <c r="E104" s="882"/>
      <c r="F104" s="882"/>
      <c r="G104" s="882"/>
      <c r="H104" s="882"/>
      <c r="I104" s="882"/>
      <c r="J104" s="882"/>
      <c r="K104" s="882"/>
      <c r="L104" s="882"/>
      <c r="M104" s="882"/>
      <c r="N104" s="882"/>
      <c r="O104" s="145"/>
    </row>
    <row r="105" spans="1:15">
      <c r="A105" s="90"/>
      <c r="B105" s="882"/>
      <c r="C105" s="882"/>
      <c r="D105" s="882"/>
      <c r="E105" s="882"/>
      <c r="F105" s="882"/>
      <c r="G105" s="882"/>
      <c r="H105" s="882"/>
      <c r="I105" s="882"/>
      <c r="J105" s="882"/>
      <c r="K105" s="882"/>
      <c r="L105" s="882"/>
      <c r="M105" s="882"/>
      <c r="N105" s="882"/>
      <c r="O105" s="145"/>
    </row>
    <row r="106" spans="1:15">
      <c r="A106" s="90"/>
      <c r="B106" s="882"/>
      <c r="C106" s="882"/>
      <c r="D106" s="882"/>
      <c r="E106" s="882"/>
      <c r="F106" s="882"/>
      <c r="G106" s="882"/>
      <c r="H106" s="882"/>
      <c r="I106" s="882"/>
      <c r="J106" s="882"/>
      <c r="K106" s="882"/>
      <c r="L106" s="882"/>
      <c r="M106" s="882"/>
      <c r="N106" s="882"/>
      <c r="O106" s="145"/>
    </row>
    <row r="107" spans="1:15">
      <c r="A107" s="90"/>
      <c r="B107" s="882"/>
      <c r="C107" s="882"/>
      <c r="D107" s="882"/>
      <c r="E107" s="882"/>
      <c r="F107" s="882"/>
      <c r="G107" s="882"/>
      <c r="H107" s="882"/>
      <c r="I107" s="882"/>
      <c r="J107" s="882"/>
      <c r="K107" s="882"/>
      <c r="L107" s="882"/>
      <c r="M107" s="882"/>
      <c r="N107" s="882"/>
      <c r="O107" s="145"/>
    </row>
    <row r="108" spans="1:15">
      <c r="A108" s="90"/>
      <c r="B108" s="882"/>
      <c r="C108" s="882"/>
      <c r="D108" s="882"/>
      <c r="E108" s="882"/>
      <c r="F108" s="882"/>
      <c r="G108" s="882"/>
      <c r="H108" s="882"/>
      <c r="I108" s="882"/>
      <c r="J108" s="882"/>
      <c r="K108" s="882"/>
      <c r="L108" s="882"/>
      <c r="M108" s="882"/>
      <c r="N108" s="882"/>
      <c r="O108" s="145"/>
    </row>
    <row r="109" spans="1:15">
      <c r="A109" s="90"/>
      <c r="B109" s="882"/>
      <c r="C109" s="882"/>
      <c r="D109" s="882"/>
      <c r="E109" s="882"/>
      <c r="F109" s="882"/>
      <c r="G109" s="882"/>
      <c r="H109" s="882"/>
      <c r="I109" s="882"/>
      <c r="J109" s="882"/>
      <c r="K109" s="882"/>
      <c r="L109" s="882"/>
      <c r="M109" s="882"/>
      <c r="N109" s="882"/>
      <c r="O109" s="145"/>
    </row>
    <row r="110" spans="1:15">
      <c r="A110" s="90"/>
      <c r="B110" s="882"/>
      <c r="C110" s="882"/>
      <c r="D110" s="882"/>
      <c r="E110" s="882"/>
      <c r="F110" s="882"/>
      <c r="G110" s="882"/>
      <c r="H110" s="882"/>
      <c r="I110" s="882"/>
      <c r="J110" s="882"/>
      <c r="K110" s="882"/>
      <c r="L110" s="882"/>
      <c r="M110" s="882"/>
      <c r="N110" s="882"/>
      <c r="O110" s="145"/>
    </row>
    <row r="111" spans="1:15">
      <c r="A111" s="90"/>
      <c r="B111" s="882"/>
      <c r="C111" s="882"/>
      <c r="D111" s="882"/>
      <c r="E111" s="882"/>
      <c r="F111" s="882"/>
      <c r="G111" s="882"/>
      <c r="H111" s="882"/>
      <c r="I111" s="882"/>
      <c r="J111" s="882"/>
      <c r="K111" s="882"/>
      <c r="L111" s="882"/>
      <c r="M111" s="882"/>
      <c r="N111" s="882"/>
      <c r="O111" s="145"/>
    </row>
    <row r="112" spans="1:15">
      <c r="A112" s="90"/>
      <c r="B112" s="882"/>
      <c r="C112" s="882"/>
      <c r="D112" s="882"/>
      <c r="E112" s="882"/>
      <c r="F112" s="882"/>
      <c r="G112" s="882"/>
      <c r="H112" s="882"/>
      <c r="I112" s="882"/>
      <c r="J112" s="882"/>
      <c r="K112" s="882"/>
      <c r="L112" s="882"/>
      <c r="M112" s="882"/>
      <c r="N112" s="882"/>
      <c r="O112" s="145"/>
    </row>
    <row r="113" spans="1:15">
      <c r="A113" s="90"/>
      <c r="B113" s="882"/>
      <c r="C113" s="882"/>
      <c r="D113" s="882"/>
      <c r="E113" s="882"/>
      <c r="F113" s="882"/>
      <c r="G113" s="882"/>
      <c r="H113" s="882"/>
      <c r="I113" s="882"/>
      <c r="J113" s="882"/>
      <c r="K113" s="882"/>
      <c r="L113" s="882"/>
      <c r="M113" s="882"/>
      <c r="N113" s="882"/>
      <c r="O113" s="145"/>
    </row>
    <row r="114" spans="1:15">
      <c r="A114" s="90"/>
      <c r="B114" s="882"/>
      <c r="C114" s="882"/>
      <c r="D114" s="882"/>
      <c r="E114" s="882"/>
      <c r="F114" s="882"/>
      <c r="G114" s="882"/>
      <c r="H114" s="882"/>
      <c r="I114" s="882"/>
      <c r="J114" s="882"/>
      <c r="K114" s="882"/>
      <c r="L114" s="882"/>
      <c r="M114" s="882"/>
      <c r="N114" s="882"/>
      <c r="O114" s="145"/>
    </row>
    <row r="115" spans="1:15">
      <c r="A115" s="90"/>
      <c r="B115" s="882"/>
      <c r="C115" s="882"/>
      <c r="D115" s="882"/>
      <c r="E115" s="882"/>
      <c r="F115" s="882"/>
      <c r="G115" s="882"/>
      <c r="H115" s="882"/>
      <c r="I115" s="882"/>
      <c r="J115" s="882"/>
      <c r="K115" s="882"/>
      <c r="L115" s="882"/>
      <c r="M115" s="882"/>
      <c r="N115" s="882"/>
      <c r="O115" s="145"/>
    </row>
    <row r="116" spans="1:15">
      <c r="A116" s="90"/>
      <c r="B116" s="882"/>
      <c r="C116" s="882"/>
      <c r="D116" s="882"/>
      <c r="E116" s="882"/>
      <c r="F116" s="882"/>
      <c r="G116" s="882"/>
      <c r="H116" s="882"/>
      <c r="I116" s="882"/>
      <c r="J116" s="882"/>
      <c r="K116" s="882"/>
      <c r="L116" s="882"/>
      <c r="M116" s="882"/>
      <c r="N116" s="882"/>
      <c r="O116" s="145"/>
    </row>
    <row r="117" spans="1:15">
      <c r="A117" s="90"/>
      <c r="B117" s="882"/>
      <c r="C117" s="882"/>
      <c r="D117" s="882"/>
      <c r="E117" s="882"/>
      <c r="F117" s="882"/>
      <c r="G117" s="882"/>
      <c r="H117" s="882"/>
      <c r="I117" s="882"/>
      <c r="J117" s="882"/>
      <c r="K117" s="882"/>
      <c r="L117" s="882"/>
      <c r="M117" s="882"/>
      <c r="N117" s="882"/>
      <c r="O117" s="145"/>
    </row>
    <row r="118" spans="1:15">
      <c r="A118" s="90"/>
      <c r="B118" s="882"/>
      <c r="C118" s="882"/>
      <c r="D118" s="882"/>
      <c r="E118" s="882"/>
      <c r="F118" s="882"/>
      <c r="G118" s="882"/>
      <c r="H118" s="882"/>
      <c r="I118" s="882"/>
      <c r="J118" s="882"/>
      <c r="K118" s="882"/>
      <c r="L118" s="882"/>
      <c r="M118" s="882"/>
      <c r="N118" s="882"/>
      <c r="O118" s="145"/>
    </row>
    <row r="119" spans="1:15">
      <c r="A119" s="90"/>
      <c r="B119" s="882"/>
      <c r="C119" s="882"/>
      <c r="D119" s="882"/>
      <c r="E119" s="882"/>
      <c r="F119" s="882"/>
      <c r="G119" s="882"/>
      <c r="H119" s="882"/>
      <c r="I119" s="882"/>
      <c r="J119" s="882"/>
      <c r="K119" s="882"/>
      <c r="L119" s="882"/>
      <c r="M119" s="882"/>
      <c r="N119" s="882"/>
      <c r="O119" s="145"/>
    </row>
    <row r="120" spans="1:15">
      <c r="A120" s="90"/>
      <c r="B120" s="882"/>
      <c r="C120" s="882"/>
      <c r="D120" s="882"/>
      <c r="E120" s="882"/>
      <c r="F120" s="882"/>
      <c r="G120" s="882"/>
      <c r="H120" s="882"/>
      <c r="I120" s="882"/>
      <c r="J120" s="882"/>
      <c r="K120" s="882"/>
      <c r="L120" s="882"/>
      <c r="M120" s="882"/>
      <c r="N120" s="882"/>
      <c r="O120" s="145"/>
    </row>
    <row r="121" spans="1:15">
      <c r="A121" s="90"/>
      <c r="B121" s="882"/>
      <c r="C121" s="882"/>
      <c r="D121" s="882"/>
      <c r="E121" s="882"/>
      <c r="F121" s="882"/>
      <c r="G121" s="882"/>
      <c r="H121" s="882"/>
      <c r="I121" s="882"/>
      <c r="J121" s="882"/>
      <c r="K121" s="882"/>
      <c r="L121" s="882"/>
      <c r="M121" s="882"/>
      <c r="N121" s="882"/>
      <c r="O121" s="145"/>
    </row>
    <row r="122" spans="1:15">
      <c r="A122" s="90"/>
      <c r="B122" s="882"/>
      <c r="C122" s="882"/>
      <c r="D122" s="882"/>
      <c r="E122" s="882"/>
      <c r="F122" s="882"/>
      <c r="G122" s="882"/>
      <c r="H122" s="882"/>
      <c r="I122" s="882"/>
      <c r="J122" s="882"/>
      <c r="K122" s="882"/>
      <c r="L122" s="882"/>
      <c r="M122" s="882"/>
      <c r="N122" s="882"/>
      <c r="O122" s="145"/>
    </row>
    <row r="123" spans="1:15">
      <c r="A123" s="90"/>
      <c r="B123" s="882"/>
      <c r="C123" s="882"/>
      <c r="D123" s="882"/>
      <c r="E123" s="882"/>
      <c r="F123" s="882"/>
      <c r="G123" s="882"/>
      <c r="H123" s="882"/>
      <c r="I123" s="882"/>
      <c r="J123" s="882"/>
      <c r="K123" s="882"/>
      <c r="L123" s="882"/>
      <c r="M123" s="882"/>
      <c r="N123" s="882"/>
      <c r="O123" s="145"/>
    </row>
    <row r="124" spans="1:15">
      <c r="A124" s="90"/>
      <c r="B124" s="882"/>
      <c r="C124" s="882"/>
      <c r="D124" s="882"/>
      <c r="E124" s="882"/>
      <c r="F124" s="882"/>
      <c r="G124" s="882"/>
      <c r="H124" s="882"/>
      <c r="I124" s="882"/>
      <c r="J124" s="882"/>
      <c r="K124" s="882"/>
      <c r="L124" s="882"/>
      <c r="M124" s="882"/>
      <c r="N124" s="882"/>
      <c r="O124" s="145"/>
    </row>
    <row r="125" spans="1:15">
      <c r="A125" s="90"/>
      <c r="B125" s="882"/>
      <c r="C125" s="882"/>
      <c r="D125" s="882"/>
      <c r="E125" s="882"/>
      <c r="F125" s="882"/>
      <c r="G125" s="882"/>
      <c r="H125" s="882"/>
      <c r="I125" s="882"/>
      <c r="J125" s="882"/>
      <c r="K125" s="882"/>
      <c r="L125" s="882"/>
      <c r="M125" s="882"/>
      <c r="N125" s="882"/>
      <c r="O125" s="145"/>
    </row>
    <row r="126" spans="1:15">
      <c r="A126" s="90"/>
      <c r="B126" s="882"/>
      <c r="C126" s="882"/>
      <c r="D126" s="882"/>
      <c r="E126" s="882"/>
      <c r="F126" s="882"/>
      <c r="G126" s="882"/>
      <c r="H126" s="882"/>
      <c r="I126" s="882"/>
      <c r="J126" s="882"/>
      <c r="K126" s="882"/>
      <c r="L126" s="882"/>
      <c r="M126" s="882"/>
      <c r="N126" s="882"/>
      <c r="O126" s="145"/>
    </row>
    <row r="127" spans="1:15">
      <c r="A127" s="90"/>
      <c r="B127" s="882"/>
      <c r="C127" s="882"/>
      <c r="D127" s="882"/>
      <c r="E127" s="882"/>
      <c r="F127" s="882"/>
      <c r="G127" s="882"/>
      <c r="H127" s="882"/>
      <c r="I127" s="882"/>
      <c r="J127" s="882"/>
      <c r="K127" s="882"/>
      <c r="L127" s="882"/>
      <c r="M127" s="882"/>
      <c r="N127" s="882"/>
      <c r="O127" s="145"/>
    </row>
    <row r="128" spans="1:15">
      <c r="A128" s="90"/>
      <c r="B128" s="882"/>
      <c r="C128" s="882"/>
      <c r="D128" s="882"/>
      <c r="E128" s="882"/>
      <c r="F128" s="882"/>
      <c r="G128" s="882"/>
      <c r="H128" s="882"/>
      <c r="I128" s="882"/>
      <c r="J128" s="882"/>
      <c r="K128" s="882"/>
      <c r="L128" s="882"/>
      <c r="M128" s="882"/>
      <c r="N128" s="882"/>
      <c r="O128" s="145"/>
    </row>
    <row r="129" spans="1:15">
      <c r="A129" s="90"/>
      <c r="B129" s="882"/>
      <c r="C129" s="882"/>
      <c r="D129" s="882"/>
      <c r="E129" s="882"/>
      <c r="F129" s="882"/>
      <c r="G129" s="882"/>
      <c r="H129" s="882"/>
      <c r="I129" s="882"/>
      <c r="J129" s="882"/>
      <c r="K129" s="882"/>
      <c r="L129" s="882"/>
      <c r="M129" s="882"/>
      <c r="N129" s="882"/>
      <c r="O129" s="145"/>
    </row>
    <row r="130" spans="1:15">
      <c r="A130" s="90"/>
      <c r="B130" s="882"/>
      <c r="C130" s="882"/>
      <c r="D130" s="882"/>
      <c r="E130" s="882"/>
      <c r="F130" s="882"/>
      <c r="G130" s="882"/>
      <c r="H130" s="882"/>
      <c r="I130" s="882"/>
      <c r="J130" s="882"/>
      <c r="K130" s="882"/>
      <c r="L130" s="882"/>
      <c r="M130" s="882"/>
      <c r="N130" s="882"/>
      <c r="O130" s="145"/>
    </row>
    <row r="131" spans="1:15">
      <c r="A131" s="90"/>
      <c r="B131" s="882"/>
      <c r="C131" s="882"/>
      <c r="D131" s="882"/>
      <c r="E131" s="882"/>
      <c r="F131" s="882"/>
      <c r="G131" s="882"/>
      <c r="H131" s="882"/>
      <c r="I131" s="882"/>
      <c r="J131" s="882"/>
      <c r="K131" s="882"/>
      <c r="L131" s="882"/>
      <c r="M131" s="882"/>
      <c r="N131" s="882"/>
      <c r="O131" s="145"/>
    </row>
    <row r="132" spans="1:15">
      <c r="A132" s="90"/>
      <c r="B132" s="882"/>
      <c r="C132" s="882"/>
      <c r="D132" s="882"/>
      <c r="E132" s="882"/>
      <c r="F132" s="882"/>
      <c r="G132" s="882"/>
      <c r="H132" s="882"/>
      <c r="I132" s="882"/>
      <c r="J132" s="882"/>
      <c r="K132" s="882"/>
      <c r="L132" s="882"/>
      <c r="M132" s="882"/>
      <c r="N132" s="882"/>
      <c r="O132" s="145"/>
    </row>
    <row r="133" spans="1:15">
      <c r="A133" s="90"/>
      <c r="B133" s="882"/>
      <c r="C133" s="882"/>
      <c r="D133" s="882"/>
      <c r="E133" s="882"/>
      <c r="F133" s="882"/>
      <c r="G133" s="882"/>
      <c r="H133" s="882"/>
      <c r="I133" s="882"/>
      <c r="J133" s="882"/>
      <c r="K133" s="882"/>
      <c r="L133" s="882"/>
      <c r="M133" s="882"/>
      <c r="N133" s="882"/>
      <c r="O133" s="145"/>
    </row>
    <row r="134" spans="1:15">
      <c r="A134" s="90"/>
      <c r="B134" s="882"/>
      <c r="C134" s="882"/>
      <c r="D134" s="882"/>
      <c r="E134" s="882"/>
      <c r="F134" s="882"/>
      <c r="G134" s="882"/>
      <c r="H134" s="882"/>
      <c r="I134" s="882"/>
      <c r="J134" s="882"/>
      <c r="K134" s="882"/>
      <c r="L134" s="882"/>
      <c r="M134" s="882"/>
      <c r="N134" s="882"/>
      <c r="O134" s="145"/>
    </row>
    <row r="135" spans="1:15">
      <c r="A135" s="90"/>
      <c r="B135" s="882"/>
      <c r="C135" s="882"/>
      <c r="D135" s="882"/>
      <c r="E135" s="882"/>
      <c r="F135" s="882"/>
      <c r="G135" s="882"/>
      <c r="H135" s="882"/>
      <c r="I135" s="882"/>
      <c r="J135" s="882"/>
      <c r="K135" s="882"/>
      <c r="L135" s="882"/>
      <c r="M135" s="882"/>
      <c r="N135" s="882"/>
      <c r="O135" s="145"/>
    </row>
    <row r="136" spans="1:15">
      <c r="A136" s="90"/>
      <c r="B136" s="882"/>
      <c r="C136" s="882"/>
      <c r="D136" s="882"/>
      <c r="E136" s="882"/>
      <c r="F136" s="882"/>
      <c r="G136" s="882"/>
      <c r="H136" s="882"/>
      <c r="I136" s="882"/>
      <c r="J136" s="882"/>
      <c r="K136" s="882"/>
      <c r="L136" s="882"/>
      <c r="M136" s="882"/>
      <c r="N136" s="882"/>
      <c r="O136" s="145"/>
    </row>
    <row r="137" spans="1:15">
      <c r="A137" s="90"/>
      <c r="B137" s="882"/>
      <c r="C137" s="882"/>
      <c r="D137" s="882"/>
      <c r="E137" s="882"/>
      <c r="F137" s="882"/>
      <c r="G137" s="882"/>
      <c r="H137" s="882"/>
      <c r="I137" s="882"/>
      <c r="J137" s="882"/>
      <c r="K137" s="882"/>
      <c r="L137" s="882"/>
      <c r="M137" s="882"/>
      <c r="N137" s="882"/>
      <c r="O137" s="145"/>
    </row>
    <row r="138" spans="1:15">
      <c r="A138" s="90"/>
      <c r="B138" s="882"/>
      <c r="C138" s="882"/>
      <c r="D138" s="882"/>
      <c r="E138" s="882"/>
      <c r="F138" s="882"/>
      <c r="G138" s="882"/>
      <c r="H138" s="882"/>
      <c r="I138" s="882"/>
      <c r="J138" s="882"/>
      <c r="K138" s="882"/>
      <c r="L138" s="882"/>
      <c r="M138" s="882"/>
      <c r="N138" s="882"/>
      <c r="O138" s="145"/>
    </row>
    <row r="139" spans="1:15">
      <c r="A139" s="90"/>
      <c r="B139" s="882"/>
      <c r="C139" s="882"/>
      <c r="D139" s="882"/>
      <c r="E139" s="882"/>
      <c r="F139" s="882"/>
      <c r="G139" s="882"/>
      <c r="H139" s="882"/>
      <c r="I139" s="882"/>
      <c r="J139" s="882"/>
      <c r="K139" s="882"/>
      <c r="L139" s="882"/>
      <c r="M139" s="882"/>
      <c r="N139" s="882"/>
      <c r="O139" s="145"/>
    </row>
    <row r="140" spans="1:15">
      <c r="A140" s="90"/>
      <c r="B140" s="882"/>
      <c r="C140" s="882"/>
      <c r="D140" s="882"/>
      <c r="E140" s="882"/>
      <c r="F140" s="882"/>
      <c r="G140" s="882"/>
      <c r="H140" s="882"/>
      <c r="I140" s="882"/>
      <c r="J140" s="882"/>
      <c r="K140" s="882"/>
      <c r="L140" s="882"/>
      <c r="M140" s="882"/>
      <c r="N140" s="882"/>
      <c r="O140" s="145"/>
    </row>
    <row r="141" spans="1:15">
      <c r="A141" s="90"/>
      <c r="B141" s="882"/>
      <c r="C141" s="882"/>
      <c r="D141" s="882"/>
      <c r="E141" s="882"/>
      <c r="F141" s="882"/>
      <c r="G141" s="882"/>
      <c r="H141" s="882"/>
      <c r="I141" s="882"/>
      <c r="J141" s="882"/>
      <c r="K141" s="882"/>
      <c r="L141" s="882"/>
      <c r="M141" s="882"/>
      <c r="N141" s="882"/>
      <c r="O141" s="145"/>
    </row>
    <row r="142" spans="1:15">
      <c r="A142" s="90"/>
      <c r="B142" s="882"/>
      <c r="C142" s="882"/>
      <c r="D142" s="882"/>
      <c r="E142" s="882"/>
      <c r="F142" s="882"/>
      <c r="G142" s="882"/>
      <c r="H142" s="882"/>
      <c r="I142" s="882"/>
      <c r="J142" s="882"/>
      <c r="K142" s="882"/>
      <c r="L142" s="882"/>
      <c r="M142" s="882"/>
      <c r="N142" s="882"/>
      <c r="O142" s="145"/>
    </row>
    <row r="143" spans="1:15">
      <c r="A143" s="90"/>
      <c r="B143" s="882"/>
      <c r="C143" s="882"/>
      <c r="D143" s="882"/>
      <c r="E143" s="882"/>
      <c r="F143" s="882"/>
      <c r="G143" s="882"/>
      <c r="H143" s="882"/>
      <c r="I143" s="882"/>
      <c r="J143" s="882"/>
      <c r="K143" s="882"/>
      <c r="L143" s="882"/>
      <c r="M143" s="882"/>
      <c r="N143" s="882"/>
      <c r="O143" s="145"/>
    </row>
    <row r="144" spans="1:15">
      <c r="A144" s="90"/>
      <c r="B144" s="882"/>
      <c r="C144" s="882"/>
      <c r="D144" s="882"/>
      <c r="E144" s="882"/>
      <c r="F144" s="882"/>
      <c r="G144" s="882"/>
      <c r="H144" s="882"/>
      <c r="I144" s="882"/>
      <c r="J144" s="882"/>
      <c r="K144" s="882"/>
      <c r="L144" s="882"/>
      <c r="M144" s="882"/>
      <c r="N144" s="882"/>
      <c r="O144" s="145"/>
    </row>
    <row r="145" spans="1:15">
      <c r="A145" s="90"/>
      <c r="B145" s="882"/>
      <c r="C145" s="882"/>
      <c r="D145" s="882"/>
      <c r="E145" s="882"/>
      <c r="F145" s="882"/>
      <c r="G145" s="882"/>
      <c r="H145" s="882"/>
      <c r="I145" s="882"/>
      <c r="J145" s="882"/>
      <c r="K145" s="882"/>
      <c r="L145" s="882"/>
      <c r="M145" s="882"/>
      <c r="N145" s="882"/>
      <c r="O145" s="145"/>
    </row>
    <row r="146" spans="1:15">
      <c r="A146" s="90"/>
      <c r="B146" s="882"/>
      <c r="C146" s="882"/>
      <c r="D146" s="882"/>
      <c r="E146" s="882"/>
      <c r="F146" s="882"/>
      <c r="G146" s="882"/>
      <c r="H146" s="882"/>
      <c r="I146" s="882"/>
      <c r="J146" s="882"/>
      <c r="K146" s="882"/>
      <c r="L146" s="882"/>
      <c r="M146" s="882"/>
      <c r="N146" s="882"/>
      <c r="O146" s="145"/>
    </row>
    <row r="147" spans="1:15">
      <c r="A147" s="90"/>
      <c r="B147" s="882"/>
      <c r="C147" s="882"/>
      <c r="D147" s="882"/>
      <c r="E147" s="882"/>
      <c r="F147" s="882"/>
      <c r="G147" s="882"/>
      <c r="H147" s="882"/>
      <c r="I147" s="882"/>
      <c r="J147" s="882"/>
      <c r="K147" s="882"/>
      <c r="L147" s="882"/>
      <c r="M147" s="882"/>
      <c r="N147" s="882"/>
      <c r="O147" s="145"/>
    </row>
    <row r="148" spans="1:15">
      <c r="A148" s="90"/>
      <c r="B148" s="882"/>
      <c r="C148" s="882"/>
      <c r="D148" s="882"/>
      <c r="E148" s="882"/>
      <c r="F148" s="882"/>
      <c r="G148" s="882"/>
      <c r="H148" s="882"/>
      <c r="I148" s="882"/>
      <c r="J148" s="882"/>
      <c r="K148" s="882"/>
      <c r="L148" s="882"/>
      <c r="M148" s="882"/>
      <c r="N148" s="882"/>
      <c r="O148" s="145"/>
    </row>
    <row r="149" spans="1:15">
      <c r="A149" s="90"/>
      <c r="B149" s="882"/>
      <c r="C149" s="882"/>
      <c r="D149" s="882"/>
      <c r="E149" s="882"/>
      <c r="F149" s="882"/>
      <c r="G149" s="882"/>
      <c r="H149" s="882"/>
      <c r="I149" s="882"/>
      <c r="J149" s="882"/>
      <c r="K149" s="882"/>
      <c r="L149" s="882"/>
      <c r="M149" s="882"/>
      <c r="N149" s="882"/>
      <c r="O149" s="145"/>
    </row>
    <row r="150" spans="1:15">
      <c r="A150" s="90"/>
      <c r="B150" s="882"/>
      <c r="C150" s="882"/>
      <c r="D150" s="882"/>
      <c r="E150" s="882"/>
      <c r="F150" s="882"/>
      <c r="G150" s="882"/>
      <c r="H150" s="882"/>
      <c r="I150" s="882"/>
      <c r="J150" s="882"/>
      <c r="K150" s="882"/>
      <c r="L150" s="882"/>
      <c r="M150" s="882"/>
      <c r="N150" s="882"/>
      <c r="O150" s="145"/>
    </row>
    <row r="151" spans="1:15">
      <c r="A151" s="90"/>
      <c r="B151" s="882"/>
      <c r="C151" s="882"/>
      <c r="D151" s="882"/>
      <c r="E151" s="882"/>
      <c r="F151" s="882"/>
      <c r="G151" s="882"/>
      <c r="H151" s="882"/>
      <c r="I151" s="882"/>
      <c r="J151" s="882"/>
      <c r="K151" s="882"/>
      <c r="L151" s="882"/>
      <c r="M151" s="882"/>
      <c r="N151" s="882"/>
      <c r="O151" s="145"/>
    </row>
    <row r="152" spans="1:15">
      <c r="A152" s="90"/>
      <c r="B152" s="882"/>
      <c r="C152" s="882"/>
      <c r="D152" s="882"/>
      <c r="E152" s="882"/>
      <c r="F152" s="882"/>
      <c r="G152" s="882"/>
      <c r="H152" s="882"/>
      <c r="I152" s="882"/>
      <c r="J152" s="882"/>
      <c r="K152" s="882"/>
      <c r="L152" s="882"/>
      <c r="M152" s="882"/>
      <c r="N152" s="882"/>
      <c r="O152" s="145"/>
    </row>
    <row r="153" spans="1:15">
      <c r="A153" s="90"/>
      <c r="B153" s="882"/>
      <c r="C153" s="882"/>
      <c r="D153" s="882"/>
      <c r="E153" s="882"/>
      <c r="F153" s="882"/>
      <c r="G153" s="882"/>
      <c r="H153" s="882"/>
      <c r="I153" s="882"/>
      <c r="J153" s="882"/>
      <c r="K153" s="882"/>
      <c r="L153" s="882"/>
      <c r="M153" s="882"/>
      <c r="N153" s="882"/>
      <c r="O153" s="145"/>
    </row>
    <row r="154" spans="1:15">
      <c r="A154" s="90"/>
      <c r="B154" s="882"/>
      <c r="C154" s="882"/>
      <c r="D154" s="882"/>
      <c r="E154" s="882"/>
      <c r="F154" s="882"/>
      <c r="G154" s="882"/>
      <c r="H154" s="882"/>
      <c r="I154" s="882"/>
      <c r="J154" s="882"/>
      <c r="K154" s="882"/>
      <c r="L154" s="882"/>
      <c r="M154" s="882"/>
      <c r="N154" s="882"/>
      <c r="O154" s="145"/>
    </row>
    <row r="155" spans="1:15">
      <c r="A155" s="90"/>
      <c r="B155" s="882"/>
      <c r="C155" s="882"/>
      <c r="D155" s="882"/>
      <c r="E155" s="882"/>
      <c r="F155" s="882"/>
      <c r="G155" s="882"/>
      <c r="H155" s="882"/>
      <c r="I155" s="882"/>
      <c r="J155" s="882"/>
      <c r="K155" s="882"/>
      <c r="L155" s="882"/>
      <c r="M155" s="882"/>
      <c r="N155" s="882"/>
      <c r="O155" s="145"/>
    </row>
    <row r="156" spans="1:15">
      <c r="A156" s="90"/>
      <c r="B156" s="882"/>
      <c r="C156" s="882"/>
      <c r="D156" s="882"/>
      <c r="E156" s="882"/>
      <c r="F156" s="882"/>
      <c r="G156" s="882"/>
      <c r="H156" s="882"/>
      <c r="I156" s="882"/>
      <c r="J156" s="882"/>
      <c r="K156" s="882"/>
      <c r="L156" s="882"/>
      <c r="M156" s="882"/>
      <c r="N156" s="882"/>
      <c r="O156" s="145"/>
    </row>
    <row r="157" spans="1:15">
      <c r="A157" s="90"/>
      <c r="B157" s="882"/>
      <c r="C157" s="882"/>
      <c r="D157" s="882"/>
      <c r="E157" s="882"/>
      <c r="F157" s="882"/>
      <c r="G157" s="882"/>
      <c r="H157" s="882"/>
      <c r="I157" s="882"/>
      <c r="J157" s="882"/>
      <c r="K157" s="882"/>
      <c r="L157" s="882"/>
      <c r="M157" s="882"/>
      <c r="N157" s="882"/>
      <c r="O157" s="145"/>
    </row>
    <row r="158" spans="1:15">
      <c r="A158" s="90"/>
      <c r="B158" s="882"/>
      <c r="C158" s="882"/>
      <c r="D158" s="882"/>
      <c r="E158" s="882"/>
      <c r="F158" s="882"/>
      <c r="G158" s="882"/>
      <c r="H158" s="882"/>
      <c r="I158" s="882"/>
      <c r="J158" s="882"/>
      <c r="K158" s="882"/>
      <c r="L158" s="882"/>
      <c r="M158" s="882"/>
      <c r="N158" s="882"/>
      <c r="O158" s="145"/>
    </row>
    <row r="159" spans="1:15">
      <c r="A159" s="90"/>
      <c r="B159" s="882"/>
      <c r="C159" s="882"/>
      <c r="D159" s="882"/>
      <c r="E159" s="882"/>
      <c r="F159" s="882"/>
      <c r="G159" s="882"/>
      <c r="H159" s="882"/>
      <c r="I159" s="882"/>
      <c r="J159" s="882"/>
      <c r="K159" s="882"/>
      <c r="L159" s="882"/>
      <c r="M159" s="882"/>
      <c r="N159" s="882"/>
      <c r="O159" s="145"/>
    </row>
    <row r="160" spans="1:15">
      <c r="A160" s="90"/>
      <c r="B160" s="882"/>
      <c r="C160" s="882"/>
      <c r="D160" s="882"/>
      <c r="E160" s="882"/>
      <c r="F160" s="882"/>
      <c r="G160" s="882"/>
      <c r="H160" s="882"/>
      <c r="I160" s="882"/>
      <c r="J160" s="882"/>
      <c r="K160" s="882"/>
      <c r="L160" s="882"/>
      <c r="M160" s="882"/>
      <c r="N160" s="882"/>
      <c r="O160" s="145"/>
    </row>
    <row r="161" spans="1:15">
      <c r="A161" s="90"/>
      <c r="B161" s="882"/>
      <c r="C161" s="882"/>
      <c r="D161" s="882"/>
      <c r="E161" s="882"/>
      <c r="F161" s="882"/>
      <c r="G161" s="882"/>
      <c r="H161" s="882"/>
      <c r="I161" s="882"/>
      <c r="J161" s="882"/>
      <c r="K161" s="882"/>
      <c r="L161" s="882"/>
      <c r="M161" s="882"/>
      <c r="N161" s="882"/>
      <c r="O161" s="145"/>
    </row>
    <row r="162" spans="1:15">
      <c r="A162" s="90"/>
      <c r="B162" s="882"/>
      <c r="C162" s="882"/>
      <c r="D162" s="882"/>
      <c r="E162" s="882"/>
      <c r="F162" s="882"/>
      <c r="G162" s="882"/>
      <c r="H162" s="882"/>
      <c r="I162" s="882"/>
      <c r="J162" s="882"/>
      <c r="K162" s="882"/>
      <c r="L162" s="882"/>
      <c r="M162" s="882"/>
      <c r="N162" s="882"/>
      <c r="O162" s="145"/>
    </row>
    <row r="163" spans="1:15">
      <c r="A163" s="90"/>
      <c r="B163" s="882"/>
      <c r="C163" s="882"/>
      <c r="D163" s="882"/>
      <c r="E163" s="882"/>
      <c r="F163" s="882"/>
      <c r="G163" s="882"/>
      <c r="H163" s="882"/>
      <c r="I163" s="882"/>
      <c r="J163" s="882"/>
      <c r="K163" s="882"/>
      <c r="L163" s="882"/>
      <c r="M163" s="882"/>
      <c r="N163" s="882"/>
      <c r="O163" s="145"/>
    </row>
    <row r="164" spans="1:15">
      <c r="A164" s="90"/>
      <c r="B164" s="882"/>
      <c r="C164" s="882"/>
      <c r="D164" s="882"/>
      <c r="E164" s="882"/>
      <c r="F164" s="882"/>
      <c r="G164" s="882"/>
      <c r="H164" s="882"/>
      <c r="I164" s="882"/>
      <c r="J164" s="882"/>
      <c r="K164" s="882"/>
      <c r="L164" s="882"/>
      <c r="M164" s="882"/>
      <c r="N164" s="882"/>
      <c r="O164" s="145"/>
    </row>
    <row r="165" spans="1:15">
      <c r="A165" s="90"/>
      <c r="B165" s="882"/>
      <c r="C165" s="882"/>
      <c r="D165" s="882"/>
      <c r="E165" s="882"/>
      <c r="F165" s="882"/>
      <c r="G165" s="882"/>
      <c r="H165" s="882"/>
      <c r="I165" s="882"/>
      <c r="J165" s="882"/>
      <c r="K165" s="882"/>
      <c r="L165" s="882"/>
      <c r="M165" s="882"/>
      <c r="N165" s="882"/>
      <c r="O165" s="145"/>
    </row>
    <row r="166" spans="1:15">
      <c r="A166" s="90"/>
      <c r="B166" s="882"/>
      <c r="C166" s="882"/>
      <c r="D166" s="882"/>
      <c r="E166" s="882"/>
      <c r="F166" s="882"/>
      <c r="G166" s="882"/>
      <c r="H166" s="882"/>
      <c r="I166" s="882"/>
      <c r="J166" s="882"/>
      <c r="K166" s="882"/>
      <c r="L166" s="882"/>
      <c r="M166" s="882"/>
      <c r="N166" s="882"/>
      <c r="O166" s="145"/>
    </row>
    <row r="167" spans="1:15">
      <c r="A167" s="90"/>
      <c r="B167" s="882"/>
      <c r="C167" s="882"/>
      <c r="D167" s="882"/>
      <c r="E167" s="882"/>
      <c r="F167" s="882"/>
      <c r="G167" s="882"/>
      <c r="H167" s="882"/>
      <c r="I167" s="882"/>
      <c r="J167" s="882"/>
      <c r="K167" s="882"/>
      <c r="L167" s="882"/>
      <c r="M167" s="882"/>
      <c r="N167" s="882"/>
      <c r="O167" s="145"/>
    </row>
    <row r="168" spans="1:15">
      <c r="A168" s="90"/>
      <c r="B168" s="882"/>
      <c r="C168" s="882"/>
      <c r="D168" s="882"/>
      <c r="E168" s="882"/>
      <c r="F168" s="882"/>
      <c r="G168" s="882"/>
      <c r="H168" s="882"/>
      <c r="I168" s="882"/>
      <c r="J168" s="882"/>
      <c r="K168" s="882"/>
      <c r="L168" s="882"/>
      <c r="M168" s="882"/>
      <c r="N168" s="882"/>
      <c r="O168" s="145"/>
    </row>
    <row r="169" spans="1:15">
      <c r="A169" s="90"/>
      <c r="B169" s="882"/>
      <c r="C169" s="882"/>
      <c r="D169" s="882"/>
      <c r="E169" s="882"/>
      <c r="F169" s="882"/>
      <c r="G169" s="882"/>
      <c r="H169" s="882"/>
      <c r="I169" s="882"/>
      <c r="J169" s="882"/>
      <c r="K169" s="882"/>
      <c r="L169" s="882"/>
      <c r="M169" s="882"/>
      <c r="N169" s="882"/>
      <c r="O169" s="145"/>
    </row>
    <row r="170" spans="1:15">
      <c r="A170" s="90"/>
      <c r="B170" s="882"/>
      <c r="C170" s="882"/>
      <c r="D170" s="882"/>
      <c r="E170" s="882"/>
      <c r="F170" s="882"/>
      <c r="G170" s="882"/>
      <c r="H170" s="882"/>
      <c r="I170" s="882"/>
      <c r="J170" s="882"/>
      <c r="K170" s="882"/>
      <c r="L170" s="882"/>
      <c r="M170" s="882"/>
      <c r="N170" s="882"/>
      <c r="O170" s="145"/>
    </row>
    <row r="171" spans="1:15">
      <c r="A171" s="90"/>
      <c r="B171" s="882"/>
      <c r="C171" s="882"/>
      <c r="D171" s="882"/>
      <c r="E171" s="882"/>
      <c r="F171" s="882"/>
      <c r="G171" s="882"/>
      <c r="H171" s="882"/>
      <c r="I171" s="882"/>
      <c r="J171" s="882"/>
      <c r="K171" s="882"/>
      <c r="L171" s="882"/>
      <c r="M171" s="882"/>
      <c r="N171" s="882"/>
      <c r="O171" s="145"/>
    </row>
    <row r="172" spans="1:15">
      <c r="A172" s="90"/>
      <c r="B172" s="882"/>
      <c r="C172" s="882"/>
      <c r="D172" s="882"/>
      <c r="E172" s="882"/>
      <c r="F172" s="882"/>
      <c r="G172" s="882"/>
      <c r="H172" s="882"/>
      <c r="I172" s="882"/>
      <c r="J172" s="882"/>
      <c r="K172" s="882"/>
      <c r="L172" s="882"/>
      <c r="M172" s="882"/>
      <c r="N172" s="882"/>
      <c r="O172" s="145"/>
    </row>
    <row r="173" spans="1:15">
      <c r="A173" s="90"/>
      <c r="B173" s="882"/>
      <c r="C173" s="882"/>
      <c r="D173" s="882"/>
      <c r="E173" s="882"/>
      <c r="F173" s="882"/>
      <c r="G173" s="882"/>
      <c r="H173" s="882"/>
      <c r="I173" s="882"/>
      <c r="J173" s="882"/>
      <c r="K173" s="882"/>
      <c r="L173" s="882"/>
      <c r="M173" s="882"/>
      <c r="N173" s="882"/>
      <c r="O173" s="145"/>
    </row>
    <row r="174" spans="1:15">
      <c r="A174" s="90"/>
      <c r="B174" s="882"/>
      <c r="C174" s="882"/>
      <c r="D174" s="882"/>
      <c r="E174" s="882"/>
      <c r="F174" s="882"/>
      <c r="G174" s="882"/>
      <c r="H174" s="882"/>
      <c r="I174" s="882"/>
      <c r="J174" s="882"/>
      <c r="K174" s="882"/>
      <c r="L174" s="882"/>
      <c r="M174" s="882"/>
      <c r="N174" s="882"/>
      <c r="O174" s="145"/>
    </row>
    <row r="175" spans="1:15">
      <c r="A175" s="90"/>
      <c r="B175" s="882"/>
      <c r="C175" s="882"/>
      <c r="D175" s="882"/>
      <c r="E175" s="882"/>
      <c r="F175" s="882"/>
      <c r="G175" s="882"/>
      <c r="H175" s="882"/>
      <c r="I175" s="882"/>
      <c r="J175" s="882"/>
      <c r="K175" s="882"/>
      <c r="L175" s="882"/>
      <c r="M175" s="882"/>
      <c r="N175" s="882"/>
      <c r="O175" s="145"/>
    </row>
    <row r="176" spans="1:15">
      <c r="A176" s="90"/>
      <c r="B176" s="882"/>
      <c r="C176" s="882"/>
      <c r="D176" s="882"/>
      <c r="E176" s="882"/>
      <c r="F176" s="882"/>
      <c r="G176" s="882"/>
      <c r="H176" s="882"/>
      <c r="I176" s="882"/>
      <c r="J176" s="882"/>
      <c r="K176" s="882"/>
      <c r="L176" s="882"/>
      <c r="M176" s="882"/>
      <c r="N176" s="882"/>
      <c r="O176" s="145"/>
    </row>
    <row r="177" spans="1:15">
      <c r="A177" s="891"/>
      <c r="B177" s="152"/>
      <c r="C177" s="152"/>
      <c r="D177" s="152"/>
      <c r="E177" s="152"/>
      <c r="F177" s="152"/>
      <c r="G177" s="152"/>
      <c r="H177" s="152"/>
      <c r="I177" s="152"/>
      <c r="J177" s="152"/>
      <c r="K177" s="152"/>
      <c r="L177" s="152"/>
      <c r="M177" s="152"/>
      <c r="N177" s="152"/>
      <c r="O177" s="153"/>
    </row>
  </sheetData>
  <sheetProtection algorithmName="SHA-512" hashValue="vPfrD7wVEchuQ4NbVzmbGNIU/xYGgRK+oclxZyuJyosuf+soYaQ8r4sOOkcMWiA8aUCrkx14xqWF2XmgdF6Sng==" saltValue="pEWMlSobOGC1OH1XGcwhiA==" spinCount="100000" sheet="1" scenarios="1"/>
  <protectedRanges>
    <protectedRange sqref="A4:O177" name="Range1"/>
  </protectedRanges>
  <mergeCells count="2">
    <mergeCell ref="B3:O3"/>
    <mergeCell ref="A1:O2"/>
  </mergeCells>
  <phoneticPr fontId="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A1:W58"/>
  <sheetViews>
    <sheetView showGridLines="0" view="pageBreakPreview" zoomScaleNormal="100" zoomScaleSheetLayoutView="100" workbookViewId="0">
      <selection sqref="A1:S1"/>
    </sheetView>
  </sheetViews>
  <sheetFormatPr defaultColWidth="11.42578125" defaultRowHeight="12.75"/>
  <cols>
    <col min="1" max="4" width="5" style="201" customWidth="1"/>
    <col min="5" max="6" width="6.28515625" style="201" customWidth="1"/>
    <col min="7" max="22" width="5" style="201" customWidth="1"/>
    <col min="23" max="16384" width="11.42578125" style="201"/>
  </cols>
  <sheetData>
    <row r="1" spans="1:22">
      <c r="A1" s="458" t="str">
        <f>CONCATENATE(Read_Me!A1," FS ASES ",Read_Me!B1," - COVER SHEET")</f>
        <v>2026 FS ASES V1.0 - COVER SHEET</v>
      </c>
      <c r="B1" s="458"/>
      <c r="C1" s="458"/>
      <c r="D1" s="458"/>
      <c r="E1" s="458"/>
      <c r="F1" s="458"/>
      <c r="G1" s="458"/>
      <c r="H1" s="458"/>
      <c r="I1" s="458"/>
      <c r="J1" s="458"/>
      <c r="K1" s="458"/>
      <c r="L1" s="458"/>
      <c r="M1" s="458"/>
      <c r="N1" s="458"/>
      <c r="O1" s="458"/>
      <c r="P1" s="458"/>
      <c r="Q1" s="458"/>
      <c r="R1" s="458"/>
      <c r="S1" s="458"/>
      <c r="T1" s="55"/>
      <c r="U1" s="55"/>
      <c r="V1" s="55"/>
    </row>
    <row r="2" spans="1:22">
      <c r="A2" s="55"/>
      <c r="B2" s="55"/>
      <c r="C2" s="55"/>
      <c r="D2" s="55"/>
      <c r="E2" s="55"/>
      <c r="F2" s="55"/>
      <c r="G2" s="55"/>
      <c r="H2" s="55"/>
      <c r="I2" s="55"/>
      <c r="J2" s="55"/>
      <c r="K2" s="97"/>
      <c r="L2" s="97"/>
      <c r="M2" s="97"/>
      <c r="N2" s="97"/>
      <c r="O2" s="97"/>
      <c r="P2" s="97"/>
      <c r="Q2" s="97"/>
      <c r="R2" s="97"/>
      <c r="S2" s="97"/>
      <c r="T2" s="97"/>
      <c r="U2" s="97"/>
      <c r="V2" s="97"/>
    </row>
    <row r="3" spans="1:22" ht="12.75" customHeight="1">
      <c r="A3" s="497" t="s">
        <v>432</v>
      </c>
      <c r="B3" s="497"/>
      <c r="C3" s="497"/>
      <c r="D3" s="497"/>
      <c r="E3" s="497"/>
      <c r="F3" s="497"/>
      <c r="G3" s="497"/>
      <c r="H3" s="497"/>
      <c r="I3" s="497"/>
      <c r="J3" s="497"/>
      <c r="K3" s="497"/>
      <c r="L3" s="497"/>
      <c r="M3" s="497"/>
      <c r="N3" s="497"/>
      <c r="O3" s="497"/>
      <c r="P3" s="497"/>
      <c r="Q3" s="497"/>
      <c r="R3" s="497"/>
      <c r="S3" s="497"/>
      <c r="T3" s="497"/>
      <c r="U3" s="497"/>
      <c r="V3" s="497"/>
    </row>
    <row r="4" spans="1:22">
      <c r="A4" s="497"/>
      <c r="B4" s="497"/>
      <c r="C4" s="497"/>
      <c r="D4" s="497"/>
      <c r="E4" s="497"/>
      <c r="F4" s="497"/>
      <c r="G4" s="497"/>
      <c r="H4" s="497"/>
      <c r="I4" s="497"/>
      <c r="J4" s="497"/>
      <c r="K4" s="497"/>
      <c r="L4" s="497"/>
      <c r="M4" s="497"/>
      <c r="N4" s="497"/>
      <c r="O4" s="497"/>
      <c r="P4" s="497"/>
      <c r="Q4" s="497"/>
      <c r="R4" s="497"/>
      <c r="S4" s="497"/>
      <c r="T4" s="497"/>
      <c r="U4" s="497"/>
      <c r="V4" s="497"/>
    </row>
    <row r="5" spans="1:22">
      <c r="A5" s="497"/>
      <c r="B5" s="497"/>
      <c r="C5" s="497"/>
      <c r="D5" s="497"/>
      <c r="E5" s="497"/>
      <c r="F5" s="497"/>
      <c r="G5" s="497"/>
      <c r="H5" s="497"/>
      <c r="I5" s="497"/>
      <c r="J5" s="497"/>
      <c r="K5" s="497"/>
      <c r="L5" s="497"/>
      <c r="M5" s="497"/>
      <c r="N5" s="497"/>
      <c r="O5" s="497"/>
      <c r="P5" s="497"/>
      <c r="Q5" s="497"/>
      <c r="R5" s="497"/>
      <c r="S5" s="497"/>
      <c r="T5" s="497"/>
      <c r="U5" s="497"/>
      <c r="V5" s="497"/>
    </row>
    <row r="6" spans="1:22">
      <c r="A6" s="497"/>
      <c r="B6" s="497"/>
      <c r="C6" s="497"/>
      <c r="D6" s="497"/>
      <c r="E6" s="497"/>
      <c r="F6" s="497"/>
      <c r="G6" s="497"/>
      <c r="H6" s="497"/>
      <c r="I6" s="497"/>
      <c r="J6" s="497"/>
      <c r="K6" s="497"/>
      <c r="L6" s="497"/>
      <c r="M6" s="497"/>
      <c r="N6" s="497"/>
      <c r="O6" s="497"/>
      <c r="P6" s="497"/>
      <c r="Q6" s="497"/>
      <c r="R6" s="497"/>
      <c r="S6" s="497"/>
      <c r="T6" s="497"/>
      <c r="U6" s="497"/>
      <c r="V6" s="497"/>
    </row>
    <row r="7" spans="1:22">
      <c r="A7" s="202"/>
      <c r="B7" s="202"/>
      <c r="C7" s="202"/>
      <c r="D7" s="202"/>
      <c r="E7" s="202"/>
      <c r="F7" s="202"/>
      <c r="G7" s="202"/>
      <c r="H7" s="202"/>
      <c r="I7" s="202"/>
      <c r="J7" s="202"/>
      <c r="K7" s="202"/>
      <c r="L7" s="202"/>
      <c r="M7" s="202"/>
      <c r="N7" s="202"/>
      <c r="O7" s="202"/>
      <c r="P7" s="202"/>
      <c r="Q7" s="202"/>
      <c r="R7" s="202"/>
      <c r="S7" s="202"/>
      <c r="T7" s="203"/>
      <c r="U7" s="203"/>
      <c r="V7" s="203"/>
    </row>
    <row r="8" spans="1:22">
      <c r="A8" s="204" t="s">
        <v>13</v>
      </c>
      <c r="B8" s="97"/>
      <c r="C8" s="97"/>
      <c r="D8" s="202"/>
      <c r="E8" s="202"/>
      <c r="F8" s="202"/>
      <c r="G8" s="202"/>
      <c r="H8" s="202"/>
      <c r="I8" s="202"/>
      <c r="J8" s="202"/>
      <c r="K8" s="202"/>
      <c r="L8" s="202"/>
      <c r="M8" s="202"/>
      <c r="N8" s="202"/>
      <c r="O8" s="202"/>
      <c r="P8" s="202"/>
      <c r="Q8" s="202"/>
      <c r="R8" s="202"/>
      <c r="S8" s="202"/>
      <c r="T8" s="203"/>
      <c r="U8" s="203"/>
      <c r="V8" s="203"/>
    </row>
    <row r="9" spans="1:22">
      <c r="A9" s="469" t="s">
        <v>14</v>
      </c>
      <c r="B9" s="470"/>
      <c r="C9" s="97" t="s">
        <v>15</v>
      </c>
      <c r="D9" s="202"/>
      <c r="E9" s="202"/>
      <c r="F9" s="202"/>
      <c r="G9" s="202"/>
      <c r="H9" s="202"/>
      <c r="I9" s="202"/>
      <c r="J9" s="202"/>
      <c r="K9" s="202"/>
      <c r="L9" s="202"/>
      <c r="M9" s="202"/>
      <c r="N9" s="202"/>
      <c r="O9" s="202"/>
      <c r="P9" s="202"/>
      <c r="Q9" s="202"/>
      <c r="R9" s="202"/>
      <c r="S9" s="202"/>
      <c r="T9" s="203"/>
      <c r="U9" s="203"/>
      <c r="V9" s="203"/>
    </row>
    <row r="10" spans="1:22">
      <c r="A10" s="468" t="s">
        <v>16</v>
      </c>
      <c r="B10" s="468"/>
      <c r="C10" s="97" t="s">
        <v>359</v>
      </c>
      <c r="D10" s="205"/>
      <c r="E10" s="205"/>
      <c r="F10" s="205"/>
      <c r="G10" s="205"/>
      <c r="H10" s="205"/>
      <c r="I10" s="205"/>
      <c r="J10" s="205"/>
      <c r="K10" s="205"/>
      <c r="L10" s="205"/>
      <c r="M10" s="205"/>
      <c r="N10" s="205"/>
      <c r="O10" s="205"/>
      <c r="P10" s="205"/>
      <c r="Q10" s="205"/>
      <c r="R10" s="205"/>
      <c r="S10" s="205"/>
      <c r="T10" s="203"/>
      <c r="U10" s="203"/>
      <c r="V10" s="203"/>
    </row>
    <row r="11" spans="1:22">
      <c r="A11" s="206"/>
      <c r="B11" s="206"/>
      <c r="C11" s="97"/>
      <c r="D11" s="205"/>
      <c r="E11" s="205"/>
      <c r="F11" s="205"/>
      <c r="G11" s="205"/>
      <c r="H11" s="205"/>
      <c r="I11" s="205"/>
      <c r="J11" s="205"/>
      <c r="K11" s="205"/>
      <c r="L11" s="205"/>
      <c r="M11" s="205"/>
      <c r="N11" s="205"/>
      <c r="O11" s="205"/>
      <c r="P11" s="205"/>
      <c r="Q11" s="205"/>
      <c r="R11" s="205"/>
      <c r="S11" s="205"/>
      <c r="T11" s="203"/>
      <c r="U11" s="203"/>
      <c r="V11" s="203"/>
    </row>
    <row r="12" spans="1:22">
      <c r="A12" s="489" t="s">
        <v>433</v>
      </c>
      <c r="B12" s="489"/>
      <c r="C12" s="489"/>
      <c r="D12" s="489"/>
      <c r="E12" s="489"/>
      <c r="F12" s="489"/>
      <c r="G12" s="489"/>
      <c r="H12" s="489"/>
      <c r="I12" s="489"/>
      <c r="J12" s="489"/>
      <c r="K12" s="489"/>
      <c r="L12" s="489"/>
      <c r="M12" s="489"/>
      <c r="N12" s="489"/>
      <c r="O12" s="489"/>
      <c r="P12" s="489"/>
      <c r="Q12" s="489"/>
      <c r="R12" s="489"/>
      <c r="S12" s="489"/>
      <c r="T12" s="207"/>
      <c r="U12" s="207"/>
      <c r="V12" s="207"/>
    </row>
    <row r="13" spans="1:22" ht="12.75" customHeight="1">
      <c r="A13" s="489"/>
      <c r="B13" s="489"/>
      <c r="C13" s="489"/>
      <c r="D13" s="489"/>
      <c r="E13" s="489"/>
      <c r="F13" s="489"/>
      <c r="G13" s="489"/>
      <c r="H13" s="489"/>
      <c r="I13" s="489"/>
      <c r="J13" s="489"/>
      <c r="K13" s="489"/>
      <c r="L13" s="489"/>
      <c r="M13" s="489"/>
      <c r="N13" s="489"/>
      <c r="O13" s="489"/>
      <c r="P13" s="489"/>
      <c r="Q13" s="489"/>
      <c r="R13" s="489"/>
      <c r="S13" s="489"/>
      <c r="T13" s="207"/>
      <c r="U13" s="207"/>
      <c r="V13" s="207"/>
    </row>
    <row r="14" spans="1:22" ht="12.75" customHeight="1">
      <c r="A14" s="208"/>
      <c r="B14" s="208"/>
      <c r="C14" s="208"/>
      <c r="D14" s="208"/>
      <c r="E14" s="208"/>
      <c r="F14" s="208"/>
      <c r="G14" s="208"/>
      <c r="H14" s="208"/>
      <c r="I14" s="208"/>
      <c r="J14" s="208"/>
      <c r="K14" s="208"/>
      <c r="L14" s="208"/>
      <c r="M14" s="208"/>
      <c r="N14" s="208"/>
      <c r="O14" s="208"/>
      <c r="P14" s="208"/>
      <c r="Q14" s="208"/>
      <c r="R14" s="208"/>
      <c r="S14" s="208"/>
      <c r="T14" s="208"/>
      <c r="U14" s="208"/>
      <c r="V14" s="208"/>
    </row>
    <row r="15" spans="1:22">
      <c r="A15" s="97" t="s">
        <v>17</v>
      </c>
      <c r="B15" s="97"/>
      <c r="C15" s="97"/>
      <c r="D15" s="486"/>
      <c r="E15" s="487"/>
      <c r="F15" s="487"/>
      <c r="G15" s="487"/>
      <c r="H15" s="487"/>
      <c r="I15" s="487"/>
      <c r="J15" s="488"/>
      <c r="K15" s="97" t="s">
        <v>18</v>
      </c>
      <c r="L15" s="97"/>
      <c r="M15" s="97"/>
      <c r="N15" s="97"/>
      <c r="O15" s="467"/>
      <c r="P15" s="467"/>
      <c r="Q15" s="467"/>
      <c r="R15" s="467"/>
      <c r="S15" s="467"/>
      <c r="T15" s="467"/>
      <c r="U15" s="467"/>
      <c r="V15" s="467"/>
    </row>
    <row r="16" spans="1:22">
      <c r="A16" s="97" t="s">
        <v>19</v>
      </c>
      <c r="B16" s="97"/>
      <c r="C16" s="97"/>
      <c r="D16" s="486"/>
      <c r="E16" s="487"/>
      <c r="F16" s="487"/>
      <c r="G16" s="487"/>
      <c r="H16" s="487"/>
      <c r="I16" s="487"/>
      <c r="J16" s="488"/>
      <c r="K16" s="97" t="s">
        <v>20</v>
      </c>
      <c r="L16" s="97"/>
      <c r="M16" s="97"/>
      <c r="N16" s="467"/>
      <c r="O16" s="467"/>
      <c r="P16" s="467"/>
      <c r="Q16" s="467"/>
      <c r="R16" s="467"/>
      <c r="S16" s="467"/>
      <c r="T16" s="467"/>
      <c r="U16" s="467"/>
      <c r="V16" s="467"/>
    </row>
    <row r="17" spans="1:23">
      <c r="A17" s="97" t="s">
        <v>21</v>
      </c>
      <c r="B17" s="97"/>
      <c r="C17" s="97"/>
      <c r="D17" s="467"/>
      <c r="E17" s="467"/>
      <c r="F17" s="467"/>
      <c r="G17" s="467"/>
      <c r="H17" s="467"/>
      <c r="I17" s="467"/>
      <c r="J17" s="467"/>
      <c r="K17" s="97" t="s">
        <v>20</v>
      </c>
      <c r="L17" s="97"/>
      <c r="M17" s="97"/>
      <c r="N17" s="467"/>
      <c r="O17" s="467"/>
      <c r="P17" s="467"/>
      <c r="Q17" s="467"/>
      <c r="R17" s="467"/>
      <c r="S17" s="467"/>
      <c r="T17" s="467"/>
      <c r="U17" s="467"/>
      <c r="V17" s="467"/>
    </row>
    <row r="18" spans="1:23" s="210" customFormat="1">
      <c r="A18" s="195"/>
      <c r="B18" s="195"/>
      <c r="C18" s="195"/>
      <c r="D18" s="209"/>
      <c r="E18" s="209"/>
      <c r="F18" s="209"/>
      <c r="G18" s="209"/>
      <c r="H18" s="209"/>
      <c r="I18" s="209"/>
      <c r="J18" s="209"/>
      <c r="K18" s="195"/>
      <c r="L18" s="195"/>
      <c r="M18" s="195"/>
      <c r="N18" s="209"/>
      <c r="O18" s="209"/>
      <c r="P18" s="209"/>
      <c r="Q18" s="209"/>
      <c r="R18" s="209"/>
      <c r="S18" s="209"/>
      <c r="T18" s="209"/>
      <c r="U18" s="209"/>
      <c r="V18" s="209"/>
      <c r="W18" s="201"/>
    </row>
    <row r="19" spans="1:23">
      <c r="A19" s="211"/>
      <c r="B19" s="508" t="s">
        <v>23</v>
      </c>
      <c r="C19" s="508"/>
      <c r="D19" s="508"/>
      <c r="E19" s="508"/>
      <c r="F19" s="508"/>
      <c r="G19" s="508"/>
      <c r="H19" s="508"/>
      <c r="I19" s="508"/>
      <c r="J19" s="508"/>
      <c r="K19" s="508"/>
      <c r="L19" s="508"/>
      <c r="M19" s="508"/>
      <c r="N19" s="508"/>
      <c r="O19" s="508"/>
      <c r="P19" s="508"/>
      <c r="Q19" s="508"/>
      <c r="R19" s="508"/>
      <c r="S19" s="508"/>
      <c r="T19" s="508"/>
      <c r="U19" s="508"/>
      <c r="V19" s="211"/>
    </row>
    <row r="20" spans="1:23">
      <c r="A20" s="173"/>
      <c r="B20" s="509" t="str">
        <f>IF(OR('Accumulator Pics'!E12="Other",'Accumulator Pics'!E36="Other",'Accumulator Pics'!E60="Other",'Accumulator Pics'!E84="Other"),"Yes, TSAC deviates from baseline requirements","No. TSAC does not deviate from baseline requirements")</f>
        <v>No. TSAC does not deviate from baseline requirements</v>
      </c>
      <c r="C20" s="509"/>
      <c r="D20" s="509"/>
      <c r="E20" s="509"/>
      <c r="F20" s="509"/>
      <c r="G20" s="509"/>
      <c r="H20" s="509"/>
      <c r="I20" s="509"/>
      <c r="J20" s="509"/>
      <c r="K20" s="509"/>
      <c r="L20" s="509"/>
      <c r="M20" s="509"/>
      <c r="N20" s="509"/>
      <c r="O20" s="509"/>
      <c r="P20" s="509"/>
      <c r="Q20" s="509"/>
      <c r="R20" s="509"/>
      <c r="S20" s="509"/>
      <c r="T20" s="509"/>
      <c r="U20" s="509"/>
      <c r="V20" s="173"/>
    </row>
    <row r="21" spans="1:23">
      <c r="A21" s="195"/>
      <c r="B21" s="97"/>
      <c r="C21" s="97"/>
      <c r="D21" s="97"/>
      <c r="E21" s="97"/>
      <c r="F21" s="97"/>
      <c r="G21" s="97"/>
      <c r="H21" s="97"/>
      <c r="I21" s="97"/>
      <c r="J21" s="97"/>
      <c r="K21" s="97"/>
      <c r="L21" s="97"/>
      <c r="M21" s="97"/>
      <c r="N21" s="97"/>
      <c r="O21" s="97"/>
      <c r="P21" s="97"/>
      <c r="Q21" s="97"/>
      <c r="R21" s="97"/>
      <c r="S21" s="97"/>
      <c r="T21" s="97"/>
      <c r="U21" s="97"/>
      <c r="V21" s="97"/>
    </row>
    <row r="22" spans="1:23" ht="12.75" customHeight="1">
      <c r="A22" s="212"/>
      <c r="B22" s="512" t="s">
        <v>316</v>
      </c>
      <c r="C22" s="512"/>
      <c r="D22" s="512"/>
      <c r="E22" s="512"/>
      <c r="F22" s="512"/>
      <c r="G22" s="512"/>
      <c r="H22" s="511" t="s">
        <v>27</v>
      </c>
      <c r="I22" s="511"/>
      <c r="J22" s="511"/>
      <c r="K22" s="511"/>
      <c r="L22" s="511"/>
      <c r="M22" s="490" t="s">
        <v>28</v>
      </c>
      <c r="N22" s="491"/>
      <c r="O22" s="492"/>
      <c r="P22" s="498" t="s">
        <v>29</v>
      </c>
      <c r="Q22" s="499"/>
      <c r="R22" s="504" t="s">
        <v>30</v>
      </c>
      <c r="S22" s="499"/>
      <c r="T22" s="498" t="s">
        <v>31</v>
      </c>
      <c r="U22" s="499"/>
      <c r="V22" s="97"/>
    </row>
    <row r="23" spans="1:23">
      <c r="A23" s="212"/>
      <c r="B23" s="512"/>
      <c r="C23" s="512"/>
      <c r="D23" s="512"/>
      <c r="E23" s="512"/>
      <c r="F23" s="512"/>
      <c r="G23" s="512"/>
      <c r="H23" s="511"/>
      <c r="I23" s="511"/>
      <c r="J23" s="511"/>
      <c r="K23" s="511"/>
      <c r="L23" s="511"/>
      <c r="M23" s="493"/>
      <c r="N23" s="494"/>
      <c r="O23" s="495"/>
      <c r="P23" s="500"/>
      <c r="Q23" s="501"/>
      <c r="R23" s="505"/>
      <c r="S23" s="501"/>
      <c r="T23" s="500"/>
      <c r="U23" s="501"/>
      <c r="V23" s="97"/>
    </row>
    <row r="24" spans="1:23">
      <c r="A24" s="212"/>
      <c r="B24" s="512"/>
      <c r="C24" s="512"/>
      <c r="D24" s="512"/>
      <c r="E24" s="512"/>
      <c r="F24" s="512"/>
      <c r="G24" s="512"/>
      <c r="H24" s="511"/>
      <c r="I24" s="511"/>
      <c r="J24" s="511"/>
      <c r="K24" s="511"/>
      <c r="L24" s="511"/>
      <c r="M24" s="213" t="s">
        <v>32</v>
      </c>
      <c r="N24" s="214" t="s">
        <v>33</v>
      </c>
      <c r="O24" s="215" t="s">
        <v>34</v>
      </c>
      <c r="P24" s="502"/>
      <c r="Q24" s="503"/>
      <c r="R24" s="506"/>
      <c r="S24" s="503"/>
      <c r="T24" s="502"/>
      <c r="U24" s="503"/>
      <c r="V24" s="97"/>
    </row>
    <row r="25" spans="1:23" ht="12.75" customHeight="1">
      <c r="A25" s="194"/>
      <c r="B25" s="510" t="s">
        <v>320</v>
      </c>
      <c r="C25" s="510"/>
      <c r="D25" s="510"/>
      <c r="E25" s="510"/>
      <c r="F25" s="510"/>
      <c r="G25" s="510"/>
      <c r="H25" s="496" t="s">
        <v>323</v>
      </c>
      <c r="I25" s="496"/>
      <c r="J25" s="496"/>
      <c r="K25" s="496"/>
      <c r="L25" s="496"/>
      <c r="M25" s="459" t="s">
        <v>37</v>
      </c>
      <c r="N25" s="460"/>
      <c r="O25" s="461"/>
      <c r="P25" s="469" t="s">
        <v>14</v>
      </c>
      <c r="Q25" s="470"/>
      <c r="R25" s="468" t="s">
        <v>16</v>
      </c>
      <c r="S25" s="468"/>
      <c r="T25" s="468" t="s">
        <v>16</v>
      </c>
      <c r="U25" s="468"/>
      <c r="V25" s="97"/>
    </row>
    <row r="26" spans="1:23" ht="12.75" customHeight="1">
      <c r="A26" s="194"/>
      <c r="B26" s="513" t="s">
        <v>317</v>
      </c>
      <c r="C26" s="513"/>
      <c r="D26" s="513"/>
      <c r="E26" s="513"/>
      <c r="F26" s="513"/>
      <c r="G26" s="513"/>
      <c r="H26" s="480" t="s">
        <v>447</v>
      </c>
      <c r="I26" s="481"/>
      <c r="J26" s="481"/>
      <c r="K26" s="481"/>
      <c r="L26" s="481"/>
      <c r="M26" s="474"/>
      <c r="N26" s="475"/>
      <c r="O26" s="476"/>
      <c r="P26" s="484"/>
      <c r="Q26" s="485"/>
      <c r="R26" s="484"/>
      <c r="S26" s="485"/>
      <c r="T26" s="484"/>
      <c r="U26" s="485"/>
      <c r="V26" s="97"/>
    </row>
    <row r="27" spans="1:23" ht="12.75" customHeight="1">
      <c r="A27" s="194"/>
      <c r="B27" s="513" t="s">
        <v>364</v>
      </c>
      <c r="C27" s="513"/>
      <c r="D27" s="513"/>
      <c r="E27" s="513"/>
      <c r="F27" s="513"/>
      <c r="G27" s="513"/>
      <c r="H27" s="480" t="s">
        <v>447</v>
      </c>
      <c r="I27" s="481"/>
      <c r="J27" s="481"/>
      <c r="K27" s="481"/>
      <c r="L27" s="481"/>
      <c r="M27" s="477" t="s">
        <v>37</v>
      </c>
      <c r="N27" s="478"/>
      <c r="O27" s="479"/>
      <c r="P27" s="482" t="s">
        <v>16</v>
      </c>
      <c r="Q27" s="483"/>
      <c r="R27" s="468" t="s">
        <v>16</v>
      </c>
      <c r="S27" s="468"/>
      <c r="T27" s="468" t="s">
        <v>16</v>
      </c>
      <c r="U27" s="468"/>
      <c r="V27" s="97"/>
    </row>
    <row r="28" spans="1:23" ht="12.75" customHeight="1">
      <c r="A28" s="194"/>
      <c r="B28" s="513" t="s">
        <v>365</v>
      </c>
      <c r="C28" s="513"/>
      <c r="D28" s="513"/>
      <c r="E28" s="513"/>
      <c r="F28" s="513"/>
      <c r="G28" s="513"/>
      <c r="H28" s="480" t="s">
        <v>447</v>
      </c>
      <c r="I28" s="481"/>
      <c r="J28" s="481"/>
      <c r="K28" s="481"/>
      <c r="L28" s="481"/>
      <c r="M28" s="477" t="s">
        <v>37</v>
      </c>
      <c r="N28" s="478"/>
      <c r="O28" s="479"/>
      <c r="P28" s="482" t="s">
        <v>16</v>
      </c>
      <c r="Q28" s="483"/>
      <c r="R28" s="468" t="s">
        <v>16</v>
      </c>
      <c r="S28" s="468"/>
      <c r="T28" s="468" t="s">
        <v>16</v>
      </c>
      <c r="U28" s="468"/>
      <c r="V28" s="97"/>
    </row>
    <row r="29" spans="1:23" ht="12.75" customHeight="1">
      <c r="A29" s="194"/>
      <c r="B29" s="510" t="s">
        <v>321</v>
      </c>
      <c r="C29" s="510"/>
      <c r="D29" s="510"/>
      <c r="E29" s="510"/>
      <c r="F29" s="510"/>
      <c r="G29" s="510"/>
      <c r="H29" s="481" t="s">
        <v>368</v>
      </c>
      <c r="I29" s="481"/>
      <c r="J29" s="481"/>
      <c r="K29" s="481"/>
      <c r="L29" s="481"/>
      <c r="M29" s="474"/>
      <c r="N29" s="475"/>
      <c r="O29" s="476"/>
      <c r="P29" s="484"/>
      <c r="Q29" s="485"/>
      <c r="R29" s="484"/>
      <c r="S29" s="485"/>
      <c r="T29" s="484"/>
      <c r="U29" s="485"/>
      <c r="V29" s="97"/>
    </row>
    <row r="30" spans="1:23" ht="12.75" customHeight="1">
      <c r="A30" s="194"/>
      <c r="B30" s="513" t="s">
        <v>366</v>
      </c>
      <c r="C30" s="513"/>
      <c r="D30" s="513"/>
      <c r="E30" s="513"/>
      <c r="F30" s="513"/>
      <c r="G30" s="513"/>
      <c r="H30" s="481" t="s">
        <v>368</v>
      </c>
      <c r="I30" s="481"/>
      <c r="J30" s="481"/>
      <c r="K30" s="481"/>
      <c r="L30" s="481"/>
      <c r="M30" s="477" t="s">
        <v>37</v>
      </c>
      <c r="N30" s="478"/>
      <c r="O30" s="479"/>
      <c r="P30" s="482" t="s">
        <v>16</v>
      </c>
      <c r="Q30" s="483"/>
      <c r="R30" s="468" t="s">
        <v>16</v>
      </c>
      <c r="S30" s="468"/>
      <c r="T30" s="468" t="s">
        <v>16</v>
      </c>
      <c r="U30" s="468"/>
      <c r="V30" s="97"/>
    </row>
    <row r="31" spans="1:23" ht="12.75" customHeight="1">
      <c r="A31" s="194"/>
      <c r="B31" s="514" t="s">
        <v>470</v>
      </c>
      <c r="C31" s="513"/>
      <c r="D31" s="513"/>
      <c r="E31" s="513"/>
      <c r="F31" s="513"/>
      <c r="G31" s="513"/>
      <c r="H31" s="481" t="s">
        <v>368</v>
      </c>
      <c r="I31" s="481"/>
      <c r="J31" s="481"/>
      <c r="K31" s="481"/>
      <c r="L31" s="481"/>
      <c r="M31" s="477" t="s">
        <v>37</v>
      </c>
      <c r="N31" s="478"/>
      <c r="O31" s="479"/>
      <c r="P31" s="482" t="s">
        <v>16</v>
      </c>
      <c r="Q31" s="483"/>
      <c r="R31" s="468" t="s">
        <v>16</v>
      </c>
      <c r="S31" s="468"/>
      <c r="T31" s="468" t="s">
        <v>16</v>
      </c>
      <c r="U31" s="468"/>
      <c r="V31" s="97"/>
    </row>
    <row r="32" spans="1:23">
      <c r="A32" s="194"/>
      <c r="B32" s="513" t="s">
        <v>367</v>
      </c>
      <c r="C32" s="513"/>
      <c r="D32" s="513"/>
      <c r="E32" s="513"/>
      <c r="F32" s="513"/>
      <c r="G32" s="513"/>
      <c r="H32" s="481" t="s">
        <v>368</v>
      </c>
      <c r="I32" s="481"/>
      <c r="J32" s="481"/>
      <c r="K32" s="481"/>
      <c r="L32" s="481"/>
      <c r="M32" s="477" t="s">
        <v>37</v>
      </c>
      <c r="N32" s="478"/>
      <c r="O32" s="479"/>
      <c r="P32" s="482" t="s">
        <v>16</v>
      </c>
      <c r="Q32" s="483"/>
      <c r="R32" s="468" t="s">
        <v>16</v>
      </c>
      <c r="S32" s="468"/>
      <c r="T32" s="468" t="s">
        <v>16</v>
      </c>
      <c r="U32" s="468"/>
      <c r="V32" s="97"/>
    </row>
    <row r="33" spans="1:22" ht="12.75" customHeight="1">
      <c r="A33" s="194"/>
      <c r="B33" s="510" t="s">
        <v>452</v>
      </c>
      <c r="C33" s="510"/>
      <c r="D33" s="510"/>
      <c r="E33" s="510"/>
      <c r="F33" s="510"/>
      <c r="G33" s="510"/>
      <c r="H33" s="471" t="s">
        <v>322</v>
      </c>
      <c r="I33" s="472"/>
      <c r="J33" s="472"/>
      <c r="K33" s="472"/>
      <c r="L33" s="515"/>
      <c r="M33" s="221" t="s">
        <v>37</v>
      </c>
      <c r="N33" s="222" t="s">
        <v>37</v>
      </c>
      <c r="O33" s="222" t="s">
        <v>37</v>
      </c>
      <c r="P33" s="469" t="s">
        <v>14</v>
      </c>
      <c r="Q33" s="470"/>
      <c r="R33" s="468" t="s">
        <v>16</v>
      </c>
      <c r="S33" s="468"/>
      <c r="T33" s="469" t="s">
        <v>14</v>
      </c>
      <c r="U33" s="470"/>
      <c r="V33" s="97"/>
    </row>
    <row r="34" spans="1:22" ht="12.75" customHeight="1">
      <c r="A34" s="194"/>
      <c r="B34" s="510" t="s">
        <v>453</v>
      </c>
      <c r="C34" s="510"/>
      <c r="D34" s="510"/>
      <c r="E34" s="510"/>
      <c r="F34" s="510"/>
      <c r="G34" s="510"/>
      <c r="H34" s="471" t="s">
        <v>322</v>
      </c>
      <c r="I34" s="472"/>
      <c r="J34" s="472"/>
      <c r="K34" s="472"/>
      <c r="L34" s="473"/>
      <c r="M34" s="222" t="s">
        <v>37</v>
      </c>
      <c r="N34" s="222" t="s">
        <v>37</v>
      </c>
      <c r="O34" s="222" t="s">
        <v>37</v>
      </c>
      <c r="P34" s="469" t="s">
        <v>14</v>
      </c>
      <c r="Q34" s="470"/>
      <c r="R34" s="468" t="s">
        <v>16</v>
      </c>
      <c r="S34" s="468"/>
      <c r="T34" s="469" t="s">
        <v>14</v>
      </c>
      <c r="U34" s="470"/>
      <c r="V34" s="97"/>
    </row>
    <row r="35" spans="1:22" ht="12.75" customHeight="1">
      <c r="A35" s="194"/>
      <c r="B35" s="510" t="s">
        <v>454</v>
      </c>
      <c r="C35" s="510"/>
      <c r="D35" s="510"/>
      <c r="E35" s="510"/>
      <c r="F35" s="510"/>
      <c r="G35" s="510"/>
      <c r="H35" s="471" t="s">
        <v>322</v>
      </c>
      <c r="I35" s="472"/>
      <c r="J35" s="472"/>
      <c r="K35" s="472"/>
      <c r="L35" s="473"/>
      <c r="M35" s="222" t="s">
        <v>37</v>
      </c>
      <c r="N35" s="222" t="s">
        <v>37</v>
      </c>
      <c r="O35" s="222" t="s">
        <v>37</v>
      </c>
      <c r="P35" s="469" t="s">
        <v>14</v>
      </c>
      <c r="Q35" s="470"/>
      <c r="R35" s="468" t="s">
        <v>16</v>
      </c>
      <c r="S35" s="468"/>
      <c r="T35" s="469" t="s">
        <v>14</v>
      </c>
      <c r="U35" s="470"/>
      <c r="V35" s="97"/>
    </row>
    <row r="36" spans="1:22" ht="12.75" customHeight="1">
      <c r="A36" s="194"/>
      <c r="B36" s="513" t="s">
        <v>455</v>
      </c>
      <c r="C36" s="513"/>
      <c r="D36" s="513"/>
      <c r="E36" s="513"/>
      <c r="F36" s="513"/>
      <c r="G36" s="513"/>
      <c r="H36" s="462" t="s">
        <v>458</v>
      </c>
      <c r="I36" s="463"/>
      <c r="J36" s="463"/>
      <c r="K36" s="463"/>
      <c r="L36" s="464"/>
      <c r="M36" s="222" t="s">
        <v>37</v>
      </c>
      <c r="N36" s="222" t="s">
        <v>37</v>
      </c>
      <c r="O36" s="222" t="s">
        <v>37</v>
      </c>
      <c r="P36" s="469" t="s">
        <v>14</v>
      </c>
      <c r="Q36" s="470"/>
      <c r="R36" s="468" t="s">
        <v>16</v>
      </c>
      <c r="S36" s="468"/>
      <c r="T36" s="469" t="s">
        <v>14</v>
      </c>
      <c r="U36" s="470"/>
      <c r="V36" s="97"/>
    </row>
    <row r="37" spans="1:22" ht="12.75" customHeight="1">
      <c r="A37" s="194"/>
      <c r="B37" s="513" t="s">
        <v>456</v>
      </c>
      <c r="C37" s="513"/>
      <c r="D37" s="513"/>
      <c r="E37" s="513"/>
      <c r="F37" s="513"/>
      <c r="G37" s="513"/>
      <c r="H37" s="462" t="s">
        <v>459</v>
      </c>
      <c r="I37" s="463"/>
      <c r="J37" s="463"/>
      <c r="K37" s="463"/>
      <c r="L37" s="464"/>
      <c r="M37" s="222" t="s">
        <v>37</v>
      </c>
      <c r="N37" s="222" t="s">
        <v>37</v>
      </c>
      <c r="O37" s="222" t="s">
        <v>37</v>
      </c>
      <c r="P37" s="469" t="s">
        <v>14</v>
      </c>
      <c r="Q37" s="470"/>
      <c r="R37" s="468" t="s">
        <v>16</v>
      </c>
      <c r="S37" s="468"/>
      <c r="T37" s="468" t="s">
        <v>16</v>
      </c>
      <c r="U37" s="468"/>
      <c r="V37" s="97"/>
    </row>
    <row r="38" spans="1:22" ht="12.75" customHeight="1">
      <c r="A38" s="194"/>
      <c r="B38" s="513" t="s">
        <v>457</v>
      </c>
      <c r="C38" s="513"/>
      <c r="D38" s="513"/>
      <c r="E38" s="513"/>
      <c r="F38" s="513"/>
      <c r="G38" s="513"/>
      <c r="H38" s="462" t="s">
        <v>336</v>
      </c>
      <c r="I38" s="465"/>
      <c r="J38" s="465"/>
      <c r="K38" s="465"/>
      <c r="L38" s="466"/>
      <c r="M38" s="459" t="s">
        <v>37</v>
      </c>
      <c r="N38" s="460"/>
      <c r="O38" s="461"/>
      <c r="P38" s="469" t="s">
        <v>14</v>
      </c>
      <c r="Q38" s="470"/>
      <c r="R38" s="469" t="s">
        <v>14</v>
      </c>
      <c r="S38" s="470"/>
      <c r="T38" s="468" t="s">
        <v>16</v>
      </c>
      <c r="U38" s="468"/>
      <c r="V38" s="97"/>
    </row>
    <row r="39" spans="1:22" ht="12.75" customHeight="1">
      <c r="A39" s="194"/>
      <c r="B39" s="194"/>
      <c r="C39" s="195"/>
      <c r="D39" s="174"/>
      <c r="E39" s="174"/>
      <c r="F39" s="174"/>
      <c r="G39" s="174"/>
      <c r="H39" s="174"/>
      <c r="I39" s="174"/>
      <c r="J39" s="174"/>
      <c r="K39" s="174"/>
      <c r="L39" s="174"/>
      <c r="M39" s="216"/>
      <c r="N39" s="216"/>
      <c r="O39" s="216"/>
      <c r="P39" s="209"/>
      <c r="Q39" s="209"/>
      <c r="R39" s="209"/>
      <c r="S39" s="217"/>
      <c r="T39" s="217"/>
      <c r="U39" s="217"/>
      <c r="V39" s="97"/>
    </row>
    <row r="40" spans="1:22">
      <c r="A40" s="97"/>
      <c r="B40" s="97"/>
      <c r="C40" s="97"/>
      <c r="D40" s="97"/>
      <c r="E40" s="97"/>
      <c r="F40" s="97"/>
      <c r="G40" s="97"/>
      <c r="H40" s="97"/>
      <c r="I40" s="97"/>
      <c r="J40" s="97"/>
      <c r="K40" s="97"/>
      <c r="L40" s="97"/>
      <c r="M40" s="97"/>
      <c r="N40" s="97"/>
      <c r="O40" s="97"/>
      <c r="P40" s="97"/>
      <c r="Q40" s="97"/>
      <c r="R40" s="97"/>
      <c r="S40" s="97"/>
      <c r="T40" s="97"/>
      <c r="U40" s="97"/>
      <c r="V40" s="97"/>
    </row>
    <row r="41" spans="1:22">
      <c r="B41" s="458" t="s">
        <v>38</v>
      </c>
      <c r="C41" s="458"/>
      <c r="D41" s="458"/>
      <c r="E41" s="458"/>
      <c r="F41" s="458"/>
      <c r="G41" s="458"/>
      <c r="H41" s="458"/>
      <c r="I41" s="458"/>
      <c r="J41" s="458"/>
      <c r="K41" s="458"/>
      <c r="L41" s="458"/>
      <c r="M41" s="458"/>
      <c r="N41" s="458"/>
      <c r="O41" s="458"/>
      <c r="P41" s="458"/>
      <c r="Q41" s="458"/>
      <c r="R41" s="458"/>
      <c r="S41" s="458"/>
      <c r="T41" s="458"/>
      <c r="U41" s="458"/>
      <c r="V41" s="55"/>
    </row>
    <row r="42" spans="1:22" customFormat="1">
      <c r="A42" s="201"/>
      <c r="B42" s="186" t="s">
        <v>39</v>
      </c>
      <c r="C42" s="201"/>
      <c r="D42" s="58" t="s">
        <v>360</v>
      </c>
      <c r="J42" s="201"/>
      <c r="K42" s="201"/>
      <c r="L42" s="201"/>
      <c r="M42" s="97" t="s">
        <v>361</v>
      </c>
      <c r="N42" s="97"/>
      <c r="O42" s="97"/>
      <c r="P42" s="97"/>
      <c r="Q42" s="97"/>
      <c r="R42" s="97"/>
      <c r="S42" s="97"/>
      <c r="T42" s="97"/>
    </row>
    <row r="43" spans="1:22" customFormat="1" ht="14.25">
      <c r="A43" s="186"/>
      <c r="C43" s="58"/>
      <c r="J43" s="218"/>
    </row>
    <row r="44" spans="1:22" ht="12.75" customHeight="1">
      <c r="B44" s="507" t="s">
        <v>40</v>
      </c>
      <c r="C44" s="507"/>
      <c r="D44" s="507"/>
      <c r="E44" s="507"/>
      <c r="F44" s="507"/>
      <c r="G44" s="507"/>
      <c r="H44" s="507"/>
      <c r="I44" s="507"/>
      <c r="J44" s="507"/>
      <c r="K44" s="507"/>
      <c r="L44" s="507"/>
      <c r="M44" s="507"/>
      <c r="N44" s="507"/>
      <c r="O44" s="507"/>
      <c r="P44" s="507"/>
      <c r="Q44" s="507"/>
      <c r="R44" s="507"/>
      <c r="S44" s="507"/>
      <c r="T44" s="507"/>
      <c r="U44" s="507"/>
      <c r="V44" s="219"/>
    </row>
    <row r="45" spans="1:22">
      <c r="A45" s="220"/>
      <c r="B45" s="507"/>
      <c r="C45" s="507"/>
      <c r="D45" s="507"/>
      <c r="E45" s="507"/>
      <c r="F45" s="507"/>
      <c r="G45" s="507"/>
      <c r="H45" s="507"/>
      <c r="I45" s="507"/>
      <c r="J45" s="507"/>
      <c r="K45" s="507"/>
      <c r="L45" s="507"/>
      <c r="M45" s="507"/>
      <c r="N45" s="507"/>
      <c r="O45" s="507"/>
      <c r="P45" s="507"/>
      <c r="Q45" s="507"/>
      <c r="R45" s="507"/>
      <c r="S45" s="507"/>
      <c r="T45" s="507"/>
      <c r="U45" s="507"/>
      <c r="V45" s="219"/>
    </row>
    <row r="46" spans="1:22">
      <c r="A46" s="97"/>
      <c r="B46" s="97"/>
      <c r="C46" s="97"/>
      <c r="D46" s="97"/>
      <c r="E46" s="97"/>
      <c r="F46" s="97"/>
      <c r="G46" s="97"/>
      <c r="H46" s="97"/>
      <c r="I46" s="97"/>
      <c r="J46" s="97"/>
      <c r="K46" s="97"/>
      <c r="L46" s="97"/>
      <c r="M46" s="97"/>
      <c r="N46" s="97"/>
      <c r="O46" s="97"/>
      <c r="P46" s="97"/>
      <c r="Q46" s="97"/>
      <c r="R46" s="97"/>
      <c r="S46" s="97"/>
      <c r="T46" s="97"/>
      <c r="U46" s="97"/>
      <c r="V46" s="97"/>
    </row>
    <row r="47" spans="1:22">
      <c r="A47" s="97"/>
      <c r="B47" s="97"/>
      <c r="C47" s="97"/>
      <c r="D47" s="97"/>
      <c r="E47" s="97"/>
      <c r="F47" s="97"/>
      <c r="G47" s="97"/>
      <c r="H47" s="97"/>
      <c r="I47" s="97"/>
      <c r="J47" s="97"/>
      <c r="K47" s="97"/>
      <c r="L47" s="97"/>
      <c r="M47" s="97"/>
      <c r="N47" s="97"/>
      <c r="O47" s="97"/>
      <c r="P47" s="97"/>
      <c r="Q47" s="97"/>
      <c r="R47" s="97"/>
      <c r="S47" s="97"/>
      <c r="T47" s="97"/>
      <c r="U47" s="97"/>
      <c r="V47" s="97"/>
    </row>
    <row r="48" spans="1:22">
      <c r="A48" s="97"/>
      <c r="B48" s="97"/>
      <c r="C48" s="97"/>
      <c r="D48" s="97"/>
      <c r="E48" s="97"/>
      <c r="F48" s="97"/>
      <c r="G48" s="97"/>
      <c r="H48" s="97"/>
      <c r="I48" s="97"/>
      <c r="J48" s="97"/>
      <c r="K48" s="97"/>
      <c r="L48" s="97"/>
      <c r="M48" s="97"/>
      <c r="N48" s="97"/>
      <c r="O48" s="97"/>
      <c r="P48" s="97"/>
      <c r="Q48" s="97"/>
      <c r="R48" s="97"/>
      <c r="S48" s="97"/>
      <c r="T48" s="97"/>
      <c r="U48" s="97"/>
      <c r="V48" s="97"/>
    </row>
    <row r="49" spans="1:22">
      <c r="A49" s="97"/>
      <c r="B49" s="97"/>
      <c r="C49" s="97"/>
      <c r="D49" s="97"/>
      <c r="E49" s="97"/>
      <c r="F49" s="97"/>
      <c r="G49" s="97"/>
      <c r="H49" s="97"/>
      <c r="I49" s="97"/>
      <c r="J49" s="97"/>
      <c r="K49" s="97"/>
      <c r="L49" s="97"/>
      <c r="M49" s="97"/>
      <c r="N49" s="97"/>
      <c r="O49" s="97"/>
      <c r="P49" s="97"/>
      <c r="Q49" s="97"/>
      <c r="R49" s="97"/>
      <c r="S49" s="97"/>
      <c r="T49" s="97"/>
      <c r="U49" s="97"/>
      <c r="V49" s="97"/>
    </row>
    <row r="50" spans="1:22">
      <c r="A50" s="97"/>
      <c r="B50" s="97"/>
      <c r="C50" s="97"/>
      <c r="D50" s="97"/>
      <c r="E50" s="97"/>
      <c r="F50" s="97"/>
      <c r="G50" s="97"/>
      <c r="H50" s="97"/>
      <c r="I50" s="97"/>
      <c r="J50" s="97"/>
      <c r="K50" s="97"/>
      <c r="L50" s="97"/>
      <c r="M50" s="97"/>
      <c r="N50" s="97"/>
      <c r="O50" s="97"/>
      <c r="P50" s="97"/>
      <c r="Q50" s="97"/>
      <c r="R50" s="97"/>
      <c r="S50" s="97"/>
      <c r="T50" s="97"/>
      <c r="U50" s="97"/>
      <c r="V50" s="97"/>
    </row>
    <row r="51" spans="1:22">
      <c r="A51" s="97"/>
      <c r="B51" s="97"/>
      <c r="C51" s="97"/>
      <c r="D51" s="97"/>
      <c r="E51" s="97"/>
      <c r="F51" s="97"/>
      <c r="G51" s="97"/>
      <c r="H51" s="97"/>
      <c r="I51" s="97"/>
      <c r="J51" s="97"/>
      <c r="K51" s="97"/>
      <c r="L51" s="97"/>
      <c r="M51" s="97"/>
      <c r="N51" s="97"/>
      <c r="O51" s="97"/>
      <c r="P51" s="97"/>
      <c r="Q51" s="97"/>
      <c r="R51" s="97"/>
      <c r="S51" s="97"/>
      <c r="T51" s="97"/>
      <c r="U51" s="97"/>
      <c r="V51" s="97"/>
    </row>
    <row r="52" spans="1:22">
      <c r="A52" s="97"/>
      <c r="B52" s="97"/>
      <c r="C52" s="97"/>
      <c r="D52" s="97"/>
      <c r="E52" s="97"/>
      <c r="F52" s="97"/>
      <c r="G52" s="97"/>
      <c r="H52" s="97"/>
      <c r="I52" s="97"/>
      <c r="J52" s="97"/>
      <c r="K52" s="97"/>
      <c r="L52" s="97"/>
      <c r="M52" s="97"/>
      <c r="N52" s="97"/>
      <c r="O52" s="97"/>
      <c r="P52" s="97"/>
      <c r="Q52" s="97"/>
      <c r="R52" s="97"/>
      <c r="S52" s="97"/>
      <c r="T52" s="97"/>
      <c r="U52" s="97"/>
      <c r="V52" s="97"/>
    </row>
    <row r="53" spans="1:22">
      <c r="A53" s="97"/>
      <c r="B53" s="97"/>
      <c r="C53" s="97"/>
      <c r="D53" s="97"/>
      <c r="E53" s="97"/>
      <c r="F53" s="97"/>
      <c r="G53" s="97"/>
      <c r="H53" s="97"/>
      <c r="I53" s="97"/>
      <c r="J53" s="97"/>
      <c r="K53" s="97"/>
      <c r="L53" s="97"/>
      <c r="M53" s="97"/>
      <c r="N53" s="97"/>
      <c r="O53" s="97"/>
      <c r="P53" s="97"/>
      <c r="Q53" s="97"/>
      <c r="R53" s="97"/>
      <c r="S53" s="97"/>
      <c r="T53" s="97"/>
      <c r="U53" s="97"/>
      <c r="V53" s="97"/>
    </row>
    <row r="54" spans="1:22">
      <c r="A54" s="97"/>
      <c r="B54" s="97"/>
      <c r="C54" s="97"/>
      <c r="D54" s="97"/>
      <c r="E54" s="97"/>
      <c r="F54" s="97"/>
      <c r="G54" s="97"/>
      <c r="H54" s="97"/>
      <c r="I54" s="97"/>
      <c r="J54" s="97"/>
      <c r="K54" s="97"/>
      <c r="L54" s="97"/>
      <c r="M54" s="97"/>
      <c r="N54" s="97"/>
      <c r="O54" s="97"/>
      <c r="P54" s="97"/>
      <c r="Q54" s="97"/>
      <c r="R54" s="97"/>
      <c r="S54" s="97"/>
      <c r="T54" s="97"/>
      <c r="U54" s="97"/>
      <c r="V54" s="97"/>
    </row>
    <row r="55" spans="1:22">
      <c r="A55" s="97"/>
      <c r="B55" s="97"/>
      <c r="C55" s="97"/>
      <c r="D55" s="97"/>
      <c r="E55" s="97"/>
      <c r="F55" s="97"/>
      <c r="G55" s="97"/>
      <c r="H55" s="97"/>
      <c r="I55" s="97"/>
      <c r="J55" s="97"/>
      <c r="K55" s="97"/>
      <c r="L55" s="97"/>
      <c r="M55" s="97"/>
      <c r="N55" s="97"/>
      <c r="O55" s="97"/>
      <c r="P55" s="97"/>
      <c r="Q55" s="97"/>
      <c r="R55" s="97"/>
      <c r="S55" s="97"/>
      <c r="T55" s="97"/>
      <c r="U55" s="97"/>
      <c r="V55" s="97"/>
    </row>
    <row r="56" spans="1:22">
      <c r="A56" s="97"/>
      <c r="B56" s="97"/>
      <c r="C56" s="97"/>
      <c r="D56" s="97"/>
      <c r="E56" s="97"/>
      <c r="F56" s="97"/>
      <c r="G56" s="97"/>
      <c r="H56" s="97"/>
      <c r="I56" s="97"/>
      <c r="J56" s="97"/>
      <c r="K56" s="97"/>
      <c r="L56" s="97"/>
      <c r="M56" s="97"/>
      <c r="N56" s="97"/>
      <c r="O56" s="97"/>
      <c r="P56" s="97"/>
      <c r="Q56" s="97"/>
      <c r="R56" s="97"/>
      <c r="S56" s="97"/>
      <c r="T56" s="97"/>
      <c r="U56" s="97"/>
      <c r="V56" s="97"/>
    </row>
    <row r="57" spans="1:22">
      <c r="A57" s="97"/>
      <c r="B57" s="97"/>
      <c r="C57" s="97"/>
      <c r="D57" s="97"/>
      <c r="E57" s="97"/>
      <c r="F57" s="97"/>
      <c r="G57" s="97"/>
      <c r="H57" s="97"/>
      <c r="I57" s="97"/>
      <c r="J57" s="97"/>
      <c r="K57" s="97"/>
      <c r="L57" s="97"/>
      <c r="M57" s="97"/>
      <c r="N57" s="97"/>
      <c r="O57" s="97"/>
      <c r="P57" s="97"/>
      <c r="Q57" s="97"/>
      <c r="R57" s="97"/>
      <c r="S57" s="97"/>
      <c r="T57" s="97"/>
      <c r="U57" s="97"/>
      <c r="V57" s="97"/>
    </row>
    <row r="58" spans="1:22">
      <c r="A58" s="97"/>
      <c r="B58" s="97"/>
      <c r="C58" s="97"/>
      <c r="D58" s="97"/>
      <c r="E58" s="97"/>
      <c r="F58" s="97"/>
      <c r="G58" s="97"/>
      <c r="H58" s="97"/>
      <c r="I58" s="97"/>
      <c r="J58" s="97"/>
      <c r="K58" s="97"/>
      <c r="L58" s="97"/>
      <c r="M58" s="97"/>
      <c r="N58" s="97"/>
      <c r="O58" s="97"/>
      <c r="P58" s="97"/>
      <c r="Q58" s="97"/>
      <c r="R58" s="97"/>
      <c r="S58" s="97"/>
      <c r="T58" s="97"/>
      <c r="U58" s="97"/>
      <c r="V58" s="97"/>
    </row>
  </sheetData>
  <sheetProtection algorithmName="SHA-512" hashValue="71hm30kCXNDzSNCnveVzKfBnCvGylP2AzLwSsxfDZ0WZ8pAFWOTviB4+P6gypcAEWTX5XsLttGTjwdHcy3BmQQ==" saltValue="LawXAtIcmA3nKqCE45Gnow==" spinCount="100000" sheet="1" scenarios="1"/>
  <protectedRanges>
    <protectedRange sqref="M25 M27:M28 M30:O38" name="CoverSheetDropdown"/>
    <protectedRange sqref="D15:J17 O15 N16:V17" name="Range1"/>
  </protectedRanges>
  <mergeCells count="100">
    <mergeCell ref="B33:G33"/>
    <mergeCell ref="T37:U37"/>
    <mergeCell ref="T38:U38"/>
    <mergeCell ref="T30:U30"/>
    <mergeCell ref="B36:G36"/>
    <mergeCell ref="B37:G37"/>
    <mergeCell ref="B38:G38"/>
    <mergeCell ref="B31:G31"/>
    <mergeCell ref="B32:G32"/>
    <mergeCell ref="P37:Q37"/>
    <mergeCell ref="P38:Q38"/>
    <mergeCell ref="H33:L33"/>
    <mergeCell ref="H31:L31"/>
    <mergeCell ref="H32:L32"/>
    <mergeCell ref="H35:L35"/>
    <mergeCell ref="H36:L36"/>
    <mergeCell ref="B44:U45"/>
    <mergeCell ref="M38:O38"/>
    <mergeCell ref="H26:L26"/>
    <mergeCell ref="B19:U19"/>
    <mergeCell ref="B20:U20"/>
    <mergeCell ref="B34:G34"/>
    <mergeCell ref="B35:G35"/>
    <mergeCell ref="H22:L24"/>
    <mergeCell ref="P33:Q33"/>
    <mergeCell ref="B22:G24"/>
    <mergeCell ref="B25:G25"/>
    <mergeCell ref="B26:G26"/>
    <mergeCell ref="B27:G27"/>
    <mergeCell ref="B28:G28"/>
    <mergeCell ref="B29:G29"/>
    <mergeCell ref="B30:G30"/>
    <mergeCell ref="D17:J17"/>
    <mergeCell ref="A3:V6"/>
    <mergeCell ref="T28:U28"/>
    <mergeCell ref="T29:U29"/>
    <mergeCell ref="P22:Q24"/>
    <mergeCell ref="R22:S24"/>
    <mergeCell ref="T22:U24"/>
    <mergeCell ref="T25:U25"/>
    <mergeCell ref="T26:U26"/>
    <mergeCell ref="T27:U27"/>
    <mergeCell ref="P35:Q35"/>
    <mergeCell ref="P36:Q36"/>
    <mergeCell ref="T35:U35"/>
    <mergeCell ref="T36:U36"/>
    <mergeCell ref="A1:S1"/>
    <mergeCell ref="D15:J15"/>
    <mergeCell ref="A12:S13"/>
    <mergeCell ref="M22:O23"/>
    <mergeCell ref="P25:Q25"/>
    <mergeCell ref="O15:V15"/>
    <mergeCell ref="N16:V16"/>
    <mergeCell ref="R25:S25"/>
    <mergeCell ref="H25:L25"/>
    <mergeCell ref="A9:B9"/>
    <mergeCell ref="A10:B10"/>
    <mergeCell ref="D16:J16"/>
    <mergeCell ref="P32:Q32"/>
    <mergeCell ref="R33:S33"/>
    <mergeCell ref="R34:S34"/>
    <mergeCell ref="R32:S32"/>
    <mergeCell ref="T31:U31"/>
    <mergeCell ref="T32:U32"/>
    <mergeCell ref="T33:U33"/>
    <mergeCell ref="T34:U34"/>
    <mergeCell ref="P34:Q34"/>
    <mergeCell ref="P30:Q30"/>
    <mergeCell ref="P31:Q31"/>
    <mergeCell ref="R26:S26"/>
    <mergeCell ref="R27:S27"/>
    <mergeCell ref="R28:S28"/>
    <mergeCell ref="R29:S29"/>
    <mergeCell ref="R30:S30"/>
    <mergeCell ref="R31:S31"/>
    <mergeCell ref="P26:Q26"/>
    <mergeCell ref="P27:Q27"/>
    <mergeCell ref="P28:Q28"/>
    <mergeCell ref="P29:Q29"/>
    <mergeCell ref="M32:O32"/>
    <mergeCell ref="H27:L27"/>
    <mergeCell ref="H28:L28"/>
    <mergeCell ref="H29:L29"/>
    <mergeCell ref="H30:L30"/>
    <mergeCell ref="B41:U41"/>
    <mergeCell ref="M25:O25"/>
    <mergeCell ref="H37:L37"/>
    <mergeCell ref="H38:L38"/>
    <mergeCell ref="N17:V17"/>
    <mergeCell ref="R35:S35"/>
    <mergeCell ref="R36:S36"/>
    <mergeCell ref="R37:S37"/>
    <mergeCell ref="R38:S38"/>
    <mergeCell ref="H34:L34"/>
    <mergeCell ref="M26:O26"/>
    <mergeCell ref="M27:O27"/>
    <mergeCell ref="M28:O28"/>
    <mergeCell ref="M29:O29"/>
    <mergeCell ref="M30:O30"/>
    <mergeCell ref="M31:O31"/>
  </mergeCells>
  <phoneticPr fontId="2" type="noConversion"/>
  <conditionalFormatting sqref="A9:B11">
    <cfRule type="expression" dxfId="326" priority="15">
      <formula>A9="Optional"</formula>
    </cfRule>
    <cfRule type="expression" dxfId="325" priority="16">
      <formula>A9="Mandatory"</formula>
    </cfRule>
  </conditionalFormatting>
  <conditionalFormatting sqref="B20:U20">
    <cfRule type="expression" dxfId="324" priority="1">
      <formula>LEFT(B20,3)="Yes"</formula>
    </cfRule>
  </conditionalFormatting>
  <conditionalFormatting sqref="M25:M36 N33:O36 M37:O37 M38 M39:O39">
    <cfRule type="cellIs" dxfId="323" priority="10" operator="equal">
      <formula>"N/A"</formula>
    </cfRule>
    <cfRule type="cellIs" dxfId="322" priority="11" operator="equal">
      <formula>"No"</formula>
    </cfRule>
    <cfRule type="cellIs" dxfId="321" priority="12" operator="equal">
      <formula>"yes"</formula>
    </cfRule>
  </conditionalFormatting>
  <conditionalFormatting sqref="P25:U39">
    <cfRule type="expression" dxfId="320" priority="2">
      <formula>P25="Optional"</formula>
    </cfRule>
    <cfRule type="expression" dxfId="319" priority="3">
      <formula>P25="Mandatory"</formula>
    </cfRule>
  </conditionalFormatting>
  <dataValidations count="2">
    <dataValidation type="list" allowBlank="1" showInputMessage="1" showErrorMessage="1" sqref="M25:O25 M33:O38" xr:uid="{4FEA7261-4450-4DE0-9524-35718601A289}">
      <formula1>"No,Yes"</formula1>
    </dataValidation>
    <dataValidation type="list" allowBlank="1" showInputMessage="1" showErrorMessage="1" sqref="M27:M28 M30:M32 M39:O39" xr:uid="{EC190367-D969-427B-B4C5-95B0B00DA68A}">
      <formula1>"No,N/A,Yes"</formula1>
    </dataValidation>
  </dataValidations>
  <hyperlinks>
    <hyperlink ref="D42" location="'Read_Me'!A1" display="&quot;Structural Equivalency Spreadsheet Guide&quot;" xr:uid="{B8DA321B-CACE-4D99-A8E4-8DAB448AEBD1}"/>
    <hyperlink ref="B25:G25" location="'Accumulator Pics'!A1" display="Accumulator Pics" xr:uid="{3A8FB4A9-2404-45E4-B234-55EDCD9BB694}"/>
    <hyperlink ref="B26:G26" location="'EV5.5.5 Alt. Matls Summary'!A1" display="Alt. Matls Summary" xr:uid="{BD4DE1C4-4ED3-487A-90F3-DCD4CE3AA821}"/>
    <hyperlink ref="B27:G27" location="'EV5.5.5 Alt. Matl - 3pt Bending'!A1" display="Alt. Matl - 3pt Bending" xr:uid="{219F5986-37D1-436C-985F-0F71758D7792}"/>
    <hyperlink ref="B28:G28" location="'EV5.5.5 Alt. Matl - Shear'!A1" display="Alt. Matl - Shear" xr:uid="{EDE5824F-0342-41DD-B85B-27B373800436}"/>
    <hyperlink ref="B29:G29" location="'Materials Overview'!A1" display="Materials Overview" xr:uid="{CE090218-9C5A-41F4-BF79-915D89E31CF6}"/>
    <hyperlink ref="B30:G30" location="'Datasheets Fiber'!A1" display="Datasheets Fiber" xr:uid="{4140BA0B-413E-4F02-814A-2D7D912F53D6}"/>
    <hyperlink ref="B31:G31" location="'Datasheets Other Matl'!A1" display="Datasheets Plastics" xr:uid="{894C7221-1F63-4931-B9D1-16CCB7854194}"/>
    <hyperlink ref="B32:G32" location="'Datasheets Glue'!A1" display="Datasheets Glue" xr:uid="{95608971-743D-42FD-8E2D-AD1AA95AA5B3}"/>
    <hyperlink ref="B33:G33" location="'EV5.5.9 Segment'!A1" display="EV5.5.9 Segment" xr:uid="{904725DE-25E6-4547-84C4-3A5E8C706444}"/>
    <hyperlink ref="B34:G34" location="'EV5.5.9 TSAC'!A1" display="EV5.5.9 TSAC" xr:uid="{0211FD08-B6A1-47B8-BAE4-27485FC1494E}"/>
    <hyperlink ref="B35:G35" location="'EV5.5.9 TSAC attachments'!A1" display="EV5.5.9 TSAC attachment" xr:uid="{D548E2D1-1CA3-4243-8D46-8FD0093823E6}"/>
    <hyperlink ref="B36:G36" location="'EV5.5.10-12 Cell Fixation'!A1" display="EV5.5.10-12 Cell Fixation" xr:uid="{A6F8C4FC-94C9-4A45-BC47-4010E9F876E7}"/>
    <hyperlink ref="B37:G37" location="'EV5.5.13 Fasteners'!A1" display="EV5.5.13 Fasteners" xr:uid="{A3790B93-D7BD-44F4-9594-42A23587069B}"/>
    <hyperlink ref="B38:G38" location="'EV5.5.14-17 Openings&amp;Separation'!A1" display="EV5.5.14-17 Openings&amp;Separation" xr:uid="{B5643D89-4067-4CFA-9E82-DD72D9E25408}"/>
  </hyperlinks>
  <printOptions horizontalCentered="1"/>
  <pageMargins left="0" right="0" top="0.39370078740157483" bottom="0.39370078740157483" header="0.51181102362204722" footer="0.51181102362204722"/>
  <pageSetup paperSize="9" scale="88" fitToWidth="2"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DC3F8-C891-495B-813E-1AD6E786EF03}">
  <sheetPr codeName="Sheet3">
    <tabColor rgb="FF0070C0"/>
  </sheetPr>
  <dimension ref="A1:Z105"/>
  <sheetViews>
    <sheetView view="pageBreakPreview" zoomScaleNormal="100" zoomScaleSheetLayoutView="100" workbookViewId="0">
      <selection sqref="A1:P1"/>
    </sheetView>
  </sheetViews>
  <sheetFormatPr defaultColWidth="9.140625" defaultRowHeight="12.75"/>
  <cols>
    <col min="1" max="4" width="5" customWidth="1"/>
    <col min="5" max="5" width="9.85546875" customWidth="1"/>
    <col min="6" max="17" width="5" customWidth="1"/>
    <col min="19" max="20" width="7.85546875" customWidth="1"/>
    <col min="21" max="22" width="10.85546875" customWidth="1"/>
    <col min="23" max="23" width="7.85546875" customWidth="1"/>
    <col min="24" max="24" width="10.85546875" customWidth="1"/>
    <col min="25" max="25" width="7.85546875" customWidth="1"/>
    <col min="26" max="26" width="10.85546875" customWidth="1"/>
  </cols>
  <sheetData>
    <row r="1" spans="1:26" ht="12.75" customHeight="1">
      <c r="A1" s="561" t="str">
        <f>CONCATENATE(Read_Me!A1," FS ASES ",Read_Me!B1," - ACCUMULATOR PICS")</f>
        <v>2026 FS ASES V1.0 - ACCUMULATOR PICS</v>
      </c>
      <c r="B1" s="561"/>
      <c r="C1" s="561"/>
      <c r="D1" s="561"/>
      <c r="E1" s="561"/>
      <c r="F1" s="561"/>
      <c r="G1" s="561"/>
      <c r="H1" s="561"/>
      <c r="I1" s="561"/>
      <c r="J1" s="561"/>
      <c r="K1" s="561"/>
      <c r="L1" s="561"/>
      <c r="M1" s="561"/>
      <c r="N1" s="561"/>
      <c r="O1" s="561"/>
      <c r="P1" s="561"/>
      <c r="Q1" s="174"/>
      <c r="R1" s="174"/>
      <c r="S1" s="174"/>
      <c r="T1" s="174"/>
      <c r="U1" s="174"/>
      <c r="V1" s="174"/>
      <c r="W1" s="174"/>
      <c r="X1" s="174"/>
      <c r="Y1" s="174"/>
      <c r="Z1" s="174"/>
    </row>
    <row r="2" spans="1:26" ht="13.5" thickBot="1">
      <c r="A2" s="174"/>
      <c r="B2" s="174"/>
      <c r="C2" s="174"/>
      <c r="D2" s="174"/>
      <c r="E2" s="174"/>
      <c r="F2" s="174"/>
      <c r="G2" s="174"/>
      <c r="H2" s="174"/>
      <c r="I2" s="174"/>
      <c r="J2" s="174"/>
      <c r="K2" s="174"/>
      <c r="L2" s="174"/>
      <c r="M2" s="174"/>
      <c r="N2" s="174"/>
      <c r="O2" s="174"/>
      <c r="P2" s="174"/>
      <c r="Q2" s="174"/>
      <c r="R2" s="191" t="s">
        <v>387</v>
      </c>
      <c r="S2" s="191"/>
      <c r="T2" s="223"/>
      <c r="U2" s="174"/>
      <c r="V2" s="174"/>
      <c r="W2" s="174"/>
      <c r="X2" s="174"/>
      <c r="Y2" s="174"/>
      <c r="Z2" s="174"/>
    </row>
    <row r="3" spans="1:26">
      <c r="A3" s="224" t="s">
        <v>17</v>
      </c>
      <c r="B3" s="174"/>
      <c r="C3" s="174"/>
      <c r="D3" s="562" t="str">
        <f>IF('Cover Sheet'!D15:J15&gt;0,'Cover Sheet'!D15:J15,"")</f>
        <v/>
      </c>
      <c r="E3" s="562"/>
      <c r="F3" s="562"/>
      <c r="G3" s="562"/>
      <c r="H3" s="562"/>
      <c r="I3" s="174" t="s">
        <v>18</v>
      </c>
      <c r="J3" s="174"/>
      <c r="K3" s="174"/>
      <c r="L3" s="174"/>
      <c r="M3" s="562" t="str">
        <f>IF('Cover Sheet'!O15&gt;0,'Cover Sheet'!O15,"")</f>
        <v/>
      </c>
      <c r="N3" s="562"/>
      <c r="O3" s="562"/>
      <c r="P3" s="562"/>
      <c r="Q3" s="174"/>
      <c r="R3" s="552" t="s">
        <v>41</v>
      </c>
      <c r="S3" s="555" t="s">
        <v>42</v>
      </c>
      <c r="T3" s="555" t="s">
        <v>43</v>
      </c>
      <c r="U3" s="555" t="s">
        <v>44</v>
      </c>
      <c r="V3" s="578" t="s">
        <v>45</v>
      </c>
      <c r="W3" s="555" t="s">
        <v>46</v>
      </c>
      <c r="X3" s="555" t="s">
        <v>47</v>
      </c>
      <c r="Y3" s="555" t="s">
        <v>48</v>
      </c>
      <c r="Z3" s="575" t="s">
        <v>49</v>
      </c>
    </row>
    <row r="4" spans="1:26">
      <c r="A4" s="174"/>
      <c r="B4" s="174"/>
      <c r="C4" s="174"/>
      <c r="D4" s="174"/>
      <c r="E4" s="174"/>
      <c r="F4" s="174"/>
      <c r="G4" s="174"/>
      <c r="H4" s="174"/>
      <c r="I4" s="174"/>
      <c r="J4" s="174"/>
      <c r="K4" s="174"/>
      <c r="L4" s="174"/>
      <c r="M4" s="174"/>
      <c r="N4" s="174"/>
      <c r="O4" s="174"/>
      <c r="P4" s="174"/>
      <c r="Q4" s="174"/>
      <c r="R4" s="553"/>
      <c r="S4" s="556"/>
      <c r="T4" s="556"/>
      <c r="U4" s="556"/>
      <c r="V4" s="579"/>
      <c r="W4" s="556"/>
      <c r="X4" s="556"/>
      <c r="Y4" s="556"/>
      <c r="Z4" s="576"/>
    </row>
    <row r="5" spans="1:26" ht="12.75" customHeight="1">
      <c r="A5" s="516" t="s">
        <v>362</v>
      </c>
      <c r="B5" s="517"/>
      <c r="C5" s="517"/>
      <c r="D5" s="517"/>
      <c r="E5" s="517"/>
      <c r="F5" s="517"/>
      <c r="G5" s="517"/>
      <c r="H5" s="517"/>
      <c r="I5" s="517"/>
      <c r="J5" s="517"/>
      <c r="K5" s="517"/>
      <c r="L5" s="517"/>
      <c r="M5" s="517"/>
      <c r="N5" s="517"/>
      <c r="O5" s="517"/>
      <c r="P5" s="518"/>
      <c r="Q5" s="174"/>
      <c r="R5" s="553"/>
      <c r="S5" s="556"/>
      <c r="T5" s="556"/>
      <c r="U5" s="556"/>
      <c r="V5" s="579"/>
      <c r="W5" s="556"/>
      <c r="X5" s="556"/>
      <c r="Y5" s="556"/>
      <c r="Z5" s="576"/>
    </row>
    <row r="6" spans="1:26">
      <c r="A6" s="519"/>
      <c r="B6" s="520"/>
      <c r="C6" s="520"/>
      <c r="D6" s="520"/>
      <c r="E6" s="520"/>
      <c r="F6" s="520"/>
      <c r="G6" s="520"/>
      <c r="H6" s="520"/>
      <c r="I6" s="520"/>
      <c r="J6" s="520"/>
      <c r="K6" s="520"/>
      <c r="L6" s="520"/>
      <c r="M6" s="520"/>
      <c r="N6" s="520"/>
      <c r="O6" s="520"/>
      <c r="P6" s="521"/>
      <c r="Q6" s="174"/>
      <c r="R6" s="553"/>
      <c r="S6" s="556"/>
      <c r="T6" s="556"/>
      <c r="U6" s="556"/>
      <c r="V6" s="579"/>
      <c r="W6" s="556"/>
      <c r="X6" s="556"/>
      <c r="Y6" s="556"/>
      <c r="Z6" s="576"/>
    </row>
    <row r="7" spans="1:26" ht="13.5" thickBot="1">
      <c r="A7" s="519"/>
      <c r="B7" s="520"/>
      <c r="C7" s="520"/>
      <c r="D7" s="520"/>
      <c r="E7" s="520"/>
      <c r="F7" s="520"/>
      <c r="G7" s="520"/>
      <c r="H7" s="520"/>
      <c r="I7" s="520"/>
      <c r="J7" s="520"/>
      <c r="K7" s="520"/>
      <c r="L7" s="520"/>
      <c r="M7" s="520"/>
      <c r="N7" s="520"/>
      <c r="O7" s="520"/>
      <c r="P7" s="521"/>
      <c r="Q7" s="174"/>
      <c r="R7" s="554"/>
      <c r="S7" s="557"/>
      <c r="T7" s="557"/>
      <c r="U7" s="557"/>
      <c r="V7" s="580"/>
      <c r="W7" s="557"/>
      <c r="X7" s="557"/>
      <c r="Y7" s="557"/>
      <c r="Z7" s="577"/>
    </row>
    <row r="8" spans="1:26">
      <c r="A8" s="225"/>
      <c r="B8" s="226"/>
      <c r="C8" s="226"/>
      <c r="D8" s="226"/>
      <c r="E8" s="226"/>
      <c r="F8" s="226"/>
      <c r="G8" s="226"/>
      <c r="H8" s="226"/>
      <c r="I8" s="226"/>
      <c r="J8" s="226"/>
      <c r="K8" s="226"/>
      <c r="L8" s="226"/>
      <c r="M8" s="226"/>
      <c r="N8" s="226"/>
      <c r="O8" s="226"/>
      <c r="P8" s="227"/>
      <c r="Q8" s="228"/>
      <c r="R8" s="229" t="s">
        <v>50</v>
      </c>
      <c r="S8" s="230">
        <f>T8+W8+Y8</f>
        <v>2</v>
      </c>
      <c r="T8" s="230">
        <f>'EV5.5.5 Alt. Matl - 3pt Bending'!C57</f>
        <v>1</v>
      </c>
      <c r="U8" s="98"/>
      <c r="V8" s="99"/>
      <c r="W8" s="231">
        <f>'EV5.5.5 Alt. Matl - 3pt Bending'!C55</f>
        <v>0</v>
      </c>
      <c r="X8" s="99"/>
      <c r="Y8" s="230">
        <f>'EV5.5.5 Alt. Matl - 3pt Bending'!C56</f>
        <v>1</v>
      </c>
      <c r="Z8" s="100"/>
    </row>
    <row r="9" spans="1:26" ht="13.5" thickBot="1">
      <c r="A9" s="225"/>
      <c r="B9" s="226"/>
      <c r="C9" s="226"/>
      <c r="D9" s="226"/>
      <c r="E9" s="226"/>
      <c r="F9" s="226"/>
      <c r="G9" s="226"/>
      <c r="H9" s="226"/>
      <c r="I9" s="226"/>
      <c r="J9" s="226"/>
      <c r="K9" s="226"/>
      <c r="L9" s="58" t="s">
        <v>77</v>
      </c>
      <c r="M9" s="226"/>
      <c r="N9" s="226"/>
      <c r="O9" s="226"/>
      <c r="P9" s="227"/>
      <c r="Q9" s="232"/>
      <c r="R9" s="229" t="s">
        <v>51</v>
      </c>
      <c r="S9" s="230">
        <f t="shared" ref="S9:S11" si="0">T9+W9+Y9</f>
        <v>2</v>
      </c>
      <c r="T9" s="230">
        <f>'EV5.5.5 Alt. Matl - 3pt Bending'!V57</f>
        <v>1</v>
      </c>
      <c r="U9" s="98"/>
      <c r="V9" s="99"/>
      <c r="W9" s="231">
        <f>'EV5.5.5 Alt. Matl - 3pt Bending'!V55</f>
        <v>0</v>
      </c>
      <c r="X9" s="99"/>
      <c r="Y9" s="230">
        <f>'EV5.5.5 Alt. Matl - 3pt Bending'!V56</f>
        <v>1</v>
      </c>
      <c r="Z9" s="100"/>
    </row>
    <row r="10" spans="1:26" ht="12.75" customHeight="1">
      <c r="A10" s="534" t="s">
        <v>52</v>
      </c>
      <c r="B10" s="535"/>
      <c r="C10" s="535"/>
      <c r="D10" s="535"/>
      <c r="E10" s="535"/>
      <c r="F10" s="535"/>
      <c r="G10" s="535"/>
      <c r="H10" s="535"/>
      <c r="I10" s="535"/>
      <c r="J10" s="535"/>
      <c r="K10" s="535"/>
      <c r="L10" s="535"/>
      <c r="M10" s="535"/>
      <c r="N10" s="535"/>
      <c r="O10" s="535"/>
      <c r="P10" s="536"/>
      <c r="Q10" s="233"/>
      <c r="R10" s="229" t="s">
        <v>53</v>
      </c>
      <c r="S10" s="230">
        <f t="shared" si="0"/>
        <v>2</v>
      </c>
      <c r="T10" s="230">
        <f>'EV5.5.5 Alt. Matl - 3pt Bending'!AO57</f>
        <v>1</v>
      </c>
      <c r="U10" s="98"/>
      <c r="V10" s="99"/>
      <c r="W10" s="231">
        <f>'EV5.5.5 Alt. Matl - 3pt Bending'!AO55</f>
        <v>0</v>
      </c>
      <c r="X10" s="99"/>
      <c r="Y10" s="230">
        <f>'EV5.5.5 Alt. Matl - 3pt Bending'!AO56</f>
        <v>1</v>
      </c>
      <c r="Z10" s="100"/>
    </row>
    <row r="11" spans="1:26" ht="12.75" customHeight="1" thickBot="1">
      <c r="A11" s="549"/>
      <c r="B11" s="550"/>
      <c r="C11" s="550"/>
      <c r="D11" s="550"/>
      <c r="E11" s="550"/>
      <c r="F11" s="550"/>
      <c r="G11" s="550"/>
      <c r="H11" s="550"/>
      <c r="I11" s="550"/>
      <c r="J11" s="550"/>
      <c r="K11" s="550"/>
      <c r="L11" s="550"/>
      <c r="M11" s="550"/>
      <c r="N11" s="550"/>
      <c r="O11" s="550"/>
      <c r="P11" s="551"/>
      <c r="Q11" s="234"/>
      <c r="R11" s="235" t="s">
        <v>54</v>
      </c>
      <c r="S11" s="236">
        <f t="shared" si="0"/>
        <v>2</v>
      </c>
      <c r="T11" s="236">
        <f>'EV5.5.5 Alt. Matl - 3pt Bending'!BH57</f>
        <v>1</v>
      </c>
      <c r="U11" s="154"/>
      <c r="V11" s="155"/>
      <c r="W11" s="237">
        <f>'EV5.5.5 Alt. Matl - 3pt Bending'!BH55</f>
        <v>0</v>
      </c>
      <c r="X11" s="155"/>
      <c r="Y11" s="236">
        <f>'EV5.5.5 Alt. Matl - 3pt Bending'!BH56</f>
        <v>1</v>
      </c>
      <c r="Z11" s="156"/>
    </row>
    <row r="12" spans="1:26" ht="13.5" thickBot="1">
      <c r="A12" s="546" t="s">
        <v>439</v>
      </c>
      <c r="B12" s="541"/>
      <c r="C12" s="541"/>
      <c r="D12" s="541"/>
      <c r="E12" s="266" t="s">
        <v>89</v>
      </c>
      <c r="F12" s="81"/>
      <c r="G12" s="81"/>
      <c r="H12" s="81"/>
      <c r="I12" s="81"/>
      <c r="J12" s="81"/>
      <c r="K12" s="81"/>
      <c r="L12" s="81"/>
      <c r="M12" s="81"/>
      <c r="N12" s="81"/>
      <c r="O12" s="81"/>
      <c r="P12" s="81"/>
      <c r="Q12" s="174"/>
      <c r="R12" s="238"/>
      <c r="S12" s="238"/>
      <c r="T12" s="239"/>
      <c r="U12" s="240"/>
      <c r="V12" s="241"/>
      <c r="W12" s="242"/>
      <c r="X12" s="241"/>
      <c r="Y12" s="239"/>
      <c r="Z12" s="241"/>
    </row>
    <row r="13" spans="1:26" ht="13.5" thickBot="1">
      <c r="A13" s="547" t="s">
        <v>56</v>
      </c>
      <c r="B13" s="543"/>
      <c r="C13" s="543"/>
      <c r="D13" s="543"/>
      <c r="E13" s="243">
        <f>IF(E12="Other",S8,S14)</f>
        <v>4</v>
      </c>
      <c r="F13" s="81"/>
      <c r="G13" s="81"/>
      <c r="H13" s="81"/>
      <c r="I13" s="81"/>
      <c r="J13" s="81"/>
      <c r="K13" s="81"/>
      <c r="L13" s="81"/>
      <c r="M13" s="81"/>
      <c r="N13" s="81"/>
      <c r="O13" s="81"/>
      <c r="P13" s="268"/>
      <c r="Q13" s="244"/>
      <c r="R13" s="558" t="s">
        <v>388</v>
      </c>
      <c r="S13" s="559"/>
      <c r="T13" s="559"/>
      <c r="U13" s="559"/>
      <c r="V13" s="559"/>
      <c r="W13" s="559"/>
      <c r="X13" s="559"/>
      <c r="Y13" s="559"/>
      <c r="Z13" s="560"/>
    </row>
    <row r="14" spans="1:26">
      <c r="A14" s="548" t="s">
        <v>57</v>
      </c>
      <c r="B14" s="545"/>
      <c r="C14" s="545"/>
      <c r="D14" s="545"/>
      <c r="E14" s="267">
        <v>300</v>
      </c>
      <c r="F14" s="81"/>
      <c r="G14" s="81"/>
      <c r="H14" s="81"/>
      <c r="I14" s="81"/>
      <c r="J14" s="81"/>
      <c r="K14" s="81"/>
      <c r="L14" s="81"/>
      <c r="M14" s="81"/>
      <c r="N14" s="81"/>
      <c r="O14" s="81"/>
      <c r="P14" s="268"/>
      <c r="Q14" s="245"/>
      <c r="R14" s="246" t="s">
        <v>50</v>
      </c>
      <c r="S14" s="157">
        <v>4</v>
      </c>
      <c r="T14" s="247"/>
      <c r="U14" s="248"/>
      <c r="V14" s="249"/>
      <c r="W14" s="247"/>
      <c r="X14" s="249"/>
      <c r="Y14" s="247"/>
      <c r="Z14" s="250"/>
    </row>
    <row r="15" spans="1:26" ht="13.5" thickBot="1">
      <c r="A15" s="574" t="s">
        <v>58</v>
      </c>
      <c r="B15" s="564"/>
      <c r="C15" s="564"/>
      <c r="D15" s="564"/>
      <c r="E15" s="251" t="str">
        <f>IF(E12="Other",'EV5.5.5 Alt. Matls Summary'!D25,IF(E12="Steel",IF(E13&lt;1.25,"FAIL","PASS"),IF(E12="Aluminium",IF(E13&lt;3.2,"FAIL","PASS"))))</f>
        <v>PASS</v>
      </c>
      <c r="F15" s="81"/>
      <c r="G15" s="81"/>
      <c r="H15" s="81"/>
      <c r="I15" s="81"/>
      <c r="J15" s="81"/>
      <c r="K15" s="81"/>
      <c r="L15" s="81"/>
      <c r="M15" s="81"/>
      <c r="N15" s="81"/>
      <c r="O15" s="81"/>
      <c r="P15" s="268"/>
      <c r="Q15" s="252"/>
      <c r="R15" s="229" t="s">
        <v>51</v>
      </c>
      <c r="S15" s="141">
        <v>4</v>
      </c>
      <c r="T15" s="253"/>
      <c r="U15" s="254"/>
      <c r="V15" s="255"/>
      <c r="W15" s="253"/>
      <c r="X15" s="255"/>
      <c r="Y15" s="253"/>
      <c r="Z15" s="256"/>
    </row>
    <row r="16" spans="1:26">
      <c r="A16" s="271"/>
      <c r="B16" s="81"/>
      <c r="C16" s="81"/>
      <c r="D16" s="81"/>
      <c r="E16" s="81"/>
      <c r="F16" s="81"/>
      <c r="G16" s="81"/>
      <c r="H16" s="81"/>
      <c r="I16" s="81"/>
      <c r="J16" s="81"/>
      <c r="K16" s="81"/>
      <c r="L16" s="81"/>
      <c r="M16" s="81"/>
      <c r="N16" s="81"/>
      <c r="O16" s="81"/>
      <c r="P16" s="268"/>
      <c r="Q16" s="257"/>
      <c r="R16" s="229" t="s">
        <v>53</v>
      </c>
      <c r="S16" s="141">
        <v>4</v>
      </c>
      <c r="T16" s="253"/>
      <c r="U16" s="254"/>
      <c r="V16" s="255"/>
      <c r="W16" s="253"/>
      <c r="X16" s="255"/>
      <c r="Y16" s="253"/>
      <c r="Z16" s="256"/>
    </row>
    <row r="17" spans="1:26" ht="13.5" thickBot="1">
      <c r="A17" s="271"/>
      <c r="B17" s="81" t="s">
        <v>59</v>
      </c>
      <c r="C17" s="81"/>
      <c r="D17" s="81"/>
      <c r="E17" s="81"/>
      <c r="F17" s="81"/>
      <c r="G17" s="81"/>
      <c r="H17" s="81"/>
      <c r="I17" s="81"/>
      <c r="J17" s="81"/>
      <c r="K17" s="81"/>
      <c r="L17" s="81"/>
      <c r="M17" s="81"/>
      <c r="N17" s="81"/>
      <c r="O17" s="81"/>
      <c r="P17" s="268"/>
      <c r="Q17" s="258"/>
      <c r="R17" s="259" t="s">
        <v>54</v>
      </c>
      <c r="S17" s="142"/>
      <c r="T17" s="260"/>
      <c r="U17" s="261"/>
      <c r="V17" s="262"/>
      <c r="W17" s="260"/>
      <c r="X17" s="262"/>
      <c r="Y17" s="260"/>
      <c r="Z17" s="263"/>
    </row>
    <row r="18" spans="1:26" ht="13.5" thickBot="1">
      <c r="A18" s="271"/>
      <c r="B18" s="81" t="s">
        <v>60</v>
      </c>
      <c r="C18" s="81"/>
      <c r="D18" s="81"/>
      <c r="E18" s="81"/>
      <c r="F18" s="81"/>
      <c r="G18" s="81"/>
      <c r="H18" s="81"/>
      <c r="I18" s="81"/>
      <c r="J18" s="81"/>
      <c r="K18" s="81"/>
      <c r="L18" s="81"/>
      <c r="M18" s="81"/>
      <c r="N18" s="81"/>
      <c r="O18" s="81"/>
      <c r="P18" s="268"/>
      <c r="Q18" s="174"/>
      <c r="R18" s="174"/>
      <c r="S18" s="174"/>
      <c r="T18" s="174"/>
      <c r="U18" s="174"/>
      <c r="V18" s="174"/>
      <c r="W18" s="174"/>
      <c r="X18" s="174"/>
      <c r="Y18" s="174"/>
      <c r="Z18" s="174"/>
    </row>
    <row r="19" spans="1:26" ht="12.75" customHeight="1">
      <c r="A19" s="271"/>
      <c r="B19" s="81"/>
      <c r="C19" s="81"/>
      <c r="D19" s="81"/>
      <c r="E19" s="81"/>
      <c r="F19" s="81"/>
      <c r="G19" s="81"/>
      <c r="H19" s="81"/>
      <c r="I19" s="81"/>
      <c r="J19" s="81"/>
      <c r="K19" s="81"/>
      <c r="L19" s="81"/>
      <c r="M19" s="81"/>
      <c r="N19" s="81"/>
      <c r="O19" s="81"/>
      <c r="P19" s="81"/>
      <c r="Q19" s="534" t="s">
        <v>61</v>
      </c>
      <c r="R19" s="535"/>
      <c r="S19" s="535"/>
      <c r="T19" s="535"/>
      <c r="U19" s="535"/>
      <c r="V19" s="535"/>
      <c r="W19" s="535"/>
      <c r="X19" s="535"/>
      <c r="Y19" s="535"/>
      <c r="Z19" s="536"/>
    </row>
    <row r="20" spans="1:26" ht="13.5" customHeight="1" thickBot="1">
      <c r="A20" s="271"/>
      <c r="B20" s="81"/>
      <c r="C20" s="81"/>
      <c r="D20" s="81"/>
      <c r="E20" s="81"/>
      <c r="F20" s="81"/>
      <c r="G20" s="81"/>
      <c r="H20" s="81"/>
      <c r="I20" s="81"/>
      <c r="J20" s="81"/>
      <c r="K20" s="81"/>
      <c r="L20" s="81"/>
      <c r="M20" s="81"/>
      <c r="N20" s="81"/>
      <c r="O20" s="81"/>
      <c r="P20" s="81"/>
      <c r="Q20" s="537"/>
      <c r="R20" s="538"/>
      <c r="S20" s="538"/>
      <c r="T20" s="538"/>
      <c r="U20" s="538"/>
      <c r="V20" s="538"/>
      <c r="W20" s="538"/>
      <c r="X20" s="538"/>
      <c r="Y20" s="538"/>
      <c r="Z20" s="539"/>
    </row>
    <row r="21" spans="1:26" ht="26.25" thickBot="1">
      <c r="A21" s="271"/>
      <c r="B21" s="81"/>
      <c r="C21" s="81"/>
      <c r="D21" s="81"/>
      <c r="E21" s="81"/>
      <c r="F21" s="81"/>
      <c r="G21" s="81"/>
      <c r="H21" s="81"/>
      <c r="I21" s="81"/>
      <c r="J21" s="81"/>
      <c r="K21" s="81"/>
      <c r="L21" s="81"/>
      <c r="M21" s="81"/>
      <c r="N21" s="81"/>
      <c r="O21" s="81"/>
      <c r="P21" s="268"/>
      <c r="Q21" s="528"/>
      <c r="R21" s="528"/>
      <c r="S21" s="528"/>
      <c r="T21" s="528"/>
      <c r="U21" s="529"/>
      <c r="V21" s="264" t="s">
        <v>62</v>
      </c>
      <c r="W21" s="81"/>
      <c r="X21" s="81"/>
      <c r="Y21" s="81"/>
      <c r="Z21" s="136"/>
    </row>
    <row r="22" spans="1:26">
      <c r="A22" s="271"/>
      <c r="B22" s="81"/>
      <c r="C22" s="81"/>
      <c r="D22" s="81"/>
      <c r="E22" s="81"/>
      <c r="F22" s="81"/>
      <c r="G22" s="81"/>
      <c r="H22" s="81"/>
      <c r="I22" s="81"/>
      <c r="J22" s="81"/>
      <c r="K22" s="81"/>
      <c r="L22" s="81"/>
      <c r="M22" s="81"/>
      <c r="N22" s="81"/>
      <c r="O22" s="81"/>
      <c r="P22" s="268"/>
      <c r="Q22" s="530" t="s">
        <v>63</v>
      </c>
      <c r="R22" s="531"/>
      <c r="S22" s="531"/>
      <c r="T22" s="531"/>
      <c r="U22" s="531"/>
      <c r="V22" s="273" t="s">
        <v>37</v>
      </c>
      <c r="W22" s="81"/>
      <c r="X22" s="81"/>
      <c r="Y22" s="81"/>
      <c r="Z22" s="136"/>
    </row>
    <row r="23" spans="1:26" ht="13.5" thickBot="1">
      <c r="A23" s="271"/>
      <c r="B23" s="81"/>
      <c r="C23" s="81"/>
      <c r="D23" s="81"/>
      <c r="E23" s="81"/>
      <c r="F23" s="81"/>
      <c r="G23" s="81"/>
      <c r="H23" s="81"/>
      <c r="I23" s="81"/>
      <c r="J23" s="81"/>
      <c r="K23" s="81"/>
      <c r="L23" s="81"/>
      <c r="M23" s="81"/>
      <c r="N23" s="81"/>
      <c r="O23" s="81"/>
      <c r="P23" s="268"/>
      <c r="Q23" s="532" t="s">
        <v>64</v>
      </c>
      <c r="R23" s="533"/>
      <c r="S23" s="533"/>
      <c r="T23" s="533"/>
      <c r="U23" s="533"/>
      <c r="V23" s="274" t="s">
        <v>37</v>
      </c>
      <c r="W23" s="81"/>
      <c r="X23" s="81"/>
      <c r="Y23" s="81"/>
      <c r="Z23" s="136"/>
    </row>
    <row r="24" spans="1:26">
      <c r="A24" s="271"/>
      <c r="B24" s="81"/>
      <c r="C24" s="81"/>
      <c r="D24" s="81"/>
      <c r="E24" s="81"/>
      <c r="F24" s="81"/>
      <c r="G24" s="81"/>
      <c r="H24" s="81"/>
      <c r="I24" s="81"/>
      <c r="J24" s="81"/>
      <c r="K24" s="81"/>
      <c r="L24" s="81"/>
      <c r="M24" s="81"/>
      <c r="N24" s="81"/>
      <c r="O24" s="81"/>
      <c r="P24" s="268"/>
      <c r="Q24" s="81"/>
      <c r="R24" s="81"/>
      <c r="S24" s="81"/>
      <c r="T24" s="81"/>
      <c r="U24" s="81"/>
      <c r="V24" s="81"/>
      <c r="W24" s="81"/>
      <c r="X24" s="81"/>
      <c r="Y24" s="81"/>
      <c r="Z24" s="136"/>
    </row>
    <row r="25" spans="1:26">
      <c r="A25" s="271"/>
      <c r="B25" s="81"/>
      <c r="C25" s="81"/>
      <c r="D25" s="81"/>
      <c r="E25" s="81"/>
      <c r="F25" s="81"/>
      <c r="G25" s="81"/>
      <c r="H25" s="81"/>
      <c r="I25" s="81"/>
      <c r="J25" s="81"/>
      <c r="K25" s="81"/>
      <c r="L25" s="81"/>
      <c r="M25" s="81"/>
      <c r="N25" s="81"/>
      <c r="O25" s="81"/>
      <c r="P25" s="268"/>
      <c r="Q25" s="81"/>
      <c r="R25" s="81" t="s">
        <v>65</v>
      </c>
      <c r="S25" s="81"/>
      <c r="T25" s="81"/>
      <c r="U25" s="81"/>
      <c r="V25" s="81"/>
      <c r="W25" s="81"/>
      <c r="X25" s="81"/>
      <c r="Y25" s="81"/>
      <c r="Z25" s="136"/>
    </row>
    <row r="26" spans="1:26">
      <c r="A26" s="271"/>
      <c r="B26" s="81"/>
      <c r="C26" s="81"/>
      <c r="D26" s="81"/>
      <c r="E26" s="81"/>
      <c r="F26" s="81"/>
      <c r="G26" s="81"/>
      <c r="H26" s="81"/>
      <c r="I26" s="81"/>
      <c r="J26" s="81"/>
      <c r="K26" s="81"/>
      <c r="L26" s="81"/>
      <c r="M26" s="81"/>
      <c r="N26" s="81"/>
      <c r="O26" s="81"/>
      <c r="P26" s="268"/>
      <c r="Q26" s="81"/>
      <c r="R26" s="81"/>
      <c r="S26" s="81"/>
      <c r="T26" s="81"/>
      <c r="U26" s="81"/>
      <c r="V26" s="81"/>
      <c r="W26" s="81"/>
      <c r="X26" s="81"/>
      <c r="Y26" s="81"/>
      <c r="Z26" s="136"/>
    </row>
    <row r="27" spans="1:26">
      <c r="A27" s="271"/>
      <c r="B27" s="81"/>
      <c r="C27" s="81"/>
      <c r="D27" s="81"/>
      <c r="E27" s="81"/>
      <c r="F27" s="81"/>
      <c r="G27" s="81"/>
      <c r="H27" s="81"/>
      <c r="I27" s="81"/>
      <c r="J27" s="81"/>
      <c r="K27" s="81"/>
      <c r="L27" s="81"/>
      <c r="M27" s="81"/>
      <c r="N27" s="81"/>
      <c r="O27" s="81"/>
      <c r="P27" s="268"/>
      <c r="Q27" s="81"/>
      <c r="R27" s="81" t="s">
        <v>352</v>
      </c>
      <c r="S27" s="81"/>
      <c r="T27" s="81"/>
      <c r="U27" s="81"/>
      <c r="V27" s="81"/>
      <c r="W27" s="81"/>
      <c r="X27" s="81"/>
      <c r="Y27" s="81"/>
      <c r="Z27" s="136"/>
    </row>
    <row r="28" spans="1:26">
      <c r="A28" s="271"/>
      <c r="B28" s="81"/>
      <c r="C28" s="81"/>
      <c r="D28" s="81"/>
      <c r="E28" s="81"/>
      <c r="F28" s="81"/>
      <c r="G28" s="81"/>
      <c r="H28" s="81"/>
      <c r="I28" s="81"/>
      <c r="J28" s="81"/>
      <c r="K28" s="81"/>
      <c r="L28" s="81"/>
      <c r="M28" s="81"/>
      <c r="N28" s="81"/>
      <c r="O28" s="81"/>
      <c r="P28" s="268"/>
      <c r="Q28" s="81"/>
      <c r="R28" s="81" t="s">
        <v>353</v>
      </c>
      <c r="S28" s="81"/>
      <c r="T28" s="81"/>
      <c r="U28" s="81"/>
      <c r="V28" s="81"/>
      <c r="W28" s="81"/>
      <c r="X28" s="81"/>
      <c r="Y28" s="81"/>
      <c r="Z28" s="136"/>
    </row>
    <row r="29" spans="1:26" ht="12.75" customHeight="1">
      <c r="A29" s="271"/>
      <c r="B29" s="81"/>
      <c r="C29" s="81"/>
      <c r="D29" s="81"/>
      <c r="E29" s="81"/>
      <c r="F29" s="81"/>
      <c r="G29" s="81"/>
      <c r="H29" s="81"/>
      <c r="I29" s="81"/>
      <c r="J29" s="81"/>
      <c r="K29" s="81"/>
      <c r="L29" s="81"/>
      <c r="M29" s="81"/>
      <c r="N29" s="81"/>
      <c r="O29" s="81"/>
      <c r="P29" s="268"/>
      <c r="Q29" s="81"/>
      <c r="R29" s="81"/>
      <c r="S29" s="81"/>
      <c r="T29" s="81"/>
      <c r="U29" s="81"/>
      <c r="V29" s="81"/>
      <c r="W29" s="81"/>
      <c r="X29" s="81"/>
      <c r="Y29" s="81"/>
      <c r="Z29" s="136"/>
    </row>
    <row r="30" spans="1:26" ht="12.75" customHeight="1">
      <c r="A30" s="271"/>
      <c r="B30" s="81"/>
      <c r="C30" s="81"/>
      <c r="D30" s="81"/>
      <c r="E30" s="81"/>
      <c r="F30" s="81"/>
      <c r="G30" s="81"/>
      <c r="H30" s="81"/>
      <c r="I30" s="81"/>
      <c r="J30" s="81"/>
      <c r="K30" s="81"/>
      <c r="L30" s="81"/>
      <c r="M30" s="81"/>
      <c r="N30" s="81"/>
      <c r="O30" s="81"/>
      <c r="P30" s="268"/>
      <c r="Q30" s="81"/>
      <c r="R30" s="81"/>
      <c r="S30" s="81"/>
      <c r="T30" s="81"/>
      <c r="U30" s="81"/>
      <c r="V30" s="81"/>
      <c r="W30" s="81"/>
      <c r="X30" s="81"/>
      <c r="Y30" s="81"/>
      <c r="Z30" s="136"/>
    </row>
    <row r="31" spans="1:26">
      <c r="A31" s="271"/>
      <c r="B31" s="81"/>
      <c r="C31" s="81"/>
      <c r="D31" s="81"/>
      <c r="E31" s="81"/>
      <c r="F31" s="81"/>
      <c r="G31" s="81"/>
      <c r="H31" s="81"/>
      <c r="I31" s="81"/>
      <c r="J31" s="81"/>
      <c r="K31" s="81"/>
      <c r="L31" s="81"/>
      <c r="M31" s="81"/>
      <c r="N31" s="81"/>
      <c r="O31" s="81"/>
      <c r="P31" s="268"/>
      <c r="Q31" s="81"/>
      <c r="R31" s="81"/>
      <c r="S31" s="81"/>
      <c r="T31" s="81"/>
      <c r="U31" s="81"/>
      <c r="V31" s="81"/>
      <c r="W31" s="81"/>
      <c r="X31" s="81"/>
      <c r="Y31" s="81"/>
      <c r="Z31" s="136"/>
    </row>
    <row r="32" spans="1:26">
      <c r="A32" s="271"/>
      <c r="B32" s="81"/>
      <c r="C32" s="81"/>
      <c r="D32" s="81"/>
      <c r="E32" s="81"/>
      <c r="F32" s="81"/>
      <c r="G32" s="81"/>
      <c r="H32" s="81"/>
      <c r="I32" s="81"/>
      <c r="J32" s="81"/>
      <c r="K32" s="81"/>
      <c r="L32" s="81"/>
      <c r="M32" s="81"/>
      <c r="N32" s="81"/>
      <c r="O32" s="81"/>
      <c r="P32" s="268"/>
      <c r="Q32" s="81"/>
      <c r="R32" s="81"/>
      <c r="S32" s="81"/>
      <c r="T32" s="81"/>
      <c r="U32" s="81"/>
      <c r="V32" s="81"/>
      <c r="W32" s="81"/>
      <c r="X32" s="81"/>
      <c r="Y32" s="81"/>
      <c r="Z32" s="136"/>
    </row>
    <row r="33" spans="1:26" ht="13.5" thickBot="1">
      <c r="A33" s="272"/>
      <c r="B33" s="269"/>
      <c r="C33" s="269"/>
      <c r="D33" s="269"/>
      <c r="E33" s="269"/>
      <c r="F33" s="269"/>
      <c r="G33" s="269"/>
      <c r="H33" s="269"/>
      <c r="I33" s="269"/>
      <c r="J33" s="269"/>
      <c r="K33" s="269"/>
      <c r="L33" s="269"/>
      <c r="M33" s="269"/>
      <c r="N33" s="269"/>
      <c r="O33" s="269"/>
      <c r="P33" s="270"/>
      <c r="Q33" s="81"/>
      <c r="R33" s="81"/>
      <c r="S33" s="81"/>
      <c r="T33" s="81"/>
      <c r="U33" s="81"/>
      <c r="V33" s="81"/>
      <c r="W33" s="81"/>
      <c r="X33" s="81"/>
      <c r="Y33" s="81"/>
      <c r="Z33" s="136"/>
    </row>
    <row r="34" spans="1:26">
      <c r="A34" s="566" t="s">
        <v>66</v>
      </c>
      <c r="B34" s="526"/>
      <c r="C34" s="526"/>
      <c r="D34" s="526"/>
      <c r="E34" s="526"/>
      <c r="F34" s="526"/>
      <c r="G34" s="526"/>
      <c r="H34" s="526"/>
      <c r="I34" s="526"/>
      <c r="J34" s="526"/>
      <c r="K34" s="526"/>
      <c r="L34" s="526"/>
      <c r="M34" s="526"/>
      <c r="N34" s="526"/>
      <c r="O34" s="526"/>
      <c r="P34" s="526"/>
      <c r="Q34" s="135"/>
      <c r="R34" s="81"/>
      <c r="S34" s="81"/>
      <c r="T34" s="81"/>
      <c r="U34" s="81"/>
      <c r="V34" s="81"/>
      <c r="W34" s="81"/>
      <c r="X34" s="81"/>
      <c r="Y34" s="81"/>
      <c r="Z34" s="136"/>
    </row>
    <row r="35" spans="1:26" ht="13.5" thickBot="1">
      <c r="A35" s="567"/>
      <c r="B35" s="568"/>
      <c r="C35" s="568"/>
      <c r="D35" s="568"/>
      <c r="E35" s="568"/>
      <c r="F35" s="568"/>
      <c r="G35" s="568"/>
      <c r="H35" s="568"/>
      <c r="I35" s="568"/>
      <c r="J35" s="568"/>
      <c r="K35" s="568"/>
      <c r="L35" s="568"/>
      <c r="M35" s="568"/>
      <c r="N35" s="568"/>
      <c r="O35" s="568"/>
      <c r="P35" s="568"/>
      <c r="Q35" s="135"/>
      <c r="R35" s="81"/>
      <c r="S35" s="81"/>
      <c r="T35" s="81"/>
      <c r="U35" s="81"/>
      <c r="V35" s="81"/>
      <c r="W35" s="81"/>
      <c r="X35" s="81"/>
      <c r="Y35" s="81"/>
      <c r="Z35" s="136"/>
    </row>
    <row r="36" spans="1:26">
      <c r="A36" s="540" t="s">
        <v>439</v>
      </c>
      <c r="B36" s="541"/>
      <c r="C36" s="541"/>
      <c r="D36" s="541"/>
      <c r="E36" s="266" t="s">
        <v>89</v>
      </c>
      <c r="F36" s="81"/>
      <c r="G36" s="81"/>
      <c r="H36" s="81"/>
      <c r="I36" s="81"/>
      <c r="J36" s="81"/>
      <c r="K36" s="81"/>
      <c r="L36" s="81"/>
      <c r="M36" s="81"/>
      <c r="N36" s="81"/>
      <c r="O36" s="81"/>
      <c r="P36" s="81"/>
      <c r="Q36" s="135"/>
      <c r="R36" s="81"/>
      <c r="S36" s="81"/>
      <c r="T36" s="81"/>
      <c r="U36" s="81"/>
      <c r="V36" s="81"/>
      <c r="W36" s="81"/>
      <c r="X36" s="81"/>
      <c r="Y36" s="81"/>
      <c r="Z36" s="136"/>
    </row>
    <row r="37" spans="1:26">
      <c r="A37" s="542" t="s">
        <v>67</v>
      </c>
      <c r="B37" s="543"/>
      <c r="C37" s="543"/>
      <c r="D37" s="543"/>
      <c r="E37" s="243">
        <f>IF(E36="Other",S9,S15)</f>
        <v>4</v>
      </c>
      <c r="F37" s="81"/>
      <c r="G37" s="81"/>
      <c r="H37" s="81"/>
      <c r="I37" s="81"/>
      <c r="J37" s="81"/>
      <c r="K37" s="81"/>
      <c r="L37" s="81"/>
      <c r="M37" s="81"/>
      <c r="N37" s="81"/>
      <c r="O37" s="81"/>
      <c r="P37" s="81"/>
      <c r="Q37" s="135"/>
      <c r="R37" s="81"/>
      <c r="S37" s="81"/>
      <c r="T37" s="81"/>
      <c r="U37" s="81"/>
      <c r="V37" s="81"/>
      <c r="W37" s="81"/>
      <c r="X37" s="81"/>
      <c r="Y37" s="81"/>
      <c r="Z37" s="136"/>
    </row>
    <row r="38" spans="1:26">
      <c r="A38" s="544" t="s">
        <v>68</v>
      </c>
      <c r="B38" s="545"/>
      <c r="C38" s="545"/>
      <c r="D38" s="545"/>
      <c r="E38" s="267"/>
      <c r="F38" s="81"/>
      <c r="G38" s="81"/>
      <c r="H38" s="81"/>
      <c r="I38" s="81"/>
      <c r="J38" s="81"/>
      <c r="K38" s="81"/>
      <c r="L38" s="81"/>
      <c r="M38" s="81"/>
      <c r="N38" s="81"/>
      <c r="O38" s="81"/>
      <c r="P38" s="81"/>
      <c r="Q38" s="135"/>
      <c r="R38" s="81"/>
      <c r="S38" s="81"/>
      <c r="T38" s="81"/>
      <c r="U38" s="81"/>
      <c r="V38" s="81"/>
      <c r="W38" s="81"/>
      <c r="X38" s="81"/>
      <c r="Y38" s="81"/>
      <c r="Z38" s="136"/>
    </row>
    <row r="39" spans="1:26" ht="13.5" thickBot="1">
      <c r="A39" s="571" t="s">
        <v>58</v>
      </c>
      <c r="B39" s="572"/>
      <c r="C39" s="572"/>
      <c r="D39" s="573"/>
      <c r="E39" s="251" t="str">
        <f>IF(E36="Other",'EV5.5.5 Alt. Matls Summary'!F25,IF(E36="Steel",IF(E37&lt;0.9,"FAIL","PASS"),IF(E36="Aluminium",IF(E37&lt;2.3,"FAIL","PASS"))))</f>
        <v>PASS</v>
      </c>
      <c r="F39" s="81"/>
      <c r="G39" s="81"/>
      <c r="H39" s="81"/>
      <c r="I39" s="81"/>
      <c r="J39" s="81"/>
      <c r="K39" s="81"/>
      <c r="L39" s="81"/>
      <c r="M39" s="81"/>
      <c r="N39" s="81"/>
      <c r="O39" s="81"/>
      <c r="P39" s="81"/>
      <c r="Q39" s="135"/>
      <c r="R39" s="81"/>
      <c r="S39" s="81"/>
      <c r="T39" s="81"/>
      <c r="U39" s="81"/>
      <c r="V39" s="81"/>
      <c r="W39" s="81"/>
      <c r="X39" s="81"/>
      <c r="Y39" s="81"/>
      <c r="Z39" s="136"/>
    </row>
    <row r="40" spans="1:26">
      <c r="A40" s="135"/>
      <c r="B40" s="81"/>
      <c r="C40" s="81"/>
      <c r="D40" s="81"/>
      <c r="E40" s="81"/>
      <c r="F40" s="81"/>
      <c r="G40" s="81"/>
      <c r="H40" s="81"/>
      <c r="I40" s="81"/>
      <c r="J40" s="81"/>
      <c r="K40" s="81"/>
      <c r="L40" s="81"/>
      <c r="M40" s="81"/>
      <c r="N40" s="81"/>
      <c r="O40" s="81"/>
      <c r="P40" s="81"/>
      <c r="Q40" s="135"/>
      <c r="R40" s="81"/>
      <c r="S40" s="81"/>
      <c r="T40" s="81"/>
      <c r="U40" s="81"/>
      <c r="V40" s="81"/>
      <c r="W40" s="81"/>
      <c r="X40" s="81"/>
      <c r="Y40" s="81"/>
      <c r="Z40" s="136"/>
    </row>
    <row r="41" spans="1:26" ht="13.5" thickBot="1">
      <c r="A41" s="135"/>
      <c r="B41" s="81" t="s">
        <v>69</v>
      </c>
      <c r="C41" s="81"/>
      <c r="D41" s="81"/>
      <c r="E41" s="81"/>
      <c r="F41" s="81"/>
      <c r="G41" s="81"/>
      <c r="H41" s="81"/>
      <c r="I41" s="81"/>
      <c r="J41" s="81"/>
      <c r="K41" s="81"/>
      <c r="L41" s="81"/>
      <c r="M41" s="81"/>
      <c r="N41" s="81"/>
      <c r="O41" s="81"/>
      <c r="P41" s="81"/>
      <c r="Q41" s="135"/>
      <c r="R41" s="81"/>
      <c r="S41" s="81"/>
      <c r="T41" s="81"/>
      <c r="U41" s="81"/>
      <c r="V41" s="81"/>
      <c r="W41" s="81"/>
      <c r="X41" s="81"/>
      <c r="Y41" s="81"/>
      <c r="Z41" s="136"/>
    </row>
    <row r="42" spans="1:26" ht="12.75" customHeight="1">
      <c r="A42" s="135"/>
      <c r="B42" s="81" t="s">
        <v>70</v>
      </c>
      <c r="C42" s="81"/>
      <c r="D42" s="81"/>
      <c r="E42" s="81"/>
      <c r="F42" s="81"/>
      <c r="G42" s="81"/>
      <c r="H42" s="81"/>
      <c r="I42" s="81"/>
      <c r="J42" s="81"/>
      <c r="K42" s="81"/>
      <c r="L42" s="81"/>
      <c r="M42" s="81"/>
      <c r="N42" s="81"/>
      <c r="O42" s="81"/>
      <c r="P42" s="81"/>
      <c r="Q42" s="522" t="s">
        <v>354</v>
      </c>
      <c r="R42" s="523"/>
      <c r="S42" s="523"/>
      <c r="T42" s="523"/>
      <c r="U42" s="523"/>
      <c r="V42" s="523"/>
      <c r="W42" s="523"/>
      <c r="X42" s="523"/>
      <c r="Y42" s="523"/>
      <c r="Z42" s="524"/>
    </row>
    <row r="43" spans="1:26" ht="13.5" customHeight="1" thickBot="1">
      <c r="A43" s="135"/>
      <c r="B43" s="81"/>
      <c r="C43" s="81"/>
      <c r="D43" s="81"/>
      <c r="E43" s="81"/>
      <c r="F43" s="81"/>
      <c r="G43" s="81"/>
      <c r="H43" s="81"/>
      <c r="I43" s="81"/>
      <c r="J43" s="81"/>
      <c r="K43" s="81"/>
      <c r="L43" s="81"/>
      <c r="M43" s="81"/>
      <c r="N43" s="81"/>
      <c r="O43" s="81"/>
      <c r="P43" s="81"/>
      <c r="Q43" s="525"/>
      <c r="R43" s="526"/>
      <c r="S43" s="526"/>
      <c r="T43" s="526"/>
      <c r="U43" s="526"/>
      <c r="V43" s="526"/>
      <c r="W43" s="526"/>
      <c r="X43" s="526"/>
      <c r="Y43" s="526"/>
      <c r="Z43" s="527"/>
    </row>
    <row r="44" spans="1:26">
      <c r="A44" s="135"/>
      <c r="B44" s="81"/>
      <c r="C44" s="81"/>
      <c r="D44" s="81"/>
      <c r="E44" s="81"/>
      <c r="F44" s="81"/>
      <c r="G44" s="81"/>
      <c r="H44" s="81"/>
      <c r="I44" s="81"/>
      <c r="J44" s="81"/>
      <c r="K44" s="81"/>
      <c r="L44" s="81"/>
      <c r="M44" s="81"/>
      <c r="N44" s="81"/>
      <c r="O44" s="81"/>
      <c r="P44" s="81"/>
      <c r="Q44" s="275"/>
      <c r="R44" s="276"/>
      <c r="S44" s="276"/>
      <c r="T44" s="276"/>
      <c r="U44" s="276"/>
      <c r="V44" s="276"/>
      <c r="W44" s="276"/>
      <c r="X44" s="276"/>
      <c r="Y44" s="276"/>
      <c r="Z44" s="277"/>
    </row>
    <row r="45" spans="1:26">
      <c r="A45" s="135"/>
      <c r="B45" s="81"/>
      <c r="C45" s="81"/>
      <c r="D45" s="81"/>
      <c r="E45" s="81"/>
      <c r="F45" s="81"/>
      <c r="G45" s="81"/>
      <c r="H45" s="81"/>
      <c r="I45" s="81"/>
      <c r="J45" s="81"/>
      <c r="K45" s="81"/>
      <c r="L45" s="81"/>
      <c r="M45" s="81"/>
      <c r="N45" s="81"/>
      <c r="O45" s="81"/>
      <c r="P45" s="81"/>
      <c r="Q45" s="271"/>
      <c r="R45" s="101" t="s">
        <v>363</v>
      </c>
      <c r="S45" s="81"/>
      <c r="T45" s="81"/>
      <c r="U45" s="81"/>
      <c r="V45" s="81"/>
      <c r="W45" s="81"/>
      <c r="X45" s="81"/>
      <c r="Y45" s="81"/>
      <c r="Z45" s="268"/>
    </row>
    <row r="46" spans="1:26">
      <c r="A46" s="135"/>
      <c r="B46" s="81"/>
      <c r="C46" s="81"/>
      <c r="D46" s="81"/>
      <c r="E46" s="81"/>
      <c r="F46" s="81"/>
      <c r="G46" s="81"/>
      <c r="H46" s="81"/>
      <c r="I46" s="81"/>
      <c r="J46" s="81"/>
      <c r="K46" s="81"/>
      <c r="L46" s="81"/>
      <c r="M46" s="81"/>
      <c r="N46" s="81"/>
      <c r="O46" s="81"/>
      <c r="P46" s="81"/>
      <c r="Q46" s="271"/>
      <c r="R46" s="81"/>
      <c r="S46" s="81"/>
      <c r="T46" s="81"/>
      <c r="U46" s="81"/>
      <c r="V46" s="81"/>
      <c r="W46" s="81"/>
      <c r="X46" s="81"/>
      <c r="Y46" s="81"/>
      <c r="Z46" s="268"/>
    </row>
    <row r="47" spans="1:26">
      <c r="A47" s="135"/>
      <c r="B47" s="81"/>
      <c r="C47" s="81"/>
      <c r="D47" s="81"/>
      <c r="E47" s="81"/>
      <c r="F47" s="81"/>
      <c r="G47" s="81"/>
      <c r="H47" s="81"/>
      <c r="I47" s="81"/>
      <c r="J47" s="81"/>
      <c r="K47" s="81"/>
      <c r="L47" s="81"/>
      <c r="M47" s="81"/>
      <c r="N47" s="81"/>
      <c r="O47" s="81"/>
      <c r="P47" s="81"/>
      <c r="Q47" s="271"/>
      <c r="R47" s="81"/>
      <c r="S47" s="81"/>
      <c r="T47" s="81"/>
      <c r="U47" s="81"/>
      <c r="V47" s="81"/>
      <c r="W47" s="81"/>
      <c r="X47" s="81"/>
      <c r="Y47" s="81"/>
      <c r="Z47" s="268"/>
    </row>
    <row r="48" spans="1:26">
      <c r="A48" s="135"/>
      <c r="B48" s="81"/>
      <c r="C48" s="81"/>
      <c r="D48" s="81"/>
      <c r="E48" s="81"/>
      <c r="F48" s="81"/>
      <c r="G48" s="81"/>
      <c r="H48" s="81"/>
      <c r="I48" s="81"/>
      <c r="J48" s="81"/>
      <c r="K48" s="81"/>
      <c r="L48" s="81"/>
      <c r="M48" s="81"/>
      <c r="N48" s="81"/>
      <c r="O48" s="81"/>
      <c r="P48" s="81"/>
      <c r="Q48" s="271"/>
      <c r="R48" s="81"/>
      <c r="S48" s="81"/>
      <c r="T48" s="81"/>
      <c r="U48" s="81"/>
      <c r="V48" s="81"/>
      <c r="W48" s="81"/>
      <c r="X48" s="81"/>
      <c r="Y48" s="81"/>
      <c r="Z48" s="268"/>
    </row>
    <row r="49" spans="1:26">
      <c r="A49" s="135"/>
      <c r="B49" s="81"/>
      <c r="C49" s="81"/>
      <c r="D49" s="81"/>
      <c r="E49" s="81"/>
      <c r="F49" s="81"/>
      <c r="G49" s="81"/>
      <c r="H49" s="81"/>
      <c r="I49" s="81"/>
      <c r="J49" s="81"/>
      <c r="K49" s="81"/>
      <c r="L49" s="81"/>
      <c r="M49" s="81"/>
      <c r="N49" s="81"/>
      <c r="O49" s="81"/>
      <c r="P49" s="81"/>
      <c r="Q49" s="271"/>
      <c r="R49" s="81"/>
      <c r="S49" s="81"/>
      <c r="T49" s="81"/>
      <c r="U49" s="81"/>
      <c r="V49" s="81"/>
      <c r="W49" s="81"/>
      <c r="X49" s="81"/>
      <c r="Y49" s="81"/>
      <c r="Z49" s="268"/>
    </row>
    <row r="50" spans="1:26">
      <c r="A50" s="135"/>
      <c r="B50" s="81"/>
      <c r="C50" s="81"/>
      <c r="D50" s="81"/>
      <c r="E50" s="81"/>
      <c r="F50" s="81"/>
      <c r="G50" s="81"/>
      <c r="H50" s="81"/>
      <c r="I50" s="81"/>
      <c r="J50" s="81"/>
      <c r="K50" s="81"/>
      <c r="L50" s="81"/>
      <c r="M50" s="81"/>
      <c r="N50" s="81"/>
      <c r="O50" s="81"/>
      <c r="P50" s="81"/>
      <c r="Q50" s="271"/>
      <c r="R50" s="81"/>
      <c r="S50" s="81"/>
      <c r="T50" s="81"/>
      <c r="U50" s="81"/>
      <c r="V50" s="81"/>
      <c r="W50" s="81"/>
      <c r="X50" s="81"/>
      <c r="Y50" s="81"/>
      <c r="Z50" s="268"/>
    </row>
    <row r="51" spans="1:26">
      <c r="A51" s="135"/>
      <c r="B51" s="81"/>
      <c r="C51" s="81"/>
      <c r="D51" s="81"/>
      <c r="E51" s="81"/>
      <c r="F51" s="81"/>
      <c r="G51" s="81"/>
      <c r="H51" s="81"/>
      <c r="I51" s="81"/>
      <c r="J51" s="81"/>
      <c r="K51" s="81"/>
      <c r="L51" s="81"/>
      <c r="M51" s="81"/>
      <c r="N51" s="81"/>
      <c r="O51" s="81"/>
      <c r="P51" s="81"/>
      <c r="Q51" s="271"/>
      <c r="R51" s="81"/>
      <c r="S51" s="81"/>
      <c r="T51" s="81"/>
      <c r="U51" s="81"/>
      <c r="V51" s="81"/>
      <c r="W51" s="81"/>
      <c r="X51" s="81"/>
      <c r="Y51" s="81"/>
      <c r="Z51" s="268"/>
    </row>
    <row r="52" spans="1:26">
      <c r="A52" s="135"/>
      <c r="B52" s="81"/>
      <c r="C52" s="81"/>
      <c r="D52" s="81"/>
      <c r="E52" s="81"/>
      <c r="F52" s="81"/>
      <c r="G52" s="81"/>
      <c r="H52" s="81"/>
      <c r="I52" s="81"/>
      <c r="J52" s="81"/>
      <c r="K52" s="81"/>
      <c r="L52" s="81"/>
      <c r="M52" s="81"/>
      <c r="N52" s="81"/>
      <c r="O52" s="81"/>
      <c r="P52" s="81"/>
      <c r="Q52" s="271"/>
      <c r="R52" s="81"/>
      <c r="S52" s="81"/>
      <c r="T52" s="81"/>
      <c r="U52" s="81"/>
      <c r="V52" s="81"/>
      <c r="W52" s="81"/>
      <c r="X52" s="81"/>
      <c r="Y52" s="81"/>
      <c r="Z52" s="268"/>
    </row>
    <row r="53" spans="1:26">
      <c r="A53" s="135"/>
      <c r="B53" s="81"/>
      <c r="C53" s="81"/>
      <c r="D53" s="81"/>
      <c r="E53" s="81"/>
      <c r="F53" s="81"/>
      <c r="G53" s="81"/>
      <c r="H53" s="81"/>
      <c r="I53" s="81"/>
      <c r="J53" s="81"/>
      <c r="K53" s="81"/>
      <c r="L53" s="81"/>
      <c r="M53" s="81"/>
      <c r="N53" s="81"/>
      <c r="O53" s="81"/>
      <c r="P53" s="81"/>
      <c r="Q53" s="271"/>
      <c r="R53" s="81"/>
      <c r="S53" s="81"/>
      <c r="T53" s="81"/>
      <c r="U53" s="81"/>
      <c r="V53" s="81"/>
      <c r="W53" s="81"/>
      <c r="X53" s="81"/>
      <c r="Y53" s="81"/>
      <c r="Z53" s="268"/>
    </row>
    <row r="54" spans="1:26">
      <c r="A54" s="135"/>
      <c r="B54" s="81"/>
      <c r="C54" s="81"/>
      <c r="D54" s="81"/>
      <c r="E54" s="81"/>
      <c r="F54" s="81"/>
      <c r="G54" s="81"/>
      <c r="H54" s="81"/>
      <c r="I54" s="81"/>
      <c r="J54" s="81"/>
      <c r="K54" s="81"/>
      <c r="L54" s="81"/>
      <c r="M54" s="81"/>
      <c r="N54" s="81"/>
      <c r="O54" s="81"/>
      <c r="P54" s="81"/>
      <c r="Q54" s="271"/>
      <c r="R54" s="81"/>
      <c r="S54" s="81"/>
      <c r="T54" s="81"/>
      <c r="U54" s="81"/>
      <c r="V54" s="81"/>
      <c r="W54" s="81"/>
      <c r="X54" s="81"/>
      <c r="Y54" s="81"/>
      <c r="Z54" s="268"/>
    </row>
    <row r="55" spans="1:26">
      <c r="A55" s="135"/>
      <c r="B55" s="81"/>
      <c r="C55" s="81"/>
      <c r="D55" s="81"/>
      <c r="E55" s="81"/>
      <c r="F55" s="81"/>
      <c r="G55" s="81"/>
      <c r="H55" s="81"/>
      <c r="I55" s="81"/>
      <c r="J55" s="81"/>
      <c r="K55" s="81"/>
      <c r="L55" s="81"/>
      <c r="M55" s="81"/>
      <c r="N55" s="81"/>
      <c r="O55" s="81"/>
      <c r="P55" s="81"/>
      <c r="Q55" s="271"/>
      <c r="R55" s="81"/>
      <c r="S55" s="81"/>
      <c r="T55" s="81"/>
      <c r="U55" s="81"/>
      <c r="V55" s="81"/>
      <c r="W55" s="81"/>
      <c r="X55" s="81"/>
      <c r="Y55" s="81"/>
      <c r="Z55" s="268"/>
    </row>
    <row r="56" spans="1:26">
      <c r="A56" s="135"/>
      <c r="B56" s="81"/>
      <c r="C56" s="81"/>
      <c r="D56" s="81"/>
      <c r="E56" s="81"/>
      <c r="F56" s="81"/>
      <c r="G56" s="81"/>
      <c r="H56" s="81"/>
      <c r="I56" s="81"/>
      <c r="J56" s="81"/>
      <c r="K56" s="81"/>
      <c r="L56" s="81"/>
      <c r="M56" s="81"/>
      <c r="N56" s="81"/>
      <c r="O56" s="81"/>
      <c r="P56" s="81"/>
      <c r="Q56" s="271"/>
      <c r="R56" s="81"/>
      <c r="S56" s="81"/>
      <c r="T56" s="81"/>
      <c r="U56" s="81"/>
      <c r="V56" s="81"/>
      <c r="W56" s="81"/>
      <c r="X56" s="81"/>
      <c r="Y56" s="81"/>
      <c r="Z56" s="268"/>
    </row>
    <row r="57" spans="1:26" ht="13.5" thickBot="1">
      <c r="A57" s="135"/>
      <c r="B57" s="81"/>
      <c r="C57" s="81"/>
      <c r="D57" s="81"/>
      <c r="E57" s="81"/>
      <c r="F57" s="81"/>
      <c r="G57" s="81"/>
      <c r="H57" s="81"/>
      <c r="I57" s="81"/>
      <c r="J57" s="81"/>
      <c r="K57" s="81"/>
      <c r="L57" s="81"/>
      <c r="M57" s="81"/>
      <c r="N57" s="81"/>
      <c r="O57" s="81"/>
      <c r="P57" s="81"/>
      <c r="Q57" s="272"/>
      <c r="R57" s="269"/>
      <c r="S57" s="269"/>
      <c r="T57" s="269"/>
      <c r="U57" s="269"/>
      <c r="V57" s="269"/>
      <c r="W57" s="269"/>
      <c r="X57" s="269"/>
      <c r="Y57" s="269"/>
      <c r="Z57" s="270"/>
    </row>
    <row r="58" spans="1:26" ht="12.75" customHeight="1">
      <c r="A58" s="569" t="str">
        <f>IF(E38=E62,"Internal Wall","Internal Wall - Must have the same height as external wall!")</f>
        <v>Internal Wall</v>
      </c>
      <c r="B58" s="570"/>
      <c r="C58" s="570"/>
      <c r="D58" s="570"/>
      <c r="E58" s="570"/>
      <c r="F58" s="570"/>
      <c r="G58" s="570"/>
      <c r="H58" s="570"/>
      <c r="I58" s="570"/>
      <c r="J58" s="570"/>
      <c r="K58" s="570"/>
      <c r="L58" s="570"/>
      <c r="M58" s="570"/>
      <c r="N58" s="570"/>
      <c r="O58" s="570"/>
      <c r="P58" s="570"/>
    </row>
    <row r="59" spans="1:26" ht="12.75" customHeight="1" thickBot="1">
      <c r="A59" s="567"/>
      <c r="B59" s="568"/>
      <c r="C59" s="568"/>
      <c r="D59" s="568"/>
      <c r="E59" s="568"/>
      <c r="F59" s="568"/>
      <c r="G59" s="568"/>
      <c r="H59" s="568"/>
      <c r="I59" s="568"/>
      <c r="J59" s="568"/>
      <c r="K59" s="568"/>
      <c r="L59" s="568"/>
      <c r="M59" s="568"/>
      <c r="N59" s="568"/>
      <c r="O59" s="568"/>
      <c r="P59" s="568"/>
    </row>
    <row r="60" spans="1:26">
      <c r="A60" s="540" t="s">
        <v>439</v>
      </c>
      <c r="B60" s="541"/>
      <c r="C60" s="541"/>
      <c r="D60" s="541"/>
      <c r="E60" s="266" t="s">
        <v>89</v>
      </c>
      <c r="F60" s="81"/>
      <c r="G60" s="81"/>
      <c r="H60" s="81"/>
      <c r="I60" s="81"/>
      <c r="J60" s="81"/>
      <c r="K60" s="81"/>
      <c r="L60" s="81"/>
      <c r="M60" s="81"/>
      <c r="N60" s="81"/>
      <c r="O60" s="81"/>
      <c r="P60" s="81"/>
    </row>
    <row r="61" spans="1:26">
      <c r="A61" s="544" t="s">
        <v>67</v>
      </c>
      <c r="B61" s="545"/>
      <c r="C61" s="545"/>
      <c r="D61" s="545"/>
      <c r="E61" s="265">
        <f>IF(E60="Other",S10,S16)</f>
        <v>4</v>
      </c>
      <c r="F61" s="81"/>
      <c r="G61" s="81"/>
      <c r="H61" s="81"/>
      <c r="I61" s="81"/>
      <c r="J61" s="81"/>
      <c r="K61" s="81"/>
      <c r="L61" s="81"/>
      <c r="M61" s="81"/>
      <c r="N61" s="81"/>
      <c r="O61" s="81"/>
      <c r="P61" s="81"/>
    </row>
    <row r="62" spans="1:26">
      <c r="A62" s="544" t="s">
        <v>68</v>
      </c>
      <c r="B62" s="545"/>
      <c r="C62" s="545"/>
      <c r="D62" s="545"/>
      <c r="E62" s="267"/>
      <c r="F62" s="81"/>
      <c r="G62" s="81"/>
      <c r="H62" s="81"/>
      <c r="I62" s="81"/>
      <c r="J62" s="81"/>
      <c r="K62" s="81"/>
      <c r="L62" s="81"/>
      <c r="M62" s="81"/>
      <c r="N62" s="81"/>
      <c r="O62" s="81"/>
      <c r="P62" s="81"/>
    </row>
    <row r="63" spans="1:26" ht="13.5" thickBot="1">
      <c r="A63" s="563" t="s">
        <v>58</v>
      </c>
      <c r="B63" s="564"/>
      <c r="C63" s="564"/>
      <c r="D63" s="564"/>
      <c r="E63" s="251" t="str">
        <f>IF(E60="Other",'EV5.5.5 Alt. Matls Summary'!H25,IF(E60="Steel",IF(E61&lt;0.9,"FAIL","PASS"),IF(E60="Aluminium",IF(E61&lt;2.3,"FAIL","PASS"))))</f>
        <v>PASS</v>
      </c>
      <c r="F63" s="81"/>
      <c r="G63" s="81"/>
      <c r="H63" s="81"/>
      <c r="I63" s="81"/>
      <c r="J63" s="81"/>
      <c r="K63" s="81"/>
      <c r="L63" s="81"/>
      <c r="M63" s="81"/>
      <c r="N63" s="81"/>
      <c r="O63" s="81"/>
      <c r="P63" s="81"/>
    </row>
    <row r="64" spans="1:26">
      <c r="A64" s="135"/>
      <c r="B64" s="81"/>
      <c r="C64" s="81"/>
      <c r="D64" s="81"/>
      <c r="E64" s="81"/>
      <c r="F64" s="81"/>
      <c r="G64" s="81"/>
      <c r="H64" s="81"/>
      <c r="I64" s="81"/>
      <c r="J64" s="81"/>
      <c r="K64" s="81"/>
      <c r="L64" s="81"/>
      <c r="M64" s="81"/>
      <c r="N64" s="81"/>
      <c r="O64" s="81"/>
      <c r="P64" s="81"/>
    </row>
    <row r="65" spans="1:16">
      <c r="A65" s="135"/>
      <c r="B65" s="81" t="s">
        <v>71</v>
      </c>
      <c r="C65" s="81"/>
      <c r="D65" s="81"/>
      <c r="E65" s="81"/>
      <c r="F65" s="81"/>
      <c r="G65" s="81"/>
      <c r="H65" s="81"/>
      <c r="I65" s="81"/>
      <c r="J65" s="81"/>
      <c r="K65" s="81"/>
      <c r="L65" s="81"/>
      <c r="M65" s="81"/>
      <c r="N65" s="81"/>
      <c r="O65" s="81"/>
      <c r="P65" s="81"/>
    </row>
    <row r="66" spans="1:16">
      <c r="A66" s="135"/>
      <c r="B66" s="81" t="s">
        <v>70</v>
      </c>
      <c r="C66" s="81"/>
      <c r="D66" s="81"/>
      <c r="E66" s="81"/>
      <c r="F66" s="81"/>
      <c r="G66" s="81"/>
      <c r="H66" s="81"/>
      <c r="I66" s="81"/>
      <c r="J66" s="81"/>
      <c r="K66" s="81"/>
      <c r="L66" s="81"/>
      <c r="M66" s="81"/>
      <c r="N66" s="81"/>
      <c r="O66" s="81"/>
      <c r="P66" s="81"/>
    </row>
    <row r="67" spans="1:16">
      <c r="A67" s="135"/>
      <c r="B67" s="81"/>
      <c r="C67" s="81"/>
      <c r="D67" s="81"/>
      <c r="E67" s="81"/>
      <c r="F67" s="81"/>
      <c r="G67" s="81"/>
      <c r="H67" s="81"/>
      <c r="I67" s="81"/>
      <c r="J67" s="81"/>
      <c r="K67" s="81"/>
      <c r="L67" s="81"/>
      <c r="M67" s="81"/>
      <c r="N67" s="81"/>
      <c r="O67" s="81"/>
      <c r="P67" s="81"/>
    </row>
    <row r="68" spans="1:16">
      <c r="A68" s="135"/>
      <c r="B68" s="81"/>
      <c r="C68" s="81"/>
      <c r="D68" s="81"/>
      <c r="E68" s="81"/>
      <c r="F68" s="81"/>
      <c r="G68" s="81"/>
      <c r="H68" s="81"/>
      <c r="I68" s="81"/>
      <c r="J68" s="81"/>
      <c r="K68" s="81"/>
      <c r="L68" s="81"/>
      <c r="M68" s="81"/>
      <c r="N68" s="81"/>
      <c r="O68" s="81"/>
      <c r="P68" s="81"/>
    </row>
    <row r="69" spans="1:16">
      <c r="A69" s="135"/>
      <c r="B69" s="81"/>
      <c r="C69" s="81"/>
      <c r="D69" s="81"/>
      <c r="E69" s="81"/>
      <c r="F69" s="81"/>
      <c r="G69" s="81"/>
      <c r="H69" s="81"/>
      <c r="I69" s="81"/>
      <c r="J69" s="81"/>
      <c r="K69" s="81"/>
      <c r="L69" s="81"/>
      <c r="M69" s="81"/>
      <c r="N69" s="81"/>
      <c r="O69" s="81"/>
      <c r="P69" s="81"/>
    </row>
    <row r="70" spans="1:16">
      <c r="A70" s="135"/>
      <c r="B70" s="81"/>
      <c r="C70" s="81"/>
      <c r="D70" s="81"/>
      <c r="E70" s="81"/>
      <c r="F70" s="81"/>
      <c r="G70" s="81"/>
      <c r="H70" s="81"/>
      <c r="I70" s="81"/>
      <c r="J70" s="81"/>
      <c r="K70" s="81"/>
      <c r="L70" s="81"/>
      <c r="M70" s="81"/>
      <c r="N70" s="81"/>
      <c r="O70" s="81"/>
      <c r="P70" s="81"/>
    </row>
    <row r="71" spans="1:16">
      <c r="A71" s="135"/>
      <c r="B71" s="81"/>
      <c r="C71" s="81"/>
      <c r="D71" s="81"/>
      <c r="E71" s="81"/>
      <c r="F71" s="81"/>
      <c r="G71" s="81"/>
      <c r="H71" s="81"/>
      <c r="I71" s="81"/>
      <c r="J71" s="81"/>
      <c r="K71" s="81"/>
      <c r="L71" s="81"/>
      <c r="M71" s="81"/>
      <c r="N71" s="81"/>
      <c r="O71" s="81"/>
      <c r="P71" s="81"/>
    </row>
    <row r="72" spans="1:16">
      <c r="A72" s="135"/>
      <c r="B72" s="81"/>
      <c r="C72" s="81"/>
      <c r="D72" s="81"/>
      <c r="E72" s="81"/>
      <c r="F72" s="81"/>
      <c r="G72" s="81"/>
      <c r="H72" s="81"/>
      <c r="I72" s="81"/>
      <c r="J72" s="81"/>
      <c r="K72" s="81"/>
      <c r="L72" s="81"/>
      <c r="M72" s="81"/>
      <c r="N72" s="81"/>
      <c r="O72" s="81"/>
      <c r="P72" s="81"/>
    </row>
    <row r="73" spans="1:16">
      <c r="A73" s="135"/>
      <c r="B73" s="81"/>
      <c r="C73" s="81"/>
      <c r="D73" s="81"/>
      <c r="E73" s="81"/>
      <c r="F73" s="81"/>
      <c r="G73" s="81"/>
      <c r="H73" s="81"/>
      <c r="I73" s="81"/>
      <c r="J73" s="81"/>
      <c r="K73" s="81"/>
      <c r="L73" s="81"/>
      <c r="M73" s="81"/>
      <c r="N73" s="81"/>
      <c r="O73" s="81"/>
      <c r="P73" s="81"/>
    </row>
    <row r="74" spans="1:16">
      <c r="A74" s="135"/>
      <c r="B74" s="81"/>
      <c r="C74" s="81"/>
      <c r="D74" s="81"/>
      <c r="E74" s="81"/>
      <c r="F74" s="81"/>
      <c r="G74" s="81"/>
      <c r="H74" s="81"/>
      <c r="I74" s="81"/>
      <c r="J74" s="81"/>
      <c r="K74" s="81"/>
      <c r="L74" s="81"/>
      <c r="M74" s="81"/>
      <c r="N74" s="81"/>
      <c r="O74" s="81"/>
      <c r="P74" s="81"/>
    </row>
    <row r="75" spans="1:16">
      <c r="A75" s="135"/>
      <c r="B75" s="81"/>
      <c r="C75" s="81"/>
      <c r="D75" s="81"/>
      <c r="E75" s="81"/>
      <c r="F75" s="81"/>
      <c r="G75" s="81"/>
      <c r="H75" s="81"/>
      <c r="I75" s="81"/>
      <c r="J75" s="81"/>
      <c r="K75" s="81"/>
      <c r="L75" s="81"/>
      <c r="M75" s="81"/>
      <c r="N75" s="81"/>
      <c r="O75" s="81"/>
      <c r="P75" s="81"/>
    </row>
    <row r="76" spans="1:16">
      <c r="A76" s="135"/>
      <c r="B76" s="81"/>
      <c r="C76" s="81"/>
      <c r="D76" s="81"/>
      <c r="E76" s="81"/>
      <c r="F76" s="81"/>
      <c r="G76" s="81"/>
      <c r="H76" s="81"/>
      <c r="I76" s="81"/>
      <c r="J76" s="81"/>
      <c r="K76" s="81"/>
      <c r="L76" s="81"/>
      <c r="M76" s="81"/>
      <c r="N76" s="81"/>
      <c r="O76" s="81"/>
      <c r="P76" s="81"/>
    </row>
    <row r="77" spans="1:16">
      <c r="A77" s="135"/>
      <c r="B77" s="81"/>
      <c r="C77" s="81"/>
      <c r="D77" s="81"/>
      <c r="E77" s="81"/>
      <c r="F77" s="81"/>
      <c r="G77" s="81"/>
      <c r="H77" s="81"/>
      <c r="I77" s="81"/>
      <c r="J77" s="81"/>
      <c r="K77" s="81"/>
      <c r="L77" s="81"/>
      <c r="M77" s="81"/>
      <c r="N77" s="81"/>
      <c r="O77" s="81"/>
      <c r="P77" s="81"/>
    </row>
    <row r="78" spans="1:16">
      <c r="A78" s="135"/>
      <c r="B78" s="81"/>
      <c r="C78" s="81"/>
      <c r="D78" s="81"/>
      <c r="E78" s="81"/>
      <c r="F78" s="81"/>
      <c r="G78" s="81"/>
      <c r="H78" s="81"/>
      <c r="I78" s="81"/>
      <c r="J78" s="81"/>
      <c r="K78" s="81"/>
      <c r="L78" s="81"/>
      <c r="M78" s="81"/>
      <c r="N78" s="81"/>
      <c r="O78" s="81"/>
      <c r="P78" s="81"/>
    </row>
    <row r="79" spans="1:16">
      <c r="A79" s="135"/>
      <c r="B79" s="81"/>
      <c r="C79" s="81"/>
      <c r="D79" s="81"/>
      <c r="E79" s="81"/>
      <c r="F79" s="81"/>
      <c r="G79" s="81"/>
      <c r="H79" s="81"/>
      <c r="I79" s="81"/>
      <c r="J79" s="81"/>
      <c r="K79" s="81"/>
      <c r="L79" s="81"/>
      <c r="M79" s="81"/>
      <c r="N79" s="81"/>
      <c r="O79" s="81"/>
      <c r="P79" s="81"/>
    </row>
    <row r="80" spans="1:16">
      <c r="A80" s="135"/>
      <c r="B80" s="81"/>
      <c r="C80" s="81"/>
      <c r="D80" s="81"/>
      <c r="E80" s="81"/>
      <c r="F80" s="81"/>
      <c r="G80" s="81"/>
      <c r="H80" s="81"/>
      <c r="I80" s="81"/>
      <c r="J80" s="81"/>
      <c r="K80" s="81"/>
      <c r="L80" s="81"/>
      <c r="M80" s="81"/>
      <c r="N80" s="81"/>
      <c r="O80" s="81"/>
      <c r="P80" s="81"/>
    </row>
    <row r="81" spans="1:16" ht="13.5" thickBot="1">
      <c r="A81" s="135"/>
      <c r="B81" s="81"/>
      <c r="C81" s="81"/>
      <c r="D81" s="81"/>
      <c r="E81" s="81"/>
      <c r="F81" s="81"/>
      <c r="G81" s="81"/>
      <c r="H81" s="81"/>
      <c r="I81" s="81"/>
      <c r="J81" s="81"/>
      <c r="K81" s="81"/>
      <c r="L81" s="81"/>
      <c r="M81" s="81"/>
      <c r="N81" s="81"/>
      <c r="O81" s="81"/>
      <c r="P81" s="81"/>
    </row>
    <row r="82" spans="1:16" ht="12.75" customHeight="1">
      <c r="A82" s="569" t="s">
        <v>54</v>
      </c>
      <c r="B82" s="570"/>
      <c r="C82" s="570"/>
      <c r="D82" s="570"/>
      <c r="E82" s="570"/>
      <c r="F82" s="570"/>
      <c r="G82" s="570"/>
      <c r="H82" s="570"/>
      <c r="I82" s="570"/>
      <c r="J82" s="570"/>
      <c r="K82" s="570"/>
      <c r="L82" s="570"/>
      <c r="M82" s="570"/>
      <c r="N82" s="570"/>
      <c r="O82" s="570"/>
      <c r="P82" s="570"/>
    </row>
    <row r="83" spans="1:16" ht="12.75" customHeight="1" thickBot="1">
      <c r="A83" s="567"/>
      <c r="B83" s="568"/>
      <c r="C83" s="568"/>
      <c r="D83" s="568"/>
      <c r="E83" s="568"/>
      <c r="F83" s="568"/>
      <c r="G83" s="568"/>
      <c r="H83" s="568"/>
      <c r="I83" s="568"/>
      <c r="J83" s="568"/>
      <c r="K83" s="568"/>
      <c r="L83" s="568"/>
      <c r="M83" s="568"/>
      <c r="N83" s="568"/>
      <c r="O83" s="568"/>
      <c r="P83" s="568"/>
    </row>
    <row r="84" spans="1:16">
      <c r="A84" s="540" t="s">
        <v>439</v>
      </c>
      <c r="B84" s="541"/>
      <c r="C84" s="541"/>
      <c r="D84" s="541"/>
      <c r="E84" s="266" t="s">
        <v>89</v>
      </c>
      <c r="F84" s="81"/>
      <c r="G84" s="81"/>
      <c r="H84" s="81"/>
      <c r="I84" s="81"/>
      <c r="J84" s="81"/>
      <c r="K84" s="81"/>
      <c r="L84" s="81"/>
      <c r="M84" s="81"/>
      <c r="N84" s="81"/>
      <c r="O84" s="81"/>
      <c r="P84" s="81"/>
    </row>
    <row r="85" spans="1:16">
      <c r="A85" s="565" t="s">
        <v>440</v>
      </c>
      <c r="B85" s="545"/>
      <c r="C85" s="545"/>
      <c r="D85" s="545"/>
      <c r="E85" s="265">
        <f>IF(E84="Other",S11,S17)</f>
        <v>0</v>
      </c>
      <c r="F85" s="81"/>
      <c r="G85" s="81"/>
      <c r="H85" s="81"/>
      <c r="I85" s="81"/>
      <c r="J85" s="81"/>
      <c r="K85" s="81"/>
      <c r="L85" s="81"/>
      <c r="M85" s="81"/>
      <c r="N85" s="81"/>
      <c r="O85" s="81"/>
      <c r="P85" s="81"/>
    </row>
    <row r="86" spans="1:16">
      <c r="A86" s="544" t="s">
        <v>57</v>
      </c>
      <c r="B86" s="545"/>
      <c r="C86" s="545"/>
      <c r="D86" s="545"/>
      <c r="E86" s="267"/>
      <c r="F86" s="81"/>
      <c r="G86" s="81"/>
      <c r="H86" s="81"/>
      <c r="I86" s="81"/>
      <c r="J86" s="81"/>
      <c r="K86" s="81"/>
      <c r="L86" s="81"/>
      <c r="M86" s="81"/>
      <c r="N86" s="81"/>
      <c r="O86" s="81"/>
      <c r="P86" s="81"/>
    </row>
    <row r="87" spans="1:16" ht="13.5" thickBot="1">
      <c r="A87" s="563" t="s">
        <v>58</v>
      </c>
      <c r="B87" s="564"/>
      <c r="C87" s="564"/>
      <c r="D87" s="564"/>
      <c r="E87" s="251" t="str">
        <f>IF(E84="Other",'EV5.5.5 Alt. Matls Summary'!H25,IF(E84="Steel",IF(E85&lt;0.9,"FAIL","PASS"),IF(E84="Aluminium",IF(E85&lt;2.3,"FAIL","PASS"))))</f>
        <v>FAIL</v>
      </c>
      <c r="F87" s="81"/>
      <c r="G87" s="81"/>
      <c r="H87" s="81"/>
      <c r="I87" s="81"/>
      <c r="J87" s="81"/>
      <c r="K87" s="81"/>
      <c r="L87" s="81"/>
      <c r="M87" s="81"/>
      <c r="N87" s="81"/>
      <c r="O87" s="81"/>
      <c r="P87" s="81"/>
    </row>
    <row r="88" spans="1:16">
      <c r="A88" s="135"/>
      <c r="B88" s="81"/>
      <c r="C88" s="81"/>
      <c r="D88" s="81"/>
      <c r="E88" s="81"/>
      <c r="F88" s="81"/>
      <c r="G88" s="81"/>
      <c r="H88" s="81"/>
      <c r="I88" s="81"/>
      <c r="J88" s="81"/>
      <c r="K88" s="81"/>
      <c r="L88" s="81"/>
      <c r="M88" s="81"/>
      <c r="N88" s="81"/>
      <c r="O88" s="81"/>
      <c r="P88" s="81"/>
    </row>
    <row r="89" spans="1:16">
      <c r="A89" s="135"/>
      <c r="B89" s="81" t="s">
        <v>72</v>
      </c>
      <c r="C89" s="81"/>
      <c r="D89" s="81"/>
      <c r="E89" s="81"/>
      <c r="F89" s="81"/>
      <c r="G89" s="81"/>
      <c r="H89" s="81"/>
      <c r="I89" s="81"/>
      <c r="J89" s="81"/>
      <c r="K89" s="81"/>
      <c r="L89" s="81"/>
      <c r="M89" s="81"/>
      <c r="N89" s="81"/>
      <c r="O89" s="81"/>
      <c r="P89" s="81"/>
    </row>
    <row r="90" spans="1:16">
      <c r="A90" s="135"/>
      <c r="B90" s="81" t="s">
        <v>73</v>
      </c>
      <c r="C90" s="81"/>
      <c r="D90" s="81"/>
      <c r="E90" s="81"/>
      <c r="F90" s="81"/>
      <c r="G90" s="81"/>
      <c r="H90" s="81"/>
      <c r="I90" s="81"/>
      <c r="J90" s="81"/>
      <c r="K90" s="81"/>
      <c r="L90" s="81"/>
      <c r="M90" s="81"/>
      <c r="N90" s="81"/>
      <c r="O90" s="81"/>
      <c r="P90" s="81"/>
    </row>
    <row r="91" spans="1:16">
      <c r="A91" s="135"/>
      <c r="B91" s="81"/>
      <c r="C91" s="81"/>
      <c r="D91" s="81"/>
      <c r="E91" s="81"/>
      <c r="F91" s="81"/>
      <c r="G91" s="81"/>
      <c r="H91" s="81"/>
      <c r="I91" s="81"/>
      <c r="J91" s="81"/>
      <c r="K91" s="81"/>
      <c r="L91" s="81"/>
      <c r="M91" s="81"/>
      <c r="N91" s="81"/>
      <c r="O91" s="81"/>
      <c r="P91" s="81"/>
    </row>
    <row r="92" spans="1:16">
      <c r="A92" s="135"/>
      <c r="B92" s="81"/>
      <c r="C92" s="81"/>
      <c r="D92" s="81"/>
      <c r="E92" s="81"/>
      <c r="F92" s="81"/>
      <c r="G92" s="81"/>
      <c r="H92" s="81"/>
      <c r="I92" s="81"/>
      <c r="J92" s="81"/>
      <c r="K92" s="81"/>
      <c r="L92" s="81"/>
      <c r="M92" s="81"/>
      <c r="N92" s="81"/>
      <c r="O92" s="81"/>
      <c r="P92" s="81"/>
    </row>
    <row r="93" spans="1:16">
      <c r="A93" s="135"/>
      <c r="B93" s="81"/>
      <c r="C93" s="81"/>
      <c r="D93" s="81"/>
      <c r="E93" s="81"/>
      <c r="F93" s="81"/>
      <c r="G93" s="81"/>
      <c r="H93" s="81"/>
      <c r="I93" s="81"/>
      <c r="J93" s="81"/>
      <c r="K93" s="81"/>
      <c r="L93" s="81"/>
      <c r="M93" s="81"/>
      <c r="N93" s="81"/>
      <c r="O93" s="81"/>
      <c r="P93" s="81"/>
    </row>
    <row r="94" spans="1:16">
      <c r="A94" s="135"/>
      <c r="B94" s="81"/>
      <c r="C94" s="81"/>
      <c r="D94" s="81"/>
      <c r="E94" s="81"/>
      <c r="F94" s="81"/>
      <c r="G94" s="81"/>
      <c r="H94" s="81"/>
      <c r="I94" s="81"/>
      <c r="J94" s="81"/>
      <c r="K94" s="81"/>
      <c r="L94" s="81"/>
      <c r="M94" s="81"/>
      <c r="N94" s="81"/>
      <c r="O94" s="81"/>
      <c r="P94" s="81"/>
    </row>
    <row r="95" spans="1:16">
      <c r="A95" s="135"/>
      <c r="B95" s="81"/>
      <c r="C95" s="81"/>
      <c r="D95" s="81"/>
      <c r="E95" s="81"/>
      <c r="F95" s="81"/>
      <c r="G95" s="81"/>
      <c r="H95" s="81"/>
      <c r="I95" s="81"/>
      <c r="J95" s="81"/>
      <c r="K95" s="81"/>
      <c r="L95" s="81"/>
      <c r="M95" s="81"/>
      <c r="N95" s="81"/>
      <c r="O95" s="81"/>
      <c r="P95" s="81"/>
    </row>
    <row r="96" spans="1:16">
      <c r="A96" s="135"/>
      <c r="B96" s="81"/>
      <c r="C96" s="81"/>
      <c r="D96" s="81"/>
      <c r="E96" s="81"/>
      <c r="F96" s="81"/>
      <c r="G96" s="81"/>
      <c r="H96" s="81"/>
      <c r="I96" s="81"/>
      <c r="J96" s="81"/>
      <c r="K96" s="81"/>
      <c r="L96" s="81"/>
      <c r="M96" s="81"/>
      <c r="N96" s="81"/>
      <c r="O96" s="81"/>
      <c r="P96" s="81"/>
    </row>
    <row r="97" spans="1:16">
      <c r="A97" s="135"/>
      <c r="B97" s="81"/>
      <c r="C97" s="81"/>
      <c r="D97" s="81"/>
      <c r="E97" s="81"/>
      <c r="F97" s="81"/>
      <c r="G97" s="81"/>
      <c r="H97" s="81"/>
      <c r="I97" s="81"/>
      <c r="J97" s="81"/>
      <c r="K97" s="81"/>
      <c r="L97" s="81"/>
      <c r="M97" s="81"/>
      <c r="N97" s="81"/>
      <c r="O97" s="81"/>
      <c r="P97" s="81"/>
    </row>
    <row r="98" spans="1:16">
      <c r="A98" s="135"/>
      <c r="B98" s="81"/>
      <c r="C98" s="81"/>
      <c r="D98" s="81"/>
      <c r="E98" s="81"/>
      <c r="F98" s="81"/>
      <c r="G98" s="81"/>
      <c r="H98" s="81"/>
      <c r="I98" s="81"/>
      <c r="J98" s="81"/>
      <c r="K98" s="81"/>
      <c r="L98" s="81"/>
      <c r="M98" s="81"/>
      <c r="N98" s="81"/>
      <c r="O98" s="81"/>
      <c r="P98" s="81"/>
    </row>
    <row r="99" spans="1:16">
      <c r="A99" s="135"/>
      <c r="B99" s="81"/>
      <c r="C99" s="81"/>
      <c r="D99" s="81"/>
      <c r="E99" s="81"/>
      <c r="F99" s="81"/>
      <c r="G99" s="81"/>
      <c r="H99" s="81"/>
      <c r="I99" s="81"/>
      <c r="J99" s="81"/>
      <c r="K99" s="81"/>
      <c r="L99" s="81"/>
      <c r="M99" s="81"/>
      <c r="N99" s="81"/>
      <c r="O99" s="81"/>
      <c r="P99" s="81"/>
    </row>
    <row r="100" spans="1:16">
      <c r="A100" s="135"/>
      <c r="B100" s="81"/>
      <c r="C100" s="81"/>
      <c r="D100" s="81"/>
      <c r="E100" s="81"/>
      <c r="F100" s="81"/>
      <c r="G100" s="81"/>
      <c r="H100" s="81"/>
      <c r="I100" s="81"/>
      <c r="J100" s="81"/>
      <c r="K100" s="81"/>
      <c r="L100" s="81"/>
      <c r="M100" s="81"/>
      <c r="N100" s="81"/>
      <c r="O100" s="81"/>
      <c r="P100" s="81"/>
    </row>
    <row r="101" spans="1:16">
      <c r="A101" s="135"/>
      <c r="B101" s="81"/>
      <c r="C101" s="81"/>
      <c r="D101" s="81"/>
      <c r="E101" s="81"/>
      <c r="F101" s="81"/>
      <c r="G101" s="81"/>
      <c r="H101" s="81"/>
      <c r="I101" s="81"/>
      <c r="J101" s="81"/>
      <c r="K101" s="81"/>
      <c r="L101" s="81"/>
      <c r="M101" s="81"/>
      <c r="N101" s="81"/>
      <c r="O101" s="81"/>
      <c r="P101" s="81"/>
    </row>
    <row r="102" spans="1:16">
      <c r="A102" s="135"/>
      <c r="B102" s="81"/>
      <c r="C102" s="81"/>
      <c r="D102" s="81"/>
      <c r="E102" s="81"/>
      <c r="F102" s="81"/>
      <c r="G102" s="81"/>
      <c r="H102" s="81"/>
      <c r="I102" s="81"/>
      <c r="J102" s="81"/>
      <c r="K102" s="81"/>
      <c r="L102" s="81"/>
      <c r="M102" s="81"/>
      <c r="N102" s="81"/>
      <c r="O102" s="81"/>
      <c r="P102" s="81"/>
    </row>
    <row r="103" spans="1:16">
      <c r="A103" s="135"/>
      <c r="B103" s="81"/>
      <c r="C103" s="81"/>
      <c r="D103" s="81"/>
      <c r="E103" s="81"/>
      <c r="F103" s="81"/>
      <c r="G103" s="81"/>
      <c r="H103" s="81"/>
      <c r="I103" s="81"/>
      <c r="J103" s="81"/>
      <c r="K103" s="81"/>
      <c r="L103" s="81"/>
      <c r="M103" s="81"/>
      <c r="N103" s="81"/>
      <c r="O103" s="81"/>
      <c r="P103" s="81"/>
    </row>
    <row r="104" spans="1:16">
      <c r="A104" s="135"/>
      <c r="B104" s="81"/>
      <c r="C104" s="81"/>
      <c r="D104" s="81"/>
      <c r="E104" s="81"/>
      <c r="F104" s="81"/>
      <c r="G104" s="81"/>
      <c r="H104" s="81"/>
      <c r="I104" s="81"/>
      <c r="J104" s="81"/>
      <c r="K104" s="81"/>
      <c r="L104" s="81"/>
      <c r="M104" s="81"/>
      <c r="N104" s="81"/>
      <c r="O104" s="81"/>
      <c r="P104" s="81"/>
    </row>
    <row r="105" spans="1:16" ht="13.5" thickBot="1">
      <c r="A105" s="138"/>
      <c r="B105" s="139"/>
      <c r="C105" s="139"/>
      <c r="D105" s="139"/>
      <c r="E105" s="139"/>
      <c r="F105" s="139"/>
      <c r="G105" s="139"/>
      <c r="H105" s="139"/>
      <c r="I105" s="139"/>
      <c r="J105" s="139"/>
      <c r="K105" s="139"/>
      <c r="L105" s="139"/>
      <c r="M105" s="139"/>
      <c r="N105" s="139"/>
      <c r="O105" s="139"/>
      <c r="P105" s="139"/>
    </row>
  </sheetData>
  <sheetProtection algorithmName="SHA-512" hashValue="Kt0t4naYeRAbtANSnP1kbE9TL1SKOuLWsFXoKUUNARzZi49Cwqr1o3p1hvrZINxPAKVk9TYAiB9WyhrCldrgOQ==" saltValue="T4KeInXMSwG0WyZ6Jz1RHA==" spinCount="100000" sheet="1" scenarios="1"/>
  <protectedRanges>
    <protectedRange sqref="U8:V11 X8:X11 Z8:Z11 S14:S17 E12 E14 F12:P15 A16:P33 E36 E38 F36:P39 A40:P57 E60 E62 F60:P63 A64:P81 E84 E86 F84:P87 A88:P105 W21:Z23 Q24:Z41 Q44:Z57" name="Range1"/>
  </protectedRanges>
  <mergeCells count="39">
    <mergeCell ref="Z3:Z7"/>
    <mergeCell ref="T3:T7"/>
    <mergeCell ref="U3:U7"/>
    <mergeCell ref="V3:V7"/>
    <mergeCell ref="W3:W7"/>
    <mergeCell ref="X3:X7"/>
    <mergeCell ref="Y3:Y7"/>
    <mergeCell ref="A1:P1"/>
    <mergeCell ref="D3:H3"/>
    <mergeCell ref="M3:P3"/>
    <mergeCell ref="A87:D87"/>
    <mergeCell ref="A84:D84"/>
    <mergeCell ref="A85:D85"/>
    <mergeCell ref="A86:D86"/>
    <mergeCell ref="A34:P35"/>
    <mergeCell ref="A58:P59"/>
    <mergeCell ref="A82:P83"/>
    <mergeCell ref="A39:D39"/>
    <mergeCell ref="A15:D15"/>
    <mergeCell ref="A63:D63"/>
    <mergeCell ref="A60:D60"/>
    <mergeCell ref="A61:D61"/>
    <mergeCell ref="A62:D62"/>
    <mergeCell ref="A5:P7"/>
    <mergeCell ref="Q42:Z43"/>
    <mergeCell ref="Q21:U21"/>
    <mergeCell ref="Q22:U22"/>
    <mergeCell ref="Q23:U23"/>
    <mergeCell ref="Q19:Z20"/>
    <mergeCell ref="A36:D36"/>
    <mergeCell ref="A37:D37"/>
    <mergeCell ref="A38:D38"/>
    <mergeCell ref="A12:D12"/>
    <mergeCell ref="A13:D13"/>
    <mergeCell ref="A14:D14"/>
    <mergeCell ref="A10:P11"/>
    <mergeCell ref="R3:R7"/>
    <mergeCell ref="S3:S7"/>
    <mergeCell ref="R13:Z13"/>
  </mergeCells>
  <conditionalFormatting sqref="E12">
    <cfRule type="cellIs" dxfId="318" priority="45" operator="equal">
      <formula>"Other"</formula>
    </cfRule>
    <cfRule type="cellIs" dxfId="317" priority="46" operator="equal">
      <formula>"Aluminium"</formula>
    </cfRule>
    <cfRule type="containsText" dxfId="316" priority="47" operator="containsText" text="Steel">
      <formula>NOT(ISERROR(SEARCH("Steel",E12)))</formula>
    </cfRule>
  </conditionalFormatting>
  <conditionalFormatting sqref="E15">
    <cfRule type="cellIs" dxfId="315" priority="26" stopIfTrue="1" operator="equal">
      <formula>"N/A"</formula>
    </cfRule>
    <cfRule type="cellIs" dxfId="314" priority="27" stopIfTrue="1" operator="equal">
      <formula>"FAIL"</formula>
    </cfRule>
    <cfRule type="cellIs" dxfId="313" priority="28" stopIfTrue="1" operator="equal">
      <formula>"PASS"</formula>
    </cfRule>
  </conditionalFormatting>
  <conditionalFormatting sqref="E36">
    <cfRule type="cellIs" dxfId="312" priority="42" operator="equal">
      <formula>"Other"</formula>
    </cfRule>
    <cfRule type="cellIs" dxfId="311" priority="43" operator="equal">
      <formula>"Aluminium"</formula>
    </cfRule>
    <cfRule type="containsText" dxfId="310" priority="44" operator="containsText" text="Steel">
      <formula>NOT(ISERROR(SEARCH("Steel",E36)))</formula>
    </cfRule>
  </conditionalFormatting>
  <conditionalFormatting sqref="E39">
    <cfRule type="cellIs" dxfId="309" priority="9" stopIfTrue="1" operator="equal">
      <formula>"N/A"</formula>
    </cfRule>
    <cfRule type="cellIs" dxfId="308" priority="10" stopIfTrue="1" operator="equal">
      <formula>"FAIL"</formula>
    </cfRule>
    <cfRule type="cellIs" dxfId="307" priority="11" stopIfTrue="1" operator="equal">
      <formula>"PASS"</formula>
    </cfRule>
  </conditionalFormatting>
  <conditionalFormatting sqref="E60">
    <cfRule type="cellIs" dxfId="306" priority="39" operator="equal">
      <formula>"Other"</formula>
    </cfRule>
    <cfRule type="cellIs" dxfId="305" priority="40" operator="equal">
      <formula>"Aluminium"</formula>
    </cfRule>
    <cfRule type="containsText" dxfId="304" priority="41" operator="containsText" text="Steel">
      <formula>NOT(ISERROR(SEARCH("Steel",E60)))</formula>
    </cfRule>
  </conditionalFormatting>
  <conditionalFormatting sqref="E63">
    <cfRule type="cellIs" dxfId="303" priority="6" stopIfTrue="1" operator="equal">
      <formula>"N/A"</formula>
    </cfRule>
    <cfRule type="cellIs" dxfId="302" priority="7" stopIfTrue="1" operator="equal">
      <formula>"FAIL"</formula>
    </cfRule>
    <cfRule type="cellIs" dxfId="301" priority="8" stopIfTrue="1" operator="equal">
      <formula>"PASS"</formula>
    </cfRule>
  </conditionalFormatting>
  <conditionalFormatting sqref="E84">
    <cfRule type="cellIs" dxfId="300" priority="36" operator="equal">
      <formula>"Other"</formula>
    </cfRule>
    <cfRule type="cellIs" dxfId="299" priority="37" operator="equal">
      <formula>"Aluminium"</formula>
    </cfRule>
    <cfRule type="containsText" dxfId="298" priority="38" operator="containsText" text="Steel">
      <formula>NOT(ISERROR(SEARCH("Steel",E84)))</formula>
    </cfRule>
  </conditionalFormatting>
  <conditionalFormatting sqref="E87">
    <cfRule type="cellIs" dxfId="297" priority="3" stopIfTrue="1" operator="equal">
      <formula>"N/A"</formula>
    </cfRule>
    <cfRule type="cellIs" dxfId="296" priority="4" stopIfTrue="1" operator="equal">
      <formula>"FAIL"</formula>
    </cfRule>
    <cfRule type="cellIs" dxfId="295" priority="5" stopIfTrue="1" operator="equal">
      <formula>"PASS"</formula>
    </cfRule>
  </conditionalFormatting>
  <conditionalFormatting sqref="V22:V23">
    <cfRule type="cellIs" dxfId="294" priority="14" operator="equal">
      <formula>"Yes"</formula>
    </cfRule>
    <cfRule type="notContainsBlanks" dxfId="293" priority="15">
      <formula>LEN(TRIM(V22))&gt;0</formula>
    </cfRule>
  </conditionalFormatting>
  <dataValidations count="2">
    <dataValidation type="list" allowBlank="1" showInputMessage="1" showErrorMessage="1" sqref="E12 E36 E60 E84" xr:uid="{75D78EBA-A5A0-4909-AEA2-6149A76FEFD3}">
      <formula1>"Steel,Aluminium,Other"</formula1>
    </dataValidation>
    <dataValidation type="list" allowBlank="1" showInputMessage="1" showErrorMessage="1" sqref="V22:V23 V61:W63" xr:uid="{D267CBFE-89CC-4668-BE0F-24CEE0237212}">
      <formula1>"No,Yes"</formula1>
    </dataValidation>
  </dataValidations>
  <hyperlinks>
    <hyperlink ref="L9" location="'Cover Sheet'!A1" display="BACK to COVER SHEET" xr:uid="{A72F0F15-7485-482E-8B9E-FF8B24BBE6F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tabColor rgb="FFCCFF99"/>
  </sheetPr>
  <dimension ref="B1:T56"/>
  <sheetViews>
    <sheetView showGridLines="0" zoomScaleNormal="100" workbookViewId="0">
      <selection activeCell="E39" sqref="E39"/>
    </sheetView>
  </sheetViews>
  <sheetFormatPr defaultColWidth="11.42578125" defaultRowHeight="12.75"/>
  <cols>
    <col min="1" max="1" width="3.42578125" customWidth="1"/>
    <col min="2" max="2" width="45.85546875" customWidth="1"/>
    <col min="3" max="3" width="11.42578125" customWidth="1"/>
    <col min="4" max="4" width="3.5703125" customWidth="1"/>
    <col min="5" max="8" width="11.7109375" customWidth="1"/>
    <col min="9" max="9" width="14.28515625" bestFit="1" customWidth="1"/>
    <col min="10" max="10" width="11.7109375" customWidth="1"/>
    <col min="11" max="11" width="6.140625" customWidth="1"/>
    <col min="12" max="12" width="8.7109375" customWidth="1"/>
  </cols>
  <sheetData>
    <row r="1" spans="2:15" ht="15.75">
      <c r="B1" s="2" t="s">
        <v>74</v>
      </c>
    </row>
    <row r="2" spans="2:15">
      <c r="C2" s="581" t="s">
        <v>75</v>
      </c>
      <c r="D2" s="582"/>
      <c r="E2" s="583"/>
      <c r="F2" s="584" t="s">
        <v>76</v>
      </c>
      <c r="G2" s="585"/>
      <c r="L2" s="58" t="s">
        <v>77</v>
      </c>
      <c r="M2" s="58"/>
    </row>
    <row r="4" spans="2:15" ht="25.5" customHeight="1">
      <c r="B4" s="24" t="s">
        <v>78</v>
      </c>
      <c r="C4" s="24" t="s">
        <v>79</v>
      </c>
      <c r="D4" s="3"/>
      <c r="E4" s="31" t="s">
        <v>80</v>
      </c>
      <c r="F4" s="31" t="s">
        <v>81</v>
      </c>
      <c r="G4" s="31" t="s">
        <v>82</v>
      </c>
      <c r="H4" s="31" t="s">
        <v>83</v>
      </c>
      <c r="I4" s="37" t="s">
        <v>84</v>
      </c>
      <c r="J4" s="31" t="s">
        <v>85</v>
      </c>
      <c r="L4" s="3"/>
      <c r="M4" s="55" t="s">
        <v>86</v>
      </c>
      <c r="N4" s="55" t="s">
        <v>87</v>
      </c>
    </row>
    <row r="5" spans="2:15">
      <c r="B5" s="89" t="s">
        <v>88</v>
      </c>
      <c r="C5" s="18" t="s">
        <v>89</v>
      </c>
      <c r="E5" s="7" t="s">
        <v>89</v>
      </c>
      <c r="F5" s="7" t="s">
        <v>89</v>
      </c>
      <c r="G5" s="7" t="s">
        <v>89</v>
      </c>
      <c r="H5" s="32"/>
      <c r="I5" s="21" t="s">
        <v>90</v>
      </c>
      <c r="J5" s="32"/>
      <c r="L5" s="87" t="s">
        <v>91</v>
      </c>
      <c r="M5">
        <f>I22/1000</f>
        <v>0.32</v>
      </c>
      <c r="N5" s="53">
        <f>M5</f>
        <v>0.32</v>
      </c>
    </row>
    <row r="6" spans="2:15">
      <c r="B6" s="89" t="s">
        <v>92</v>
      </c>
      <c r="C6" s="18" t="s">
        <v>93</v>
      </c>
      <c r="E6" s="7" t="s">
        <v>93</v>
      </c>
      <c r="F6" s="7" t="s">
        <v>93</v>
      </c>
      <c r="G6" s="7" t="s">
        <v>93</v>
      </c>
      <c r="H6" s="34"/>
      <c r="I6" s="33" t="s">
        <v>94</v>
      </c>
      <c r="J6" s="30"/>
      <c r="L6" s="87" t="s">
        <v>95</v>
      </c>
      <c r="M6">
        <f>I21/1000</f>
        <v>1E-3</v>
      </c>
      <c r="N6" s="53">
        <f>I20/1000</f>
        <v>1E-3</v>
      </c>
    </row>
    <row r="7" spans="2:15">
      <c r="B7" s="25" t="s">
        <v>96</v>
      </c>
      <c r="C7" s="19" t="e">
        <f>HLOOKUP(C5,#REF!,2,FALSE)</f>
        <v>#REF!</v>
      </c>
      <c r="D7" s="26"/>
      <c r="E7" s="19" t="e">
        <f>HLOOKUP(E5,#REF!,2,FALSE)</f>
        <v>#REF!</v>
      </c>
      <c r="F7" s="19" t="e">
        <f>HLOOKUP(F5,#REF!,2,FALSE)</f>
        <v>#REF!</v>
      </c>
      <c r="G7" s="19" t="e">
        <f>HLOOKUP(G5,#REF!,2,FALSE)</f>
        <v>#REF!</v>
      </c>
      <c r="H7" s="30"/>
      <c r="I7" s="57" t="e">
        <f>HLOOKUP(I5,#REF!,2,FALSE)</f>
        <v>#REF!</v>
      </c>
      <c r="J7" s="34"/>
    </row>
    <row r="8" spans="2:15" ht="15.75">
      <c r="B8" s="25" t="s">
        <v>97</v>
      </c>
      <c r="C8" s="19" t="e">
        <f>INDEX(Innertable,MATCH($B8,#REF!,0),MATCH(C$7,#REF!,0))</f>
        <v>#REF!</v>
      </c>
      <c r="D8" s="26"/>
      <c r="E8" s="19" t="e">
        <f>INDEX(Innertable,MATCH($B8,#REF!,0),MATCH(E$7,#REF!,0))</f>
        <v>#REF!</v>
      </c>
      <c r="F8" s="19" t="e">
        <f>INDEX(Innertable,MATCH($B8,#REF!,0),MATCH(F$7,#REF!,0))</f>
        <v>#REF!</v>
      </c>
      <c r="G8" s="19" t="e">
        <f>INDEX(Innertable,MATCH($B8,#REF!,0),MATCH(G$7,#REF!,0))</f>
        <v>#REF!</v>
      </c>
      <c r="H8" s="30"/>
      <c r="I8" s="57" t="e">
        <f>INDEX(Innertable,MATCH($B8,#REF!,0),MATCH(I$7,#REF!,0))</f>
        <v>#REF!</v>
      </c>
      <c r="J8" s="30"/>
      <c r="L8" s="87" t="s">
        <v>98</v>
      </c>
      <c r="M8" s="26">
        <f>M5*M6</f>
        <v>3.2000000000000003E-4</v>
      </c>
      <c r="N8" s="87" t="s">
        <v>99</v>
      </c>
      <c r="O8" s="26">
        <f>(M5*M6^3)/12</f>
        <v>2.6666666666666668E-11</v>
      </c>
    </row>
    <row r="9" spans="2:15" ht="15.75">
      <c r="B9" s="25" t="s">
        <v>100</v>
      </c>
      <c r="C9" s="19" t="e">
        <f>INDEX(Innertable,MATCH($B9,#REF!,0),MATCH(C$7,#REF!,0))</f>
        <v>#REF!</v>
      </c>
      <c r="D9" s="26"/>
      <c r="E9" s="19" t="e">
        <f>INDEX(Innertable,MATCH($B9,#REF!,0),MATCH(E$7,#REF!,0))</f>
        <v>#REF!</v>
      </c>
      <c r="F9" s="19" t="e">
        <f>INDEX(Innertable,MATCH($B9,#REF!,0),MATCH(F$7,#REF!,0))</f>
        <v>#REF!</v>
      </c>
      <c r="G9" s="19" t="e">
        <f>INDEX(Innertable,MATCH($B9,#REF!,0),MATCH(G$7,#REF!,0))</f>
        <v>#REF!</v>
      </c>
      <c r="H9" s="30"/>
      <c r="I9" s="57" t="e">
        <f>INDEX(Innertable,MATCH($B9,#REF!,0),MATCH(I$7,#REF!,0))</f>
        <v>#REF!</v>
      </c>
      <c r="J9" s="30"/>
      <c r="L9" s="87" t="s">
        <v>101</v>
      </c>
      <c r="M9" s="26">
        <f>N5*N6</f>
        <v>3.2000000000000003E-4</v>
      </c>
      <c r="N9" s="87" t="s">
        <v>102</v>
      </c>
      <c r="O9" s="26">
        <f>(N5*N6^3)/12</f>
        <v>2.6666666666666668E-11</v>
      </c>
    </row>
    <row r="10" spans="2:15" ht="15.75">
      <c r="B10" s="25" t="s">
        <v>103</v>
      </c>
      <c r="C10" s="19" t="e">
        <f>INDEX(Innertable,MATCH($B10,#REF!,0),MATCH(C$7,#REF!,0))</f>
        <v>#REF!</v>
      </c>
      <c r="D10" s="26"/>
      <c r="E10" s="19" t="e">
        <f>INDEX(Innertable,MATCH($B10,#REF!,0),MATCH(E$7,#REF!,0))</f>
        <v>#REF!</v>
      </c>
      <c r="F10" s="19" t="e">
        <f>INDEX(Innertable,MATCH($B10,#REF!,0),MATCH(F$7,#REF!,0))</f>
        <v>#REF!</v>
      </c>
      <c r="G10" s="19" t="e">
        <f>INDEX(Innertable,MATCH($B10,#REF!,0),MATCH(G$7,#REF!,0))</f>
        <v>#REF!</v>
      </c>
      <c r="H10" s="30"/>
      <c r="I10" s="57" t="e">
        <f>INDEX(Innertable,MATCH($B10,#REF!,0),MATCH(I$7,#REF!,0))</f>
        <v>#REF!</v>
      </c>
      <c r="J10" s="30"/>
      <c r="L10" s="87" t="s">
        <v>104</v>
      </c>
      <c r="M10">
        <f>M6/2</f>
        <v>5.0000000000000001E-4</v>
      </c>
      <c r="N10" s="87" t="s">
        <v>105</v>
      </c>
      <c r="O10" s="26">
        <f>O8+(M8*($M$12-M10)^2)</f>
        <v>2.8906666666666669E-8</v>
      </c>
    </row>
    <row r="11" spans="2:15" ht="15.75">
      <c r="B11" s="25" t="s">
        <v>106</v>
      </c>
      <c r="C11" s="19" t="e">
        <f>INDEX(Innertable,MATCH($B11,#REF!,0),MATCH(C$7,#REF!,0))</f>
        <v>#REF!</v>
      </c>
      <c r="D11" s="26"/>
      <c r="E11" s="19" t="e">
        <f>INDEX(Innertable,MATCH($B11,#REF!,0),MATCH(E$7,#REF!,0))</f>
        <v>#REF!</v>
      </c>
      <c r="F11" s="19" t="e">
        <f>INDEX(Innertable,MATCH($B11,#REF!,0),MATCH(F$7,#REF!,0))</f>
        <v>#REF!</v>
      </c>
      <c r="G11" s="19" t="e">
        <f>INDEX(Innertable,MATCH($B11,#REF!,0),MATCH(G$7,#REF!,0))</f>
        <v>#REF!</v>
      </c>
      <c r="H11" s="30"/>
      <c r="I11" s="57" t="e">
        <f>INDEX(Innertable,MATCH($B11,#REF!,0),MATCH(I$7,#REF!,0))</f>
        <v>#REF!</v>
      </c>
      <c r="J11" s="30"/>
      <c r="L11" s="87" t="s">
        <v>107</v>
      </c>
      <c r="M11">
        <f>(I18-0.5*I20)*0.001</f>
        <v>1.95E-2</v>
      </c>
      <c r="N11" s="87" t="s">
        <v>108</v>
      </c>
      <c r="O11" s="26">
        <f>O9+(M9*($M$12-M11)^2)</f>
        <v>2.8906666666666669E-8</v>
      </c>
    </row>
    <row r="12" spans="2:15" ht="15.75">
      <c r="B12" s="25" t="s">
        <v>109</v>
      </c>
      <c r="C12" s="19" t="e">
        <f>INDEX(Innertable,MATCH($B12,#REF!,0),MATCH(C$7,#REF!,0))</f>
        <v>#REF!</v>
      </c>
      <c r="D12" s="26"/>
      <c r="E12" s="19" t="e">
        <f>INDEX(Innertable,MATCH($B12,#REF!,0),MATCH(E$7,#REF!,0))</f>
        <v>#REF!</v>
      </c>
      <c r="F12" s="19" t="e">
        <f>INDEX(Innertable,MATCH($B12,#REF!,0),MATCH(F$7,#REF!,0))</f>
        <v>#REF!</v>
      </c>
      <c r="G12" s="19" t="e">
        <f>INDEX(Innertable,MATCH($B12,#REF!,0),MATCH(G$7,#REF!,0))</f>
        <v>#REF!</v>
      </c>
      <c r="H12" s="30"/>
      <c r="I12" s="57" t="e">
        <f>INDEX(Innertable,MATCH($B12,#REF!,0),MATCH(I$7,#REF!,0))</f>
        <v>#REF!</v>
      </c>
      <c r="J12" s="30"/>
      <c r="L12" s="87" t="s">
        <v>110</v>
      </c>
      <c r="M12" s="54">
        <f>(M8*M10+M9*M11)/(M8+M9)</f>
        <v>0.01</v>
      </c>
      <c r="N12" s="87" t="s">
        <v>111</v>
      </c>
      <c r="O12" s="56">
        <f>SUM(O10:O11)</f>
        <v>5.7813333333333339E-8</v>
      </c>
    </row>
    <row r="13" spans="2:15">
      <c r="E13" s="4"/>
      <c r="G13" s="6"/>
      <c r="H13" s="34"/>
      <c r="J13" s="34"/>
      <c r="O13" s="26"/>
    </row>
    <row r="14" spans="2:15">
      <c r="B14" s="25" t="s">
        <v>112</v>
      </c>
      <c r="C14" s="18">
        <v>3</v>
      </c>
      <c r="E14" s="7">
        <v>3</v>
      </c>
      <c r="F14" s="7">
        <v>0</v>
      </c>
      <c r="G14" s="7">
        <v>0</v>
      </c>
      <c r="H14" s="34"/>
      <c r="J14" s="34"/>
      <c r="O14" s="26"/>
    </row>
    <row r="15" spans="2:15">
      <c r="B15" s="25" t="s">
        <v>113</v>
      </c>
      <c r="C15" s="18">
        <v>25.4</v>
      </c>
      <c r="E15" s="7">
        <v>25.4</v>
      </c>
      <c r="F15" s="7">
        <v>25.4</v>
      </c>
      <c r="G15" s="7">
        <v>25.4</v>
      </c>
      <c r="H15" s="34"/>
      <c r="J15" s="34"/>
      <c r="O15" s="26"/>
    </row>
    <row r="16" spans="2:15">
      <c r="B16" s="25" t="s">
        <v>114</v>
      </c>
      <c r="C16" s="18">
        <v>1.6</v>
      </c>
      <c r="E16" s="7">
        <v>1.6</v>
      </c>
      <c r="F16" s="7">
        <v>1.6</v>
      </c>
      <c r="G16" s="7">
        <v>1.6</v>
      </c>
      <c r="H16" s="34"/>
      <c r="J16" s="34"/>
      <c r="L16" s="51"/>
      <c r="O16" s="26"/>
    </row>
    <row r="17" spans="2:20">
      <c r="E17" s="22"/>
      <c r="F17" s="38" t="s">
        <v>115</v>
      </c>
      <c r="G17" s="28" t="e">
        <f>IF(AND(K27&gt;=100,F2="tubing only",NOT(OR(E18="NO",F18="NO",G18="NO"))),"YES","NO")</f>
        <v>#REF!</v>
      </c>
      <c r="H17" s="34"/>
      <c r="J17" s="34"/>
      <c r="O17" s="26"/>
    </row>
    <row r="18" spans="2:20" ht="12.75" customHeight="1">
      <c r="B18" s="25" t="s">
        <v>116</v>
      </c>
      <c r="E18" s="48" t="str">
        <f>IF(E14=0,"N/A",IF(AND(E5=$C$5,E15&gt;=25.4,E16&gt;=1.6),"YES","NO"))</f>
        <v>YES</v>
      </c>
      <c r="F18" s="49" t="str">
        <f>IF(F14=0,"N/A",IF(AND(F5=$C$5,F15&gt;=25.4,F16&gt;=1.6),"YES","NO"))</f>
        <v>N/A</v>
      </c>
      <c r="G18" s="50" t="str">
        <f>IF(G14=0,"N/A",IF(AND(G5=$C$5,G15&gt;=25.4,G16&gt;=1.6),"YES","NO"))</f>
        <v>N/A</v>
      </c>
      <c r="H18" s="34"/>
      <c r="I18" s="52">
        <f>I19+I20+I21</f>
        <v>20</v>
      </c>
      <c r="J18" s="34"/>
      <c r="O18" s="26"/>
    </row>
    <row r="19" spans="2:20" ht="12.75" customHeight="1">
      <c r="B19" s="25" t="s">
        <v>117</v>
      </c>
      <c r="E19" s="586"/>
      <c r="F19" s="587"/>
      <c r="G19" s="588"/>
      <c r="H19" s="34"/>
      <c r="I19" s="21">
        <v>18</v>
      </c>
      <c r="J19" s="34"/>
      <c r="O19" s="26"/>
    </row>
    <row r="20" spans="2:20" ht="12.75" customHeight="1">
      <c r="B20" s="25" t="s">
        <v>118</v>
      </c>
      <c r="E20" s="586"/>
      <c r="F20" s="587"/>
      <c r="G20" s="588"/>
      <c r="H20" s="34"/>
      <c r="I20" s="21">
        <v>1</v>
      </c>
      <c r="J20" s="34"/>
      <c r="O20" s="26"/>
    </row>
    <row r="21" spans="2:20" ht="12.75" customHeight="1">
      <c r="B21" s="89" t="s">
        <v>119</v>
      </c>
      <c r="E21" s="586"/>
      <c r="F21" s="587"/>
      <c r="G21" s="588"/>
      <c r="H21" s="34"/>
      <c r="I21" s="21">
        <v>1</v>
      </c>
      <c r="J21" s="34"/>
      <c r="O21" s="26"/>
    </row>
    <row r="22" spans="2:20" ht="12.75" customHeight="1">
      <c r="B22" s="25" t="s">
        <v>120</v>
      </c>
      <c r="E22" s="586"/>
      <c r="F22" s="587"/>
      <c r="G22" s="588"/>
      <c r="H22" s="34"/>
      <c r="I22" s="21">
        <v>320</v>
      </c>
      <c r="J22" s="34"/>
      <c r="K22" s="97"/>
      <c r="O22" s="26"/>
    </row>
    <row r="23" spans="2:20">
      <c r="E23" s="39"/>
      <c r="F23" s="40"/>
      <c r="G23" s="41"/>
      <c r="H23" s="34"/>
      <c r="J23" s="34"/>
      <c r="O23" s="26"/>
    </row>
    <row r="24" spans="2:20">
      <c r="B24" s="25" t="s">
        <v>121</v>
      </c>
      <c r="C24" s="18">
        <f>C15/1000</f>
        <v>2.5399999999999999E-2</v>
      </c>
      <c r="E24" s="18">
        <f>IF($F$2="composite only","No tubes",IF(E14=0,"No tubes",E15/1000))</f>
        <v>2.5399999999999999E-2</v>
      </c>
      <c r="F24" s="18" t="str">
        <f>IF($F$2="composite only","No tubes",IF(F14=0,"No tubes",F15/1000))</f>
        <v>No tubes</v>
      </c>
      <c r="G24" s="18" t="str">
        <f>IF($F$2="composite only","No tubes",IF(G14=0,"No tubes",G15/1000))</f>
        <v>No tubes</v>
      </c>
      <c r="H24" s="34"/>
      <c r="J24" s="34"/>
      <c r="O24" s="26"/>
    </row>
    <row r="25" spans="2:20">
      <c r="B25" s="25" t="s">
        <v>122</v>
      </c>
      <c r="C25" s="18">
        <f>C16/1000</f>
        <v>1.6000000000000001E-3</v>
      </c>
      <c r="E25" s="18">
        <f>IF(E24="no tubes","",IF(E14=0,"",E16/1000))</f>
        <v>1.6000000000000001E-3</v>
      </c>
      <c r="F25" s="18" t="str">
        <f>IF(F24="no tubes","",IF(F14=0,"",F16/1000))</f>
        <v/>
      </c>
      <c r="G25" s="18" t="str">
        <f>IF(G24="no tubes","",IF(G14=0,"",G16/1000))</f>
        <v/>
      </c>
      <c r="H25" s="35"/>
      <c r="J25" s="35"/>
      <c r="O25" s="26"/>
      <c r="T25" s="27"/>
    </row>
    <row r="26" spans="2:20">
      <c r="B26" s="25" t="s">
        <v>123</v>
      </c>
      <c r="C26" s="19">
        <f>IF(C6="Round",((C24)^4-((C24-2*C25))^4)*3.142/64,((C24)^4-((C24-2*C25))^4)/12)</f>
        <v>8.5099184800000022E-9</v>
      </c>
      <c r="E26" s="19">
        <f>IF(E24="no tubes","",IF(E14=0,"",IF(E6="Round",(((E24)^4-((E24-2*E25))^4)*3.142/64),IF(E6="Square",(((E24)^4-((E24-2*E25))^4)/12),""))))</f>
        <v>8.5099184800000022E-9</v>
      </c>
      <c r="F26" s="19" t="str">
        <f>IF(F24="no tubes","",IF(F14=0,"",IF(F6="Round",(((F24)^4-((F24-2*F25))^4)*3.142/64),IF(F6="Square",(((F24)^4-((F24-2*F25))^4)/12),""))))</f>
        <v/>
      </c>
      <c r="G26" s="19" t="str">
        <f>IF(G24="no tubes","",IF(G14=0,"",IF(G6="Round",(((G24)^4-((G24-2*G25))^4)*3.142/64),IF(G6="Square",(((G24)^4-((G24-2*G25))^4)/12),""))))</f>
        <v/>
      </c>
      <c r="H26" s="19">
        <f>IF(SUM(E26:G26)&gt;0,SUM(E26:G26),"")</f>
        <v>8.5099184800000022E-9</v>
      </c>
      <c r="I26" s="36" t="str">
        <f>IF($F$2="Tubing only","Tubing Only",O12)</f>
        <v>Tubing Only</v>
      </c>
      <c r="J26" s="19">
        <f t="shared" ref="J26:J33" si="0">IF($F$2="Tubing only",H26,IF($F$2="Composite only",I26,IF($F$2="Tubes + Composite",H26+I26,"No Type Selected")))</f>
        <v>8.5099184800000022E-9</v>
      </c>
      <c r="O26" s="26"/>
      <c r="S26" s="26"/>
      <c r="T26" s="27"/>
    </row>
    <row r="27" spans="2:20">
      <c r="B27" s="25" t="s">
        <v>124</v>
      </c>
      <c r="C27" s="19" t="e">
        <f>C8*C26*C14</f>
        <v>#REF!</v>
      </c>
      <c r="D27" s="26"/>
      <c r="E27" s="19" t="e">
        <f>IF(E24="no tubes","",IF(E14=0,"",E8*E26*E14))</f>
        <v>#REF!</v>
      </c>
      <c r="F27" s="19" t="str">
        <f>IF(F24="no tubes","",IF(F14=0,"",F8*F26*F14))</f>
        <v/>
      </c>
      <c r="G27" s="19" t="str">
        <f>IF(G24="no tubes","",IF(G14=0,"",G8*G26*G14))</f>
        <v/>
      </c>
      <c r="H27" s="19" t="e">
        <f t="shared" ref="H27:H35" si="1">IF(SUM(E27:G27)&gt;0,SUM(E27:G27),"")</f>
        <v>#REF!</v>
      </c>
      <c r="I27" s="36" t="str">
        <f>IF(I26="Tubing Only","",I26*I8)</f>
        <v/>
      </c>
      <c r="J27" s="19" t="e">
        <f t="shared" si="0"/>
        <v>#REF!</v>
      </c>
      <c r="K27" s="23" t="e">
        <f>IF(AND(NOT($F$2="tubes + composite"),OR(AND($G$14&gt;0,G27&lt;(C27/3)),AND($F$14&gt;0,F27&lt;(C27/3)),AND($E$14&gt;0,E27&lt;(C27/3)))),0,100*J27/C27)</f>
        <v>#REF!</v>
      </c>
      <c r="L27" t="e">
        <f>IF((99.9&gt;K27)*AND(K27&gt;33.3),"For Composites Only, Additional Proof Required","")</f>
        <v>#REF!</v>
      </c>
    </row>
    <row r="28" spans="2:20">
      <c r="B28" s="25" t="s">
        <v>125</v>
      </c>
      <c r="C28" s="20">
        <f>IF(C24="no tubes","",IF(C14=0,"",IF(C6="Round",C14*((C15^2-(C15-2*C16)^2)*PI()/4),IF(C6="Square",C14*(C15^2-(C15-2*C16)^2),""))))</f>
        <v>358.89554474609793</v>
      </c>
      <c r="D28" s="42"/>
      <c r="E28" s="20">
        <f>IF(E24="no tubes","",IF(E14=0,"",IF(E6="Round",E14*((E15^2-(E15-2*E16)^2)*PI()/4),IF(E6="Square",E14*(E15^2-(E15-2*E16)^2),""))))</f>
        <v>358.89554474609793</v>
      </c>
      <c r="F28" s="20" t="str">
        <f>IF(F24="no tubes","",IF(F14=0,"",IF(F6="Round",F14*((F15^2-(F15-2*F16)^2)*PI()/4),IF(F6="Square",F14*(F15^2-(F15-2*F16)^2),""))))</f>
        <v/>
      </c>
      <c r="G28" s="20" t="str">
        <f>IF(G24="no tubes","",IF(G14=0,"",IF(G6="Round",G14*((G15^2-(G15-2*G16)^2)*PI()/4),IF(G6="Square",G14*(G15^2-(G15-2*G16)^2),""))))</f>
        <v/>
      </c>
      <c r="H28" s="20">
        <f t="shared" si="1"/>
        <v>358.89554474609793</v>
      </c>
      <c r="I28" s="20" t="str">
        <f>IF(I26="Tubing Only","",(I18-I19)*I22)</f>
        <v/>
      </c>
      <c r="J28" s="20">
        <f t="shared" si="0"/>
        <v>358.89554474609793</v>
      </c>
      <c r="K28" s="23">
        <f>IF(AND($F$2="tubing only",AND(E5="steel",F5="steel",G5="steel")),100*J28/C28,"NA")</f>
        <v>100</v>
      </c>
      <c r="L28" t="str">
        <f>IF(AND(95&lt;K28,K28&lt;100),"For tubes only, provided your actual tube measures &gt;= your nominal OD and wall this is OK","")</f>
        <v/>
      </c>
      <c r="S28" s="26"/>
    </row>
    <row r="29" spans="2:20">
      <c r="B29" s="25" t="s">
        <v>126</v>
      </c>
      <c r="C29" s="19" t="e">
        <f>C$28*C9/1000000</f>
        <v>#REF!</v>
      </c>
      <c r="D29" s="26"/>
      <c r="E29" s="19" t="e">
        <f>IF(E24="no tubes","",IF(E14=0,"",E$28*E9/1000000))</f>
        <v>#REF!</v>
      </c>
      <c r="F29" s="19" t="str">
        <f>IF(F24="no tubes","",IF(F14=0,"",F$28*F9/1000000))</f>
        <v/>
      </c>
      <c r="G29" s="19" t="str">
        <f>IF(G24="no tubes","",IF(G14=0,"",G$28*G9/1000000))</f>
        <v/>
      </c>
      <c r="H29" s="19" t="e">
        <f t="shared" si="1"/>
        <v>#REF!</v>
      </c>
      <c r="I29" s="19" t="str">
        <f>IF(I26="Tubing Only","",I28*I9/1000000)</f>
        <v/>
      </c>
      <c r="J29" s="19" t="e">
        <f t="shared" si="0"/>
        <v>#REF!</v>
      </c>
      <c r="K29" s="23" t="e">
        <f>IF(AND($F$2="tubing only",OR($E29&lt;0.95*($E$14/$C$14)*$C29,$F29&lt;0.95*($F$14/$C$14)*$C29,$G29&lt;0.95*($G$14/$C$14)*$C29)),0,100*J29/C29)</f>
        <v>#REF!</v>
      </c>
      <c r="L29" t="e">
        <f>IF(AND(95&lt;K29,K29&lt;100),"For tubes only, provided your actual tube measures &gt;= your nominal OD and wall this is OK","")</f>
        <v>#REF!</v>
      </c>
    </row>
    <row r="30" spans="2:20">
      <c r="B30" s="25" t="s">
        <v>127</v>
      </c>
      <c r="C30" s="19" t="e">
        <f>C$28*C10/1000000</f>
        <v>#REF!</v>
      </c>
      <c r="D30" s="26"/>
      <c r="E30" s="19" t="e">
        <f>IF(E24="no tubes","",IF(E14=0,"",E$28*E10/1000000))</f>
        <v>#REF!</v>
      </c>
      <c r="F30" s="19" t="str">
        <f>IF(F24="no tubes","",IF(F14=0,"",F$28*F10/1000000))</f>
        <v/>
      </c>
      <c r="G30" s="19" t="str">
        <f>IF(G24="no tubes","",IF(G14=0,"",G$28*G10/1000000))</f>
        <v/>
      </c>
      <c r="H30" s="19" t="e">
        <f t="shared" si="1"/>
        <v>#REF!</v>
      </c>
      <c r="I30" s="19" t="str">
        <f>IF(I26="Tubing Only","",I28*I10/1000000)</f>
        <v/>
      </c>
      <c r="J30" s="19" t="e">
        <f t="shared" si="0"/>
        <v>#REF!</v>
      </c>
      <c r="K30" s="23" t="e">
        <f>IF(AND($F$2="tubing only",OR($E30&lt;0.95*($E$14/$C$14)*$C30,$F30&lt;0.95*($F$14/$C$14)*$C30,$G30&lt;0.95*($G$14/$C$14)*$C30)),0,100*J30/C30)</f>
        <v>#REF!</v>
      </c>
      <c r="L30" t="e">
        <f>IF(AND(95&lt;K30,K30&lt;100),"For tubes only, provided your actual tube measures &gt;= your nominal OD and wall this is OK","")</f>
        <v>#REF!</v>
      </c>
      <c r="S30" s="26"/>
    </row>
    <row r="31" spans="2:20">
      <c r="B31" s="25" t="s">
        <v>128</v>
      </c>
      <c r="C31" s="19" t="e">
        <f>C$28*C11/1000000</f>
        <v>#REF!</v>
      </c>
      <c r="D31" s="26"/>
      <c r="E31" s="19" t="e">
        <f>IF(E24="no tubes","",IF(E14=0,"",E$28*E11/1000000))</f>
        <v>#REF!</v>
      </c>
      <c r="F31" s="19" t="str">
        <f>IF(F24="no tubes","",IF(F14=0,"",F$28*F11/1000000))</f>
        <v/>
      </c>
      <c r="G31" s="19" t="str">
        <f>IF(G24="no tubes","",IF(G14=0,"",G$28*G11/1000000))</f>
        <v/>
      </c>
      <c r="H31" s="19" t="e">
        <f t="shared" si="1"/>
        <v>#REF!</v>
      </c>
      <c r="I31" s="19" t="str">
        <f>IF(I26="Tubing Only","",I28*I9/1000000)</f>
        <v/>
      </c>
      <c r="J31" s="19" t="e">
        <f t="shared" si="0"/>
        <v>#REF!</v>
      </c>
      <c r="K31" s="23" t="e">
        <f>IF(AND($F$2="tubing only",OR($E31&lt;0.95*($E$14/$C$14)*$C31,$F31&lt;0.95*($F$14/$C$14)*$C31,$G31&lt;0.95*($G$14/$C$14)*$C31)),0,100*J31/C31)</f>
        <v>#REF!</v>
      </c>
      <c r="L31" t="e">
        <f>IF(AND(95&lt;K31,K31&lt;100),"For tubes only, provided your actual tube measures &gt;= your nominal OD and wall this is OK","")</f>
        <v>#REF!</v>
      </c>
      <c r="S31" s="26"/>
    </row>
    <row r="32" spans="2:20">
      <c r="B32" s="25" t="s">
        <v>129</v>
      </c>
      <c r="C32" s="19" t="e">
        <f>IF(C14=0,"",C$28*C12/1000000)</f>
        <v>#REF!</v>
      </c>
      <c r="D32" s="26"/>
      <c r="E32" s="19" t="e">
        <f>IF(E24="no tubes","",IF(E14=0,"",E$28*E12/1000000))</f>
        <v>#REF!</v>
      </c>
      <c r="F32" s="19" t="str">
        <f>IF(F24="no tubes","",IF(F14=0,"",F$28*F12/1000000))</f>
        <v/>
      </c>
      <c r="G32" s="19" t="str">
        <f>IF(G24="no tubes","",IF(G14=0,"",G$28*G12/1000000))</f>
        <v/>
      </c>
      <c r="H32" s="19" t="e">
        <f t="shared" si="1"/>
        <v>#REF!</v>
      </c>
      <c r="I32" s="19" t="str">
        <f>IF(I26="tubing only","",I28*I10/1000000)</f>
        <v/>
      </c>
      <c r="J32" s="19" t="e">
        <f t="shared" si="0"/>
        <v>#REF!</v>
      </c>
      <c r="K32" s="23" t="e">
        <f>IF(AND($F$2="tubing only",OR($E32&lt;0.95*($E$14/$C$14)*$C32,$F32&lt;0.95*($F$14/$C$14)*$C32,$G32&lt;0.95*($G$14/$C$14)*$C32)),0,100*J32/C32)</f>
        <v>#REF!</v>
      </c>
      <c r="L32" t="e">
        <f>IF(AND(95&lt;K32,K32&lt;100),"For tubes only, provided your actual tube measures &gt;= your nominal OD and wall this is OK","")</f>
        <v>#REF!</v>
      </c>
      <c r="S32" s="26"/>
    </row>
    <row r="33" spans="2:13">
      <c r="B33" s="25" t="s">
        <v>130</v>
      </c>
      <c r="C33" s="19" t="e">
        <f>C14*4*C10*C26/(0.5*C24*1)</f>
        <v>#REF!</v>
      </c>
      <c r="E33" s="19" t="e">
        <f>IF(E24="no tubes","",IF(E14=0,"",E14*4*E10*E26/(0.5*E24*1)))</f>
        <v>#REF!</v>
      </c>
      <c r="F33" s="19" t="str">
        <f>IF(F24="no tubes","",IF(F14=0,"",F14*4*F10*F26/(0.5*F24*1)))</f>
        <v/>
      </c>
      <c r="G33" s="19" t="str">
        <f>IF(G24="no tubes","",IF(G14=0,"",G14*4*G10*G26/(0.5*G24*1)))</f>
        <v/>
      </c>
      <c r="H33" s="19" t="e">
        <f t="shared" si="1"/>
        <v>#REF!</v>
      </c>
      <c r="I33" s="19" t="str">
        <f>IF(I26="tubing only","",4*I10*(I26*2/(I18/1000))/1)</f>
        <v/>
      </c>
      <c r="J33" s="19" t="e">
        <f t="shared" si="0"/>
        <v>#REF!</v>
      </c>
      <c r="K33" s="23" t="e">
        <f>IF(AND($F$2="tubing only",OR($E33&lt;0.95*($E$14/$C$14)*$C33,$F33&lt;0.95*($F$14/$C$14)*$C33,$G33&lt;0.95*($G$14/$C$14)*$C33)),0,100*J33/C33)</f>
        <v>#REF!</v>
      </c>
      <c r="L33" t="e">
        <f>IF((99.9&gt;K33)*AND(K33&gt;33.3),"For Composites Only, Additional Proof Required","")</f>
        <v>#REF!</v>
      </c>
    </row>
    <row r="34" spans="2:13">
      <c r="B34" s="25" t="s">
        <v>131</v>
      </c>
      <c r="C34" s="19" t="e">
        <f>IF(C14=0,"",C33*1^3/(48*C27))</f>
        <v>#REF!</v>
      </c>
      <c r="E34" s="19" t="e">
        <f>IF(E24="no tubes","",IF(E14=0,"",($C$33*1^3/(48*E27))))</f>
        <v>#REF!</v>
      </c>
      <c r="F34" s="19" t="str">
        <f>IF(F24="no tubes","",IF(F14=0,"",($C$33*1^3/(48*F27))))</f>
        <v/>
      </c>
      <c r="G34" s="19" t="str">
        <f>IF(G24="no tubes","",IF(G14=0,"",($C$33*1^3/(48*G27))))</f>
        <v/>
      </c>
      <c r="H34" s="19" t="e">
        <f>IF(F2="composite only","",$C$33*1^3/(48*H27))</f>
        <v>#REF!</v>
      </c>
      <c r="I34" s="19" t="str">
        <f>IF(NOT($F$2="tubing only"),$C$33*1^3/(48*I27),"")</f>
        <v/>
      </c>
      <c r="J34" s="19" t="e">
        <f>IF($F$2="Tubing only",H34,IF($F$2="Composite only",I34,IF($F$2="Tubes + Composite",$C$33*1^3/(48*J27),"No Type Selected")))</f>
        <v>#REF!</v>
      </c>
      <c r="K34" s="23" t="e">
        <f>IF(AND($F$2="tubing only",J34&gt;1.05*C34),101,100*J34/C34)</f>
        <v>#REF!</v>
      </c>
      <c r="L34" t="e">
        <f>IF((100.1&lt;K34)*AND(K34&lt;300.1),"For Composites Only, Additional Proof Required","")</f>
        <v>#REF!</v>
      </c>
      <c r="M34" s="26"/>
    </row>
    <row r="35" spans="2:13">
      <c r="B35" s="25" t="s">
        <v>132</v>
      </c>
      <c r="C35" s="19" t="e">
        <f>0.5*C33*(C33*1^3/(48*C27))</f>
        <v>#REF!</v>
      </c>
      <c r="E35" s="19" t="e">
        <f>IF(E24="no tubes","",0.5*E33*(E33*1^3/(48*E27)))</f>
        <v>#REF!</v>
      </c>
      <c r="F35" s="19" t="str">
        <f>IF(F24="no tubes","",0.5*F33*(F33*1^3/(48*F27)))</f>
        <v/>
      </c>
      <c r="G35" s="19" t="str">
        <f>IF(G24="no tubes","",0.5*G33*(G33*1^3/(48*G27)))</f>
        <v/>
      </c>
      <c r="H35" s="19" t="e">
        <f t="shared" si="1"/>
        <v>#REF!</v>
      </c>
      <c r="I35" s="19" t="str">
        <f>IF(I26="tubing only","",0.5*I33*(I33*1^3/(48*I27)))</f>
        <v/>
      </c>
      <c r="J35" s="19" t="e">
        <f>IF($F$2="Tubing only",H35,IF($F$2="Composite only",I35,IF($F$2="Tubes + Composite",H35+I35,"No Type Selected")))</f>
        <v>#REF!</v>
      </c>
      <c r="K35" s="23" t="e">
        <f>IF(AND($F$2="tubing only",OR($E$36&lt;$C$36,$F$36&lt;$C$36,$G$36&lt;$C$36)),0,100*J35/C35)</f>
        <v>#REF!</v>
      </c>
      <c r="L35" t="e">
        <f>IF((99.9&gt;K35)*AND(K35&gt;33.3),"For Composites Only, Additional Proof Required","")</f>
        <v>#REF!</v>
      </c>
    </row>
    <row r="36" spans="2:13">
      <c r="C36" s="82" t="e">
        <f>0.99*C27/C14</f>
        <v>#REF!</v>
      </c>
      <c r="D36" s="29"/>
      <c r="E36" s="82" t="e">
        <f>IF(AND($F$2="tubing only",E14&gt;0),E27/E14,9E+99)</f>
        <v>#REF!</v>
      </c>
      <c r="F36" s="82">
        <f>IF(AND($F$2="tubing only",F14&gt;0),F27/F14,9E+99)</f>
        <v>8.9999999999999999E+99</v>
      </c>
      <c r="G36" s="82">
        <f>IF(AND($F$2="tubing only",G14&gt;0),G27/G14,9E+99)</f>
        <v>8.9999999999999999E+99</v>
      </c>
      <c r="H36" s="97"/>
    </row>
    <row r="37" spans="2:13">
      <c r="B37" s="3" t="s">
        <v>133</v>
      </c>
      <c r="E37" s="26"/>
    </row>
    <row r="38" spans="2:13">
      <c r="B38" s="8"/>
      <c r="C38" s="9"/>
      <c r="D38" s="9"/>
      <c r="E38" s="9"/>
      <c r="F38" s="9"/>
      <c r="G38" s="9"/>
      <c r="H38" s="9"/>
      <c r="I38" s="9"/>
      <c r="J38" s="9"/>
      <c r="K38" s="10"/>
    </row>
    <row r="39" spans="2:13">
      <c r="B39" s="91" t="s">
        <v>134</v>
      </c>
      <c r="C39" s="12"/>
      <c r="D39" s="12"/>
      <c r="E39" s="12"/>
      <c r="F39" s="12"/>
      <c r="G39" s="12"/>
      <c r="H39" s="12"/>
      <c r="I39" s="12"/>
      <c r="J39" s="12"/>
      <c r="K39" s="13"/>
    </row>
    <row r="40" spans="2:13">
      <c r="B40" s="91" t="s">
        <v>135</v>
      </c>
      <c r="C40" s="12"/>
      <c r="D40" s="12"/>
      <c r="E40" s="12"/>
      <c r="F40" s="12"/>
      <c r="G40" s="12"/>
      <c r="H40" s="12"/>
      <c r="I40" s="12"/>
      <c r="J40" s="12"/>
      <c r="K40" s="13"/>
    </row>
    <row r="41" spans="2:13">
      <c r="B41" s="11"/>
      <c r="C41" s="12"/>
      <c r="D41" s="12"/>
      <c r="E41" s="12"/>
      <c r="F41" s="12"/>
      <c r="G41" s="12"/>
      <c r="H41" s="12"/>
      <c r="I41" s="12"/>
      <c r="J41" s="12"/>
      <c r="K41" s="13"/>
    </row>
    <row r="42" spans="2:13">
      <c r="B42" s="11"/>
      <c r="C42" s="12"/>
      <c r="D42" s="12"/>
      <c r="E42" s="12"/>
      <c r="F42" s="12"/>
      <c r="G42" s="12"/>
      <c r="H42" s="12"/>
      <c r="I42" s="12"/>
      <c r="J42" s="12"/>
      <c r="K42" s="13"/>
    </row>
    <row r="43" spans="2:13">
      <c r="B43" s="11"/>
      <c r="C43" s="12"/>
      <c r="D43" s="12"/>
      <c r="E43" s="12"/>
      <c r="F43" s="12"/>
      <c r="G43" s="12"/>
      <c r="H43" s="12"/>
      <c r="I43" s="12"/>
      <c r="J43" s="12"/>
      <c r="K43" s="13"/>
    </row>
    <row r="44" spans="2:13">
      <c r="B44" s="11"/>
      <c r="C44" s="12"/>
      <c r="D44" s="12"/>
      <c r="E44" s="12"/>
      <c r="F44" s="12"/>
      <c r="G44" s="12"/>
      <c r="H44" s="12"/>
      <c r="I44" s="12"/>
      <c r="J44" s="12"/>
      <c r="K44" s="13"/>
    </row>
    <row r="45" spans="2:13">
      <c r="B45" s="11"/>
      <c r="C45" s="12"/>
      <c r="D45" s="12"/>
      <c r="E45" s="12"/>
      <c r="F45" s="12"/>
      <c r="G45" s="12"/>
      <c r="H45" s="12"/>
      <c r="I45" s="12"/>
      <c r="J45" s="12"/>
      <c r="K45" s="13"/>
    </row>
    <row r="46" spans="2:13">
      <c r="B46" s="11"/>
      <c r="C46" s="12"/>
      <c r="D46" s="12"/>
      <c r="E46" s="12"/>
      <c r="F46" s="12"/>
      <c r="G46" s="12"/>
      <c r="H46" s="12"/>
      <c r="I46" s="12"/>
      <c r="J46" s="12"/>
      <c r="K46" s="13"/>
    </row>
    <row r="47" spans="2:13">
      <c r="B47" s="11"/>
      <c r="C47" s="12"/>
      <c r="D47" s="12"/>
      <c r="E47" s="12"/>
      <c r="F47" s="12"/>
      <c r="G47" s="12"/>
      <c r="H47" s="12"/>
      <c r="I47" s="12"/>
      <c r="J47" s="12"/>
      <c r="K47" s="13"/>
    </row>
    <row r="48" spans="2:13">
      <c r="B48" s="11"/>
      <c r="C48" s="12"/>
      <c r="D48" s="12"/>
      <c r="E48" s="12"/>
      <c r="F48" s="12"/>
      <c r="G48" s="12"/>
      <c r="H48" s="12"/>
      <c r="I48" s="12"/>
      <c r="J48" s="12"/>
      <c r="K48" s="13"/>
    </row>
    <row r="49" spans="2:11">
      <c r="B49" s="11"/>
      <c r="C49" s="12"/>
      <c r="D49" s="12"/>
      <c r="E49" s="12"/>
      <c r="F49" s="12"/>
      <c r="G49" s="12"/>
      <c r="H49" s="12"/>
      <c r="I49" s="12"/>
      <c r="J49" s="12"/>
      <c r="K49" s="13"/>
    </row>
    <row r="50" spans="2:11">
      <c r="B50" s="11"/>
      <c r="C50" s="12"/>
      <c r="D50" s="12"/>
      <c r="E50" s="12"/>
      <c r="F50" s="12"/>
      <c r="G50" s="12"/>
      <c r="H50" s="12"/>
      <c r="I50" s="12"/>
      <c r="J50" s="12"/>
      <c r="K50" s="13"/>
    </row>
    <row r="51" spans="2:11">
      <c r="B51" s="11"/>
      <c r="C51" s="12"/>
      <c r="D51" s="12"/>
      <c r="E51" s="12"/>
      <c r="F51" s="12"/>
      <c r="G51" s="12"/>
      <c r="H51" s="12"/>
      <c r="I51" s="12"/>
      <c r="J51" s="12"/>
      <c r="K51" s="13"/>
    </row>
    <row r="52" spans="2:11">
      <c r="B52" s="11"/>
      <c r="C52" s="12"/>
      <c r="D52" s="12"/>
      <c r="E52" s="12"/>
      <c r="F52" s="12"/>
      <c r="G52" s="12"/>
      <c r="H52" s="12"/>
      <c r="I52" s="12"/>
      <c r="J52" s="12"/>
      <c r="K52" s="13"/>
    </row>
    <row r="53" spans="2:11">
      <c r="B53" s="11"/>
      <c r="C53" s="12"/>
      <c r="D53" s="12"/>
      <c r="E53" s="12"/>
      <c r="F53" s="12"/>
      <c r="G53" s="12"/>
      <c r="H53" s="12"/>
      <c r="I53" s="12"/>
      <c r="J53" s="12"/>
      <c r="K53" s="13"/>
    </row>
    <row r="54" spans="2:11">
      <c r="B54" s="11"/>
      <c r="C54" s="12"/>
      <c r="D54" s="12"/>
      <c r="E54" s="12"/>
      <c r="F54" s="12"/>
      <c r="G54" s="12"/>
      <c r="H54" s="12"/>
      <c r="I54" s="12"/>
      <c r="J54" s="12"/>
      <c r="K54" s="13"/>
    </row>
    <row r="55" spans="2:11">
      <c r="B55" s="11"/>
      <c r="C55" s="12"/>
      <c r="D55" s="12"/>
      <c r="E55" s="12"/>
      <c r="F55" s="12"/>
      <c r="G55" s="12"/>
      <c r="H55" s="12"/>
      <c r="I55" s="12"/>
      <c r="J55" s="12"/>
      <c r="K55" s="13"/>
    </row>
    <row r="56" spans="2:11">
      <c r="B56" s="16"/>
      <c r="C56" s="15"/>
      <c r="D56" s="15"/>
      <c r="E56" s="15"/>
      <c r="F56" s="15"/>
      <c r="G56" s="15"/>
      <c r="H56" s="15"/>
      <c r="I56" s="15"/>
      <c r="J56" s="15"/>
      <c r="K56" s="17"/>
    </row>
  </sheetData>
  <sheetProtection algorithmName="SHA-512" hashValue="3Alzi67pRAOMFxhVxJZCnVYbP46x1P4jPM8dZYIJZEYo5tlW6JlIj8XB11h1bSQxuZs8bQNIotaManKFBmDvjQ==" saltValue="lPRkzmWPDy8i3NwubRScIQ==" spinCount="100000" sheet="1" scenarios="1"/>
  <mergeCells count="3">
    <mergeCell ref="C2:E2"/>
    <mergeCell ref="F2:G2"/>
    <mergeCell ref="E19:G22"/>
  </mergeCells>
  <phoneticPr fontId="0" type="noConversion"/>
  <conditionalFormatting sqref="E27:G33">
    <cfRule type="cellIs" dxfId="292" priority="7" stopIfTrue="1" operator="lessThan">
      <formula>0.95*$C27*(E$14/$C$14)</formula>
    </cfRule>
  </conditionalFormatting>
  <conditionalFormatting sqref="E35:G35">
    <cfRule type="cellIs" dxfId="291" priority="5" stopIfTrue="1" operator="lessThan">
      <formula>0.95*$C35*(E$14/$C$14)</formula>
    </cfRule>
  </conditionalFormatting>
  <conditionalFormatting sqref="K27">
    <cfRule type="cellIs" dxfId="290" priority="19" stopIfTrue="1" operator="lessThan">
      <formula>33.3</formula>
    </cfRule>
    <cfRule type="cellIs" dxfId="289" priority="20" stopIfTrue="1" operator="between">
      <formula>33.3</formula>
      <formula>100</formula>
    </cfRule>
  </conditionalFormatting>
  <conditionalFormatting sqref="K27:K33">
    <cfRule type="cellIs" dxfId="288" priority="14" stopIfTrue="1" operator="greaterThanOrEqual">
      <formula>100</formula>
    </cfRule>
  </conditionalFormatting>
  <conditionalFormatting sqref="K28:K33">
    <cfRule type="cellIs" dxfId="287" priority="15" stopIfTrue="1" operator="lessThan">
      <formula>100</formula>
    </cfRule>
  </conditionalFormatting>
  <conditionalFormatting sqref="K34">
    <cfRule type="cellIs" dxfId="286" priority="9" stopIfTrue="1" operator="between">
      <formula>100.1</formula>
      <formula>300</formula>
    </cfRule>
    <cfRule type="cellIs" dxfId="285" priority="16" stopIfTrue="1" operator="greaterThan">
      <formula>300</formula>
    </cfRule>
    <cfRule type="cellIs" dxfId="284" priority="17" stopIfTrue="1" operator="lessThanOrEqual">
      <formula>100</formula>
    </cfRule>
  </conditionalFormatting>
  <conditionalFormatting sqref="K35">
    <cfRule type="cellIs" dxfId="283" priority="10" stopIfTrue="1" operator="greaterThanOrEqual">
      <formula>100</formula>
    </cfRule>
    <cfRule type="cellIs" dxfId="282" priority="11" stopIfTrue="1" operator="lessThan">
      <formula>33.3</formula>
    </cfRule>
    <cfRule type="cellIs" dxfId="281" priority="12" stopIfTrue="1" operator="between">
      <formula>33.3</formula>
      <formula>100</formula>
    </cfRule>
  </conditionalFormatting>
  <dataValidations disablePrompts="1" count="6">
    <dataValidation allowBlank="1" showInputMessage="1" showErrorMessage="1" promptTitle="Select Material" sqref="C6 I6 J13 J14" xr:uid="{00000000-0002-0000-2300-000000000000}"/>
    <dataValidation type="list" allowBlank="1" showInputMessage="1" showErrorMessage="1" promptTitle="Select Material" sqref="E6:G6" xr:uid="{00000000-0002-0000-2300-000001000000}">
      <formula1>Tube_Type</formula1>
    </dataValidation>
    <dataValidation type="list" allowBlank="1" showInputMessage="1" showErrorMessage="1" promptTitle="Select Material" sqref="C5:D5 D6 H5:H6" xr:uid="{00000000-0002-0000-2300-000002000000}">
      <formula1>Materials</formula1>
    </dataValidation>
    <dataValidation type="list" allowBlank="1" showInputMessage="1" showErrorMessage="1" sqref="F2" xr:uid="{00000000-0002-0000-2300-000003000000}">
      <formula1>ConstructionType</formula1>
    </dataValidation>
    <dataValidation type="list" allowBlank="1" showInputMessage="1" showErrorMessage="1" sqref="I5" xr:uid="{00000000-0002-0000-2300-000004000000}">
      <formula1>Material</formula1>
    </dataValidation>
    <dataValidation type="list" allowBlank="1" showInputMessage="1" showErrorMessage="1" promptTitle="Select Material" sqref="E5:G5" xr:uid="{0CFCF04A-24D4-4342-8C2F-61AF1D000E93}">
      <formula1>Metallic_Mats</formula1>
    </dataValidation>
  </dataValidations>
  <hyperlinks>
    <hyperlink ref="L2:M2" location="'Cover Sheet'!A1" display="BACK to COVER SHEET" xr:uid="{00000000-0004-0000-2300-000000000000}"/>
  </hyperlinks>
  <pageMargins left="0.75" right="0.75" top="1" bottom="1" header="0.5" footer="0.5"/>
  <pageSetup paperSize="9" orientation="portrait"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2394A-8BD2-42F8-A8FA-38579C1B34BE}">
  <sheetPr codeName="Tabelle3">
    <tabColor rgb="FFCCFF99"/>
  </sheetPr>
  <dimension ref="B1:T56"/>
  <sheetViews>
    <sheetView showGridLines="0" zoomScaleNormal="100" workbookViewId="0">
      <selection activeCell="B1" sqref="B1"/>
    </sheetView>
  </sheetViews>
  <sheetFormatPr defaultColWidth="11.42578125" defaultRowHeight="12.75"/>
  <cols>
    <col min="1" max="1" width="3.42578125" customWidth="1"/>
    <col min="2" max="2" width="45.85546875" customWidth="1"/>
    <col min="3" max="3" width="11.42578125" customWidth="1"/>
    <col min="4" max="4" width="3.5703125" customWidth="1"/>
    <col min="5" max="8" width="11.7109375" customWidth="1"/>
    <col min="9" max="9" width="14.28515625" bestFit="1" customWidth="1"/>
    <col min="10" max="10" width="11.7109375" customWidth="1"/>
    <col min="11" max="11" width="6.140625" customWidth="1"/>
    <col min="12" max="12" width="8.7109375" customWidth="1"/>
  </cols>
  <sheetData>
    <row r="1" spans="2:15" ht="15.75">
      <c r="B1" s="2" t="s">
        <v>74</v>
      </c>
    </row>
    <row r="2" spans="2:15">
      <c r="C2" s="581" t="s">
        <v>75</v>
      </c>
      <c r="D2" s="582"/>
      <c r="E2" s="583"/>
      <c r="F2" s="584" t="s">
        <v>76</v>
      </c>
      <c r="G2" s="585"/>
      <c r="L2" s="58" t="s">
        <v>77</v>
      </c>
      <c r="M2" s="58"/>
    </row>
    <row r="4" spans="2:15" ht="25.5" customHeight="1">
      <c r="B4" s="24" t="s">
        <v>78</v>
      </c>
      <c r="C4" s="24" t="s">
        <v>79</v>
      </c>
      <c r="D4" s="3"/>
      <c r="E4" s="31" t="s">
        <v>80</v>
      </c>
      <c r="F4" s="31" t="s">
        <v>81</v>
      </c>
      <c r="G4" s="31" t="s">
        <v>82</v>
      </c>
      <c r="H4" s="31" t="s">
        <v>83</v>
      </c>
      <c r="I4" s="37" t="s">
        <v>84</v>
      </c>
      <c r="J4" s="31" t="s">
        <v>85</v>
      </c>
      <c r="L4" s="3"/>
      <c r="M4" s="55" t="s">
        <v>86</v>
      </c>
      <c r="N4" s="55" t="s">
        <v>87</v>
      </c>
    </row>
    <row r="5" spans="2:15">
      <c r="B5" s="89" t="s">
        <v>88</v>
      </c>
      <c r="C5" s="18" t="s">
        <v>89</v>
      </c>
      <c r="E5" s="7" t="s">
        <v>89</v>
      </c>
      <c r="F5" s="7" t="s">
        <v>89</v>
      </c>
      <c r="G5" s="7" t="s">
        <v>89</v>
      </c>
      <c r="H5" s="32"/>
      <c r="I5" s="21" t="s">
        <v>90</v>
      </c>
      <c r="J5" s="32"/>
      <c r="L5" s="87" t="s">
        <v>91</v>
      </c>
      <c r="M5">
        <f>I22/1000</f>
        <v>0.32</v>
      </c>
      <c r="N5" s="53">
        <f>M5</f>
        <v>0.32</v>
      </c>
    </row>
    <row r="6" spans="2:15">
      <c r="B6" s="89" t="s">
        <v>92</v>
      </c>
      <c r="C6" s="18" t="s">
        <v>93</v>
      </c>
      <c r="E6" s="7" t="s">
        <v>93</v>
      </c>
      <c r="F6" s="7" t="s">
        <v>93</v>
      </c>
      <c r="G6" s="7" t="s">
        <v>93</v>
      </c>
      <c r="H6" s="34"/>
      <c r="I6" s="33" t="s">
        <v>94</v>
      </c>
      <c r="J6" s="30"/>
      <c r="L6" s="87" t="s">
        <v>95</v>
      </c>
      <c r="M6">
        <f>I21/1000</f>
        <v>1E-3</v>
      </c>
      <c r="N6" s="53">
        <f>I20/1000</f>
        <v>1E-3</v>
      </c>
    </row>
    <row r="7" spans="2:15">
      <c r="B7" s="25" t="s">
        <v>96</v>
      </c>
      <c r="C7" s="19" t="e">
        <f>HLOOKUP(C5,#REF!,2,FALSE)</f>
        <v>#REF!</v>
      </c>
      <c r="D7" s="26"/>
      <c r="E7" s="19" t="e">
        <f>HLOOKUP(E5,#REF!,2,FALSE)</f>
        <v>#REF!</v>
      </c>
      <c r="F7" s="19" t="e">
        <f>HLOOKUP(F5,#REF!,2,FALSE)</f>
        <v>#REF!</v>
      </c>
      <c r="G7" s="19" t="e">
        <f>HLOOKUP(G5,#REF!,2,FALSE)</f>
        <v>#REF!</v>
      </c>
      <c r="H7" s="30"/>
      <c r="I7" s="57" t="e">
        <f>HLOOKUP(I5,#REF!,2,FALSE)</f>
        <v>#REF!</v>
      </c>
      <c r="J7" s="34"/>
    </row>
    <row r="8" spans="2:15" ht="15.75">
      <c r="B8" s="25" t="s">
        <v>97</v>
      </c>
      <c r="C8" s="19" t="e">
        <f>INDEX(Innertable,MATCH($B8,#REF!,0),MATCH(C$7,#REF!,0))</f>
        <v>#REF!</v>
      </c>
      <c r="D8" s="26"/>
      <c r="E8" s="19" t="e">
        <f>INDEX(Innertable,MATCH($B8,#REF!,0),MATCH(E$7,#REF!,0))</f>
        <v>#REF!</v>
      </c>
      <c r="F8" s="19" t="e">
        <f>INDEX(Innertable,MATCH($B8,#REF!,0),MATCH(F$7,#REF!,0))</f>
        <v>#REF!</v>
      </c>
      <c r="G8" s="19" t="e">
        <f>INDEX(Innertable,MATCH($B8,#REF!,0),MATCH(G$7,#REF!,0))</f>
        <v>#REF!</v>
      </c>
      <c r="H8" s="30"/>
      <c r="I8" s="57" t="e">
        <f>INDEX(Innertable,MATCH($B8,#REF!,0),MATCH(I$7,#REF!,0))</f>
        <v>#REF!</v>
      </c>
      <c r="J8" s="30"/>
      <c r="L8" s="87" t="s">
        <v>98</v>
      </c>
      <c r="M8" s="26">
        <f>M5*M6</f>
        <v>3.2000000000000003E-4</v>
      </c>
      <c r="N8" s="87" t="s">
        <v>99</v>
      </c>
      <c r="O8" s="26">
        <f>(M5*M6^3)/12</f>
        <v>2.6666666666666668E-11</v>
      </c>
    </row>
    <row r="9" spans="2:15" ht="15.75">
      <c r="B9" s="25" t="s">
        <v>100</v>
      </c>
      <c r="C9" s="19" t="e">
        <f>INDEX(Innertable,MATCH($B9,#REF!,0),MATCH(C$7,#REF!,0))</f>
        <v>#REF!</v>
      </c>
      <c r="D9" s="26"/>
      <c r="E9" s="19" t="e">
        <f>INDEX(Innertable,MATCH($B9,#REF!,0),MATCH(E$7,#REF!,0))</f>
        <v>#REF!</v>
      </c>
      <c r="F9" s="19" t="e">
        <f>INDEX(Innertable,MATCH($B9,#REF!,0),MATCH(F$7,#REF!,0))</f>
        <v>#REF!</v>
      </c>
      <c r="G9" s="19" t="e">
        <f>INDEX(Innertable,MATCH($B9,#REF!,0),MATCH(G$7,#REF!,0))</f>
        <v>#REF!</v>
      </c>
      <c r="H9" s="30"/>
      <c r="I9" s="57" t="e">
        <f>INDEX(Innertable,MATCH($B9,#REF!,0),MATCH(I$7,#REF!,0))</f>
        <v>#REF!</v>
      </c>
      <c r="J9" s="30"/>
      <c r="L9" s="87" t="s">
        <v>101</v>
      </c>
      <c r="M9" s="26">
        <f>N5*N6</f>
        <v>3.2000000000000003E-4</v>
      </c>
      <c r="N9" s="87" t="s">
        <v>102</v>
      </c>
      <c r="O9" s="26">
        <f>(N5*N6^3)/12</f>
        <v>2.6666666666666668E-11</v>
      </c>
    </row>
    <row r="10" spans="2:15" ht="15.75">
      <c r="B10" s="25" t="s">
        <v>103</v>
      </c>
      <c r="C10" s="19" t="e">
        <f>INDEX(Innertable,MATCH($B10,#REF!,0),MATCH(C$7,#REF!,0))</f>
        <v>#REF!</v>
      </c>
      <c r="D10" s="26"/>
      <c r="E10" s="19" t="e">
        <f>INDEX(Innertable,MATCH($B10,#REF!,0),MATCH(E$7,#REF!,0))</f>
        <v>#REF!</v>
      </c>
      <c r="F10" s="19" t="e">
        <f>INDEX(Innertable,MATCH($B10,#REF!,0),MATCH(F$7,#REF!,0))</f>
        <v>#REF!</v>
      </c>
      <c r="G10" s="19" t="e">
        <f>INDEX(Innertable,MATCH($B10,#REF!,0),MATCH(G$7,#REF!,0))</f>
        <v>#REF!</v>
      </c>
      <c r="H10" s="30"/>
      <c r="I10" s="57" t="e">
        <f>INDEX(Innertable,MATCH($B10,#REF!,0),MATCH(I$7,#REF!,0))</f>
        <v>#REF!</v>
      </c>
      <c r="J10" s="30"/>
      <c r="L10" s="87" t="s">
        <v>104</v>
      </c>
      <c r="M10">
        <f>M6/2</f>
        <v>5.0000000000000001E-4</v>
      </c>
      <c r="N10" s="87" t="s">
        <v>105</v>
      </c>
      <c r="O10" s="26">
        <f>O8+(M8*($M$12-M10)^2)</f>
        <v>2.8906666666666669E-8</v>
      </c>
    </row>
    <row r="11" spans="2:15" ht="15.75">
      <c r="B11" s="25" t="s">
        <v>106</v>
      </c>
      <c r="C11" s="19" t="e">
        <f>INDEX(Innertable,MATCH($B11,#REF!,0),MATCH(C$7,#REF!,0))</f>
        <v>#REF!</v>
      </c>
      <c r="D11" s="26"/>
      <c r="E11" s="19" t="e">
        <f>INDEX(Innertable,MATCH($B11,#REF!,0),MATCH(E$7,#REF!,0))</f>
        <v>#REF!</v>
      </c>
      <c r="F11" s="19" t="e">
        <f>INDEX(Innertable,MATCH($B11,#REF!,0),MATCH(F$7,#REF!,0))</f>
        <v>#REF!</v>
      </c>
      <c r="G11" s="19" t="e">
        <f>INDEX(Innertable,MATCH($B11,#REF!,0),MATCH(G$7,#REF!,0))</f>
        <v>#REF!</v>
      </c>
      <c r="H11" s="30"/>
      <c r="I11" s="57" t="e">
        <f>INDEX(Innertable,MATCH($B11,#REF!,0),MATCH(I$7,#REF!,0))</f>
        <v>#REF!</v>
      </c>
      <c r="J11" s="30"/>
      <c r="L11" s="87" t="s">
        <v>107</v>
      </c>
      <c r="M11">
        <f>(I18-0.5*I20)*0.001</f>
        <v>1.95E-2</v>
      </c>
      <c r="N11" s="87" t="s">
        <v>108</v>
      </c>
      <c r="O11" s="26">
        <f>O9+(M9*($M$12-M11)^2)</f>
        <v>2.8906666666666669E-8</v>
      </c>
    </row>
    <row r="12" spans="2:15" ht="15.75">
      <c r="B12" s="25" t="s">
        <v>109</v>
      </c>
      <c r="C12" s="19" t="e">
        <f>INDEX(Innertable,MATCH($B12,#REF!,0),MATCH(C$7,#REF!,0))</f>
        <v>#REF!</v>
      </c>
      <c r="D12" s="26"/>
      <c r="E12" s="19" t="e">
        <f>INDEX(Innertable,MATCH($B12,#REF!,0),MATCH(E$7,#REF!,0))</f>
        <v>#REF!</v>
      </c>
      <c r="F12" s="19" t="e">
        <f>INDEX(Innertable,MATCH($B12,#REF!,0),MATCH(F$7,#REF!,0))</f>
        <v>#REF!</v>
      </c>
      <c r="G12" s="19" t="e">
        <f>INDEX(Innertable,MATCH($B12,#REF!,0),MATCH(G$7,#REF!,0))</f>
        <v>#REF!</v>
      </c>
      <c r="H12" s="30"/>
      <c r="I12" s="57" t="e">
        <f>INDEX(Innertable,MATCH($B12,#REF!,0),MATCH(I$7,#REF!,0))</f>
        <v>#REF!</v>
      </c>
      <c r="J12" s="30"/>
      <c r="L12" s="87" t="s">
        <v>110</v>
      </c>
      <c r="M12" s="54">
        <f>(M8*M10+M9*M11)/(M8+M9)</f>
        <v>0.01</v>
      </c>
      <c r="N12" s="87" t="s">
        <v>111</v>
      </c>
      <c r="O12" s="56">
        <f>SUM(O10:O11)</f>
        <v>5.7813333333333339E-8</v>
      </c>
    </row>
    <row r="13" spans="2:15">
      <c r="E13" s="4"/>
      <c r="G13" s="6"/>
      <c r="H13" s="34"/>
      <c r="J13" s="34"/>
      <c r="O13" s="26"/>
    </row>
    <row r="14" spans="2:15">
      <c r="B14" s="25" t="s">
        <v>112</v>
      </c>
      <c r="C14" s="18">
        <v>3</v>
      </c>
      <c r="E14" s="7">
        <v>3</v>
      </c>
      <c r="F14" s="7">
        <v>0</v>
      </c>
      <c r="G14" s="7">
        <v>0</v>
      </c>
      <c r="H14" s="34"/>
      <c r="J14" s="34"/>
      <c r="O14" s="26"/>
    </row>
    <row r="15" spans="2:15">
      <c r="B15" s="25" t="s">
        <v>113</v>
      </c>
      <c r="C15" s="18">
        <v>25.4</v>
      </c>
      <c r="E15" s="7">
        <v>25.4</v>
      </c>
      <c r="F15" s="7">
        <v>25.4</v>
      </c>
      <c r="G15" s="7">
        <v>25.4</v>
      </c>
      <c r="H15" s="34"/>
      <c r="J15" s="34"/>
      <c r="O15" s="26"/>
    </row>
    <row r="16" spans="2:15">
      <c r="B16" s="25" t="s">
        <v>114</v>
      </c>
      <c r="C16" s="18">
        <v>1.6</v>
      </c>
      <c r="E16" s="7">
        <v>1.6</v>
      </c>
      <c r="F16" s="7">
        <v>1.6</v>
      </c>
      <c r="G16" s="7">
        <v>1.6</v>
      </c>
      <c r="H16" s="34"/>
      <c r="J16" s="34"/>
      <c r="L16" s="51"/>
      <c r="O16" s="26"/>
    </row>
    <row r="17" spans="2:20">
      <c r="E17" s="22"/>
      <c r="F17" s="38" t="s">
        <v>115</v>
      </c>
      <c r="G17" s="28" t="e">
        <f>IF(AND(K27&gt;=100,F2="tubing only",NOT(OR(E18="NO",F18="NO",G18="NO"))),"YES","NO")</f>
        <v>#REF!</v>
      </c>
      <c r="H17" s="34"/>
      <c r="J17" s="34"/>
      <c r="O17" s="26"/>
    </row>
    <row r="18" spans="2:20" ht="12.75" customHeight="1">
      <c r="B18" s="25" t="s">
        <v>116</v>
      </c>
      <c r="E18" s="48" t="str">
        <f>IF(E14=0,"N/A",IF(AND(E5=$C$5,E15&gt;=25.4,E16&gt;=1.6),"YES","NO"))</f>
        <v>YES</v>
      </c>
      <c r="F18" s="49" t="str">
        <f>IF(F14=0,"N/A",IF(AND(F5=$C$5,F15&gt;=25.4,F16&gt;=1.6),"YES","NO"))</f>
        <v>N/A</v>
      </c>
      <c r="G18" s="50" t="str">
        <f>IF(G14=0,"N/A",IF(AND(G5=$C$5,G15&gt;=25.4,G16&gt;=1.6),"YES","NO"))</f>
        <v>N/A</v>
      </c>
      <c r="H18" s="34"/>
      <c r="I18" s="52">
        <f>I19+I20+I21</f>
        <v>20</v>
      </c>
      <c r="J18" s="34"/>
      <c r="O18" s="26"/>
    </row>
    <row r="19" spans="2:20" ht="12.75" customHeight="1">
      <c r="B19" s="25" t="s">
        <v>117</v>
      </c>
      <c r="E19" s="586"/>
      <c r="F19" s="587"/>
      <c r="G19" s="588"/>
      <c r="H19" s="34"/>
      <c r="I19" s="21">
        <v>18</v>
      </c>
      <c r="J19" s="34"/>
      <c r="O19" s="26"/>
    </row>
    <row r="20" spans="2:20" ht="12.75" customHeight="1">
      <c r="B20" s="25" t="s">
        <v>118</v>
      </c>
      <c r="E20" s="586"/>
      <c r="F20" s="587"/>
      <c r="G20" s="588"/>
      <c r="H20" s="34"/>
      <c r="I20" s="21">
        <v>1</v>
      </c>
      <c r="J20" s="34"/>
      <c r="O20" s="26"/>
    </row>
    <row r="21" spans="2:20" ht="12.75" customHeight="1">
      <c r="B21" s="89" t="s">
        <v>119</v>
      </c>
      <c r="E21" s="586"/>
      <c r="F21" s="587"/>
      <c r="G21" s="588"/>
      <c r="H21" s="34"/>
      <c r="I21" s="21">
        <v>1</v>
      </c>
      <c r="J21" s="34"/>
      <c r="O21" s="26"/>
    </row>
    <row r="22" spans="2:20" ht="12.75" customHeight="1">
      <c r="B22" s="25" t="s">
        <v>120</v>
      </c>
      <c r="E22" s="586"/>
      <c r="F22" s="587"/>
      <c r="G22" s="588"/>
      <c r="H22" s="34"/>
      <c r="I22" s="21">
        <v>320</v>
      </c>
      <c r="J22" s="34"/>
      <c r="K22" s="97"/>
      <c r="O22" s="26"/>
    </row>
    <row r="23" spans="2:20">
      <c r="E23" s="39"/>
      <c r="F23" s="40"/>
      <c r="G23" s="41"/>
      <c r="H23" s="34"/>
      <c r="J23" s="34"/>
      <c r="O23" s="26"/>
    </row>
    <row r="24" spans="2:20">
      <c r="B24" s="25" t="s">
        <v>121</v>
      </c>
      <c r="C24" s="18">
        <f>C15/1000</f>
        <v>2.5399999999999999E-2</v>
      </c>
      <c r="E24" s="18">
        <f>IF($F$2="composite only","No tubes",IF(E14=0,"No tubes",E15/1000))</f>
        <v>2.5399999999999999E-2</v>
      </c>
      <c r="F24" s="18" t="str">
        <f>IF($F$2="composite only","No tubes",IF(F14=0,"No tubes",F15/1000))</f>
        <v>No tubes</v>
      </c>
      <c r="G24" s="18" t="str">
        <f>IF($F$2="composite only","No tubes",IF(G14=0,"No tubes",G15/1000))</f>
        <v>No tubes</v>
      </c>
      <c r="H24" s="34"/>
      <c r="J24" s="34"/>
      <c r="O24" s="26"/>
    </row>
    <row r="25" spans="2:20">
      <c r="B25" s="25" t="s">
        <v>122</v>
      </c>
      <c r="C25" s="18">
        <f>C16/1000</f>
        <v>1.6000000000000001E-3</v>
      </c>
      <c r="E25" s="18">
        <f>IF(E24="no tubes","",IF(E14=0,"",E16/1000))</f>
        <v>1.6000000000000001E-3</v>
      </c>
      <c r="F25" s="18" t="str">
        <f>IF(F24="no tubes","",IF(F14=0,"",F16/1000))</f>
        <v/>
      </c>
      <c r="G25" s="18" t="str">
        <f>IF(G24="no tubes","",IF(G14=0,"",G16/1000))</f>
        <v/>
      </c>
      <c r="H25" s="35"/>
      <c r="J25" s="35"/>
      <c r="O25" s="26"/>
      <c r="T25" s="27"/>
    </row>
    <row r="26" spans="2:20">
      <c r="B26" s="25" t="s">
        <v>123</v>
      </c>
      <c r="C26" s="19">
        <f>IF(C6="Round",((C24)^4-((C24-2*C25))^4)*3.142/64,((C24)^4-((C24-2*C25))^4)/12)</f>
        <v>8.5099184800000022E-9</v>
      </c>
      <c r="E26" s="19">
        <f>IF(E24="no tubes","",IF(E14=0,"",IF(E6="Round",(((E24)^4-((E24-2*E25))^4)*3.142/64),IF(E6="Square",(((E24)^4-((E24-2*E25))^4)/12),""))))</f>
        <v>8.5099184800000022E-9</v>
      </c>
      <c r="F26" s="19" t="str">
        <f>IF(F24="no tubes","",IF(F14=0,"",IF(F6="Round",(((F24)^4-((F24-2*F25))^4)*3.142/64),IF(F6="Square",(((F24)^4-((F24-2*F25))^4)/12),""))))</f>
        <v/>
      </c>
      <c r="G26" s="19" t="str">
        <f>IF(G24="no tubes","",IF(G14=0,"",IF(G6="Round",(((G24)^4-((G24-2*G25))^4)*3.142/64),IF(G6="Square",(((G24)^4-((G24-2*G25))^4)/12),""))))</f>
        <v/>
      </c>
      <c r="H26" s="19">
        <f>IF(SUM(E26:G26)&gt;0,SUM(E26:G26),"")</f>
        <v>8.5099184800000022E-9</v>
      </c>
      <c r="I26" s="36" t="str">
        <f>IF($F$2="Tubing only","Tubing Only",O12)</f>
        <v>Tubing Only</v>
      </c>
      <c r="J26" s="19">
        <f t="shared" ref="J26:J33" si="0">IF($F$2="Tubing only",H26,IF($F$2="Composite only",I26,IF($F$2="Tubes + Composite",H26+I26,"No Type Selected")))</f>
        <v>8.5099184800000022E-9</v>
      </c>
      <c r="O26" s="26"/>
      <c r="S26" s="26"/>
      <c r="T26" s="27"/>
    </row>
    <row r="27" spans="2:20">
      <c r="B27" s="25" t="s">
        <v>124</v>
      </c>
      <c r="C27" s="19" t="e">
        <f>C8*C26*C14</f>
        <v>#REF!</v>
      </c>
      <c r="D27" s="26"/>
      <c r="E27" s="19" t="e">
        <f>IF(E24="no tubes","",IF(E14=0,"",E8*E26*E14))</f>
        <v>#REF!</v>
      </c>
      <c r="F27" s="19" t="str">
        <f>IF(F24="no tubes","",IF(F14=0,"",F8*F26*F14))</f>
        <v/>
      </c>
      <c r="G27" s="19" t="str">
        <f>IF(G24="no tubes","",IF(G14=0,"",G8*G26*G14))</f>
        <v/>
      </c>
      <c r="H27" s="19" t="e">
        <f t="shared" ref="H27:H35" si="1">IF(SUM(E27:G27)&gt;0,SUM(E27:G27),"")</f>
        <v>#REF!</v>
      </c>
      <c r="I27" s="36" t="str">
        <f>IF(I26="Tubing Only","",I26*I8)</f>
        <v/>
      </c>
      <c r="J27" s="19" t="e">
        <f t="shared" si="0"/>
        <v>#REF!</v>
      </c>
      <c r="K27" s="23" t="e">
        <f>IF(AND(NOT($F$2="tubes + composite"),OR(AND($G$14&gt;0,G27&lt;(C27/3)),AND($F$14&gt;0,F27&lt;(C27/3)),AND($E$14&gt;0,E27&lt;(C27/3)))),0,100*J27/C27)</f>
        <v>#REF!</v>
      </c>
      <c r="L27" t="e">
        <f>IF((99.9&gt;K27)*AND(K27&gt;33.3),"For Composites Only, Additional Proof Required","")</f>
        <v>#REF!</v>
      </c>
    </row>
    <row r="28" spans="2:20">
      <c r="B28" s="25" t="s">
        <v>125</v>
      </c>
      <c r="C28" s="20">
        <f>IF(C24="no tubes","",IF(C14=0,"",IF(C6="Round",C14*((C15^2-(C15-2*C16)^2)*PI()/4),IF(C6="Square",C14*(C15^2-(C15-2*C16)^2),""))))</f>
        <v>358.89554474609793</v>
      </c>
      <c r="D28" s="42"/>
      <c r="E28" s="20">
        <f>IF(E24="no tubes","",IF(E14=0,"",IF(E6="Round",E14*((E15^2-(E15-2*E16)^2)*PI()/4),IF(E6="Square",E14*(E15^2-(E15-2*E16)^2),""))))</f>
        <v>358.89554474609793</v>
      </c>
      <c r="F28" s="20" t="str">
        <f>IF(F24="no tubes","",IF(F14=0,"",IF(F6="Round",F14*((F15^2-(F15-2*F16)^2)*PI()/4),IF(F6="Square",F14*(F15^2-(F15-2*F16)^2),""))))</f>
        <v/>
      </c>
      <c r="G28" s="20" t="str">
        <f>IF(G24="no tubes","",IF(G14=0,"",IF(G6="Round",G14*((G15^2-(G15-2*G16)^2)*PI()/4),IF(G6="Square",G14*(G15^2-(G15-2*G16)^2),""))))</f>
        <v/>
      </c>
      <c r="H28" s="20">
        <f t="shared" si="1"/>
        <v>358.89554474609793</v>
      </c>
      <c r="I28" s="20" t="str">
        <f>IF(I26="Tubing Only","",(I18-I19)*I22)</f>
        <v/>
      </c>
      <c r="J28" s="20">
        <f t="shared" si="0"/>
        <v>358.89554474609793</v>
      </c>
      <c r="K28" s="23">
        <f>IF(AND($F$2="tubing only",AND(E5="steel",F5="steel",G5="steel")),100*J28/C28,"NA")</f>
        <v>100</v>
      </c>
      <c r="L28" t="str">
        <f>IF(AND(95&lt;K28,K28&lt;100),"For tubes only, provided your actual tube measures &gt;= your nominal OD and wall this is OK","")</f>
        <v/>
      </c>
      <c r="S28" s="26"/>
    </row>
    <row r="29" spans="2:20">
      <c r="B29" s="25" t="s">
        <v>126</v>
      </c>
      <c r="C29" s="19" t="e">
        <f>C$28*C9/1000000</f>
        <v>#REF!</v>
      </c>
      <c r="D29" s="26"/>
      <c r="E29" s="19" t="e">
        <f>IF(E24="no tubes","",IF(E14=0,"",E$28*E9/1000000))</f>
        <v>#REF!</v>
      </c>
      <c r="F29" s="19" t="str">
        <f>IF(F24="no tubes","",IF(F14=0,"",F$28*F9/1000000))</f>
        <v/>
      </c>
      <c r="G29" s="19" t="str">
        <f>IF(G24="no tubes","",IF(G14=0,"",G$28*G9/1000000))</f>
        <v/>
      </c>
      <c r="H29" s="19" t="e">
        <f t="shared" si="1"/>
        <v>#REF!</v>
      </c>
      <c r="I29" s="19" t="str">
        <f>IF(I26="Tubing Only","",I28*I9/1000000)</f>
        <v/>
      </c>
      <c r="J29" s="19" t="e">
        <f t="shared" si="0"/>
        <v>#REF!</v>
      </c>
      <c r="K29" s="23" t="e">
        <f>IF(AND($F$2="tubing only",OR($E29&lt;0.95*($E$14/$C$14)*$C29,$F29&lt;0.95*($F$14/$C$14)*$C29,$G29&lt;0.95*($G$14/$C$14)*$C29)),0,100*J29/C29)</f>
        <v>#REF!</v>
      </c>
      <c r="L29" t="e">
        <f>IF(AND(95&lt;K29,K29&lt;100),"For tubes only, provided your actual tube measures &gt;= your nominal OD and wall this is OK","")</f>
        <v>#REF!</v>
      </c>
    </row>
    <row r="30" spans="2:20">
      <c r="B30" s="25" t="s">
        <v>127</v>
      </c>
      <c r="C30" s="19" t="e">
        <f>C$28*C10/1000000</f>
        <v>#REF!</v>
      </c>
      <c r="D30" s="26"/>
      <c r="E30" s="19" t="e">
        <f>IF(E24="no tubes","",IF(E14=0,"",E$28*E10/1000000))</f>
        <v>#REF!</v>
      </c>
      <c r="F30" s="19" t="str">
        <f>IF(F24="no tubes","",IF(F14=0,"",F$28*F10/1000000))</f>
        <v/>
      </c>
      <c r="G30" s="19" t="str">
        <f>IF(G24="no tubes","",IF(G14=0,"",G$28*G10/1000000))</f>
        <v/>
      </c>
      <c r="H30" s="19" t="e">
        <f t="shared" si="1"/>
        <v>#REF!</v>
      </c>
      <c r="I30" s="19" t="str">
        <f>IF(I26="Tubing Only","",I28*I10/1000000)</f>
        <v/>
      </c>
      <c r="J30" s="19" t="e">
        <f t="shared" si="0"/>
        <v>#REF!</v>
      </c>
      <c r="K30" s="23" t="e">
        <f>IF(AND($F$2="tubing only",OR($E30&lt;0.95*($E$14/$C$14)*$C30,$F30&lt;0.95*($F$14/$C$14)*$C30,$G30&lt;0.95*($G$14/$C$14)*$C30)),0,100*J30/C30)</f>
        <v>#REF!</v>
      </c>
      <c r="L30" t="e">
        <f>IF(AND(95&lt;K30,K30&lt;100),"For tubes only, provided your actual tube measures &gt;= your nominal OD and wall this is OK","")</f>
        <v>#REF!</v>
      </c>
      <c r="S30" s="26"/>
    </row>
    <row r="31" spans="2:20">
      <c r="B31" s="25" t="s">
        <v>128</v>
      </c>
      <c r="C31" s="19" t="e">
        <f>C$28*C11/1000000</f>
        <v>#REF!</v>
      </c>
      <c r="D31" s="26"/>
      <c r="E31" s="19" t="e">
        <f>IF(E24="no tubes","",IF(E14=0,"",E$28*E11/1000000))</f>
        <v>#REF!</v>
      </c>
      <c r="F31" s="19" t="str">
        <f>IF(F24="no tubes","",IF(F14=0,"",F$28*F11/1000000))</f>
        <v/>
      </c>
      <c r="G31" s="19" t="str">
        <f>IF(G24="no tubes","",IF(G14=0,"",G$28*G11/1000000))</f>
        <v/>
      </c>
      <c r="H31" s="19" t="e">
        <f t="shared" si="1"/>
        <v>#REF!</v>
      </c>
      <c r="I31" s="19" t="str">
        <f>IF(I26="Tubing Only","",I28*I9/1000000)</f>
        <v/>
      </c>
      <c r="J31" s="19" t="e">
        <f t="shared" si="0"/>
        <v>#REF!</v>
      </c>
      <c r="K31" s="23" t="e">
        <f>IF(AND($F$2="tubing only",OR($E31&lt;0.95*($E$14/$C$14)*$C31,$F31&lt;0.95*($F$14/$C$14)*$C31,$G31&lt;0.95*($G$14/$C$14)*$C31)),0,100*J31/C31)</f>
        <v>#REF!</v>
      </c>
      <c r="L31" t="e">
        <f>IF(AND(95&lt;K31,K31&lt;100),"For tubes only, provided your actual tube measures &gt;= your nominal OD and wall this is OK","")</f>
        <v>#REF!</v>
      </c>
      <c r="S31" s="26"/>
    </row>
    <row r="32" spans="2:20">
      <c r="B32" s="25" t="s">
        <v>129</v>
      </c>
      <c r="C32" s="19" t="e">
        <f>IF(C14=0,"",C$28*C12/1000000)</f>
        <v>#REF!</v>
      </c>
      <c r="D32" s="26"/>
      <c r="E32" s="19" t="e">
        <f>IF(E24="no tubes","",IF(E14=0,"",E$28*E12/1000000))</f>
        <v>#REF!</v>
      </c>
      <c r="F32" s="19" t="str">
        <f>IF(F24="no tubes","",IF(F14=0,"",F$28*F12/1000000))</f>
        <v/>
      </c>
      <c r="G32" s="19" t="str">
        <f>IF(G24="no tubes","",IF(G14=0,"",G$28*G12/1000000))</f>
        <v/>
      </c>
      <c r="H32" s="19" t="e">
        <f t="shared" si="1"/>
        <v>#REF!</v>
      </c>
      <c r="I32" s="19" t="str">
        <f>IF(I26="tubing only","",I28*I10/1000000)</f>
        <v/>
      </c>
      <c r="J32" s="19" t="e">
        <f t="shared" si="0"/>
        <v>#REF!</v>
      </c>
      <c r="K32" s="23" t="e">
        <f>IF(AND($F$2="tubing only",OR($E32&lt;0.95*($E$14/$C$14)*$C32,$F32&lt;0.95*($F$14/$C$14)*$C32,$G32&lt;0.95*($G$14/$C$14)*$C32)),0,100*J32/C32)</f>
        <v>#REF!</v>
      </c>
      <c r="L32" t="e">
        <f>IF(AND(95&lt;K32,K32&lt;100),"For tubes only, provided your actual tube measures &gt;= your nominal OD and wall this is OK","")</f>
        <v>#REF!</v>
      </c>
      <c r="S32" s="26"/>
    </row>
    <row r="33" spans="2:13">
      <c r="B33" s="25" t="s">
        <v>130</v>
      </c>
      <c r="C33" s="19" t="e">
        <f>C14*4*C10*C26/(0.5*C24*1)</f>
        <v>#REF!</v>
      </c>
      <c r="E33" s="19" t="e">
        <f>IF(E24="no tubes","",IF(E14=0,"",E14*4*E10*E26/(0.5*E24*1)))</f>
        <v>#REF!</v>
      </c>
      <c r="F33" s="19" t="str">
        <f>IF(F24="no tubes","",IF(F14=0,"",F14*4*F10*F26/(0.5*F24*1)))</f>
        <v/>
      </c>
      <c r="G33" s="19" t="str">
        <f>IF(G24="no tubes","",IF(G14=0,"",G14*4*G10*G26/(0.5*G24*1)))</f>
        <v/>
      </c>
      <c r="H33" s="19" t="e">
        <f t="shared" si="1"/>
        <v>#REF!</v>
      </c>
      <c r="I33" s="19" t="str">
        <f>IF(I26="tubing only","",4*I10*(I26*2/(I18/1000))/1)</f>
        <v/>
      </c>
      <c r="J33" s="19" t="e">
        <f t="shared" si="0"/>
        <v>#REF!</v>
      </c>
      <c r="K33" s="23" t="e">
        <f>IF(AND($F$2="tubing only",OR($E33&lt;0.95*($E$14/$C$14)*$C33,$F33&lt;0.95*($F$14/$C$14)*$C33,$G33&lt;0.95*($G$14/$C$14)*$C33)),0,100*J33/C33)</f>
        <v>#REF!</v>
      </c>
      <c r="L33" t="e">
        <f>IF((99.9&gt;K33)*AND(K33&gt;33.3),"For Composites Only, Additional Proof Required","")</f>
        <v>#REF!</v>
      </c>
    </row>
    <row r="34" spans="2:13">
      <c r="B34" s="25" t="s">
        <v>131</v>
      </c>
      <c r="C34" s="19" t="e">
        <f>IF(C14=0,"",C33*1^3/(48*C27))</f>
        <v>#REF!</v>
      </c>
      <c r="E34" s="19" t="e">
        <f>IF(E24="no tubes","",IF(E14=0,"",($C$33*1^3/(48*E27))))</f>
        <v>#REF!</v>
      </c>
      <c r="F34" s="19" t="str">
        <f>IF(F24="no tubes","",IF(F14=0,"",($C$33*1^3/(48*F27))))</f>
        <v/>
      </c>
      <c r="G34" s="19" t="str">
        <f>IF(G24="no tubes","",IF(G14=0,"",($C$33*1^3/(48*G27))))</f>
        <v/>
      </c>
      <c r="H34" s="19" t="e">
        <f>IF(F2="composite only","",$C$33*1^3/(48*H27))</f>
        <v>#REF!</v>
      </c>
      <c r="I34" s="19" t="str">
        <f>IF(NOT($F$2="tubing only"),$C$33*1^3/(48*I27),"")</f>
        <v/>
      </c>
      <c r="J34" s="19" t="e">
        <f>IF($F$2="Tubing only",H34,IF($F$2="Composite only",I34,IF($F$2="Tubes + Composite",$C$33*1^3/(48*J27),"No Type Selected")))</f>
        <v>#REF!</v>
      </c>
      <c r="K34" s="23" t="e">
        <f>IF(AND($F$2="tubing only",J34&gt;1.05*C34),101,100*J34/C34)</f>
        <v>#REF!</v>
      </c>
      <c r="L34" t="e">
        <f>IF((100.1&lt;K34)*AND(K34&lt;300.1),"For Composites Only, Additional Proof Required","")</f>
        <v>#REF!</v>
      </c>
      <c r="M34" s="26"/>
    </row>
    <row r="35" spans="2:13">
      <c r="B35" s="25" t="s">
        <v>132</v>
      </c>
      <c r="C35" s="19" t="e">
        <f>0.5*C33*(C33*1^3/(48*C27))</f>
        <v>#REF!</v>
      </c>
      <c r="E35" s="19" t="e">
        <f>IF(E24="no tubes","",0.5*E33*(E33*1^3/(48*E27)))</f>
        <v>#REF!</v>
      </c>
      <c r="F35" s="19" t="str">
        <f>IF(F24="no tubes","",0.5*F33*(F33*1^3/(48*F27)))</f>
        <v/>
      </c>
      <c r="G35" s="19" t="str">
        <f>IF(G24="no tubes","",0.5*G33*(G33*1^3/(48*G27)))</f>
        <v/>
      </c>
      <c r="H35" s="19" t="e">
        <f t="shared" si="1"/>
        <v>#REF!</v>
      </c>
      <c r="I35" s="19" t="str">
        <f>IF(I26="tubing only","",0.5*I33*(I33*1^3/(48*I27)))</f>
        <v/>
      </c>
      <c r="J35" s="19" t="e">
        <f>IF($F$2="Tubing only",H35,IF($F$2="Composite only",I35,IF($F$2="Tubes + Composite",H35+I35,"No Type Selected")))</f>
        <v>#REF!</v>
      </c>
      <c r="K35" s="23" t="e">
        <f>IF(AND($F$2="tubing only",OR($E$36&lt;$C$36,$F$36&lt;$C$36,$G$36&lt;$C$36)),0,100*J35/C35)</f>
        <v>#REF!</v>
      </c>
      <c r="L35" t="e">
        <f>IF((99.9&gt;K35)*AND(K35&gt;33.3),"For Composites Only, Additional Proof Required","")</f>
        <v>#REF!</v>
      </c>
    </row>
    <row r="36" spans="2:13">
      <c r="C36" s="82" t="e">
        <f>0.99*C27/C14</f>
        <v>#REF!</v>
      </c>
      <c r="D36" s="29"/>
      <c r="E36" s="82" t="e">
        <f>IF(AND($F$2="tubing only",E14&gt;0),E27/E14,9E+99)</f>
        <v>#REF!</v>
      </c>
      <c r="F36" s="82">
        <f>IF(AND($F$2="tubing only",F14&gt;0),F27/F14,9E+99)</f>
        <v>8.9999999999999999E+99</v>
      </c>
      <c r="G36" s="82">
        <f>IF(AND($F$2="tubing only",G14&gt;0),G27/G14,9E+99)</f>
        <v>8.9999999999999999E+99</v>
      </c>
      <c r="H36" s="97"/>
    </row>
    <row r="37" spans="2:13">
      <c r="B37" s="3" t="s">
        <v>133</v>
      </c>
      <c r="E37" s="26"/>
    </row>
    <row r="38" spans="2:13">
      <c r="B38" s="8"/>
      <c r="C38" s="9"/>
      <c r="D38" s="9"/>
      <c r="E38" s="9"/>
      <c r="F38" s="9"/>
      <c r="G38" s="9"/>
      <c r="H38" s="9"/>
      <c r="I38" s="9"/>
      <c r="J38" s="9"/>
      <c r="K38" s="10"/>
    </row>
    <row r="39" spans="2:13">
      <c r="B39" s="91" t="s">
        <v>134</v>
      </c>
      <c r="C39" s="12"/>
      <c r="D39" s="12"/>
      <c r="E39" s="12"/>
      <c r="F39" s="12"/>
      <c r="G39" s="12"/>
      <c r="H39" s="12"/>
      <c r="I39" s="12"/>
      <c r="J39" s="12"/>
      <c r="K39" s="13"/>
    </row>
    <row r="40" spans="2:13">
      <c r="B40" s="91" t="s">
        <v>135</v>
      </c>
      <c r="C40" s="12"/>
      <c r="D40" s="12"/>
      <c r="E40" s="12"/>
      <c r="F40" s="12"/>
      <c r="G40" s="12"/>
      <c r="H40" s="12"/>
      <c r="I40" s="12"/>
      <c r="J40" s="12"/>
      <c r="K40" s="13"/>
    </row>
    <row r="41" spans="2:13">
      <c r="B41" s="11"/>
      <c r="C41" s="12"/>
      <c r="D41" s="12"/>
      <c r="E41" s="12"/>
      <c r="F41" s="12"/>
      <c r="G41" s="12"/>
      <c r="H41" s="12"/>
      <c r="I41" s="12"/>
      <c r="J41" s="12"/>
      <c r="K41" s="13"/>
    </row>
    <row r="42" spans="2:13">
      <c r="B42" s="11"/>
      <c r="C42" s="12"/>
      <c r="D42" s="12"/>
      <c r="E42" s="12"/>
      <c r="F42" s="12"/>
      <c r="G42" s="12"/>
      <c r="H42" s="12"/>
      <c r="I42" s="12"/>
      <c r="J42" s="12"/>
      <c r="K42" s="13"/>
    </row>
    <row r="43" spans="2:13">
      <c r="B43" s="11"/>
      <c r="C43" s="12"/>
      <c r="D43" s="12"/>
      <c r="E43" s="12"/>
      <c r="F43" s="12"/>
      <c r="G43" s="12"/>
      <c r="H43" s="12"/>
      <c r="I43" s="12"/>
      <c r="J43" s="12"/>
      <c r="K43" s="13"/>
    </row>
    <row r="44" spans="2:13">
      <c r="B44" s="11"/>
      <c r="C44" s="12"/>
      <c r="D44" s="12"/>
      <c r="E44" s="12"/>
      <c r="F44" s="12"/>
      <c r="G44" s="12"/>
      <c r="H44" s="12"/>
      <c r="I44" s="12"/>
      <c r="J44" s="12"/>
      <c r="K44" s="13"/>
    </row>
    <row r="45" spans="2:13">
      <c r="B45" s="11"/>
      <c r="C45" s="12"/>
      <c r="D45" s="12"/>
      <c r="E45" s="12"/>
      <c r="F45" s="12"/>
      <c r="G45" s="12"/>
      <c r="H45" s="12"/>
      <c r="I45" s="12"/>
      <c r="J45" s="12"/>
      <c r="K45" s="13"/>
    </row>
    <row r="46" spans="2:13">
      <c r="B46" s="11"/>
      <c r="C46" s="12"/>
      <c r="D46" s="12"/>
      <c r="E46" s="12"/>
      <c r="F46" s="12"/>
      <c r="G46" s="12"/>
      <c r="H46" s="12"/>
      <c r="I46" s="12"/>
      <c r="J46" s="12"/>
      <c r="K46" s="13"/>
    </row>
    <row r="47" spans="2:13">
      <c r="B47" s="11"/>
      <c r="C47" s="12"/>
      <c r="D47" s="12"/>
      <c r="E47" s="12"/>
      <c r="F47" s="12"/>
      <c r="G47" s="12"/>
      <c r="H47" s="12"/>
      <c r="I47" s="12"/>
      <c r="J47" s="12"/>
      <c r="K47" s="13"/>
    </row>
    <row r="48" spans="2:13">
      <c r="B48" s="11"/>
      <c r="C48" s="12"/>
      <c r="D48" s="12"/>
      <c r="E48" s="12"/>
      <c r="F48" s="12"/>
      <c r="G48" s="12"/>
      <c r="H48" s="12"/>
      <c r="I48" s="12"/>
      <c r="J48" s="12"/>
      <c r="K48" s="13"/>
    </row>
    <row r="49" spans="2:11">
      <c r="B49" s="11"/>
      <c r="C49" s="12"/>
      <c r="D49" s="12"/>
      <c r="E49" s="12"/>
      <c r="F49" s="12"/>
      <c r="G49" s="12"/>
      <c r="H49" s="12"/>
      <c r="I49" s="12"/>
      <c r="J49" s="12"/>
      <c r="K49" s="13"/>
    </row>
    <row r="50" spans="2:11">
      <c r="B50" s="11"/>
      <c r="C50" s="12"/>
      <c r="D50" s="12"/>
      <c r="E50" s="12"/>
      <c r="F50" s="12"/>
      <c r="G50" s="12"/>
      <c r="H50" s="12"/>
      <c r="I50" s="12"/>
      <c r="J50" s="12"/>
      <c r="K50" s="13"/>
    </row>
    <row r="51" spans="2:11">
      <c r="B51" s="11"/>
      <c r="C51" s="12"/>
      <c r="D51" s="12"/>
      <c r="E51" s="12"/>
      <c r="F51" s="12"/>
      <c r="G51" s="12"/>
      <c r="H51" s="12"/>
      <c r="I51" s="12"/>
      <c r="J51" s="12"/>
      <c r="K51" s="13"/>
    </row>
    <row r="52" spans="2:11">
      <c r="B52" s="11"/>
      <c r="C52" s="12"/>
      <c r="D52" s="12"/>
      <c r="E52" s="12"/>
      <c r="F52" s="12"/>
      <c r="G52" s="12"/>
      <c r="H52" s="12"/>
      <c r="I52" s="12"/>
      <c r="J52" s="12"/>
      <c r="K52" s="13"/>
    </row>
    <row r="53" spans="2:11">
      <c r="B53" s="11"/>
      <c r="C53" s="12"/>
      <c r="D53" s="12"/>
      <c r="E53" s="12"/>
      <c r="F53" s="12"/>
      <c r="G53" s="12"/>
      <c r="H53" s="12"/>
      <c r="I53" s="12"/>
      <c r="J53" s="12"/>
      <c r="K53" s="13"/>
    </row>
    <row r="54" spans="2:11">
      <c r="B54" s="11"/>
      <c r="C54" s="12"/>
      <c r="D54" s="12"/>
      <c r="E54" s="12"/>
      <c r="F54" s="12"/>
      <c r="G54" s="12"/>
      <c r="H54" s="12"/>
      <c r="I54" s="12"/>
      <c r="J54" s="12"/>
      <c r="K54" s="13"/>
    </row>
    <row r="55" spans="2:11">
      <c r="B55" s="11"/>
      <c r="C55" s="12"/>
      <c r="D55" s="12"/>
      <c r="E55" s="12"/>
      <c r="F55" s="12"/>
      <c r="G55" s="12"/>
      <c r="H55" s="12"/>
      <c r="I55" s="12"/>
      <c r="J55" s="12"/>
      <c r="K55" s="13"/>
    </row>
    <row r="56" spans="2:11">
      <c r="B56" s="16"/>
      <c r="C56" s="15"/>
      <c r="D56" s="15"/>
      <c r="E56" s="15"/>
      <c r="F56" s="15"/>
      <c r="G56" s="15"/>
      <c r="H56" s="15"/>
      <c r="I56" s="15"/>
      <c r="J56" s="15"/>
      <c r="K56" s="17"/>
    </row>
  </sheetData>
  <sheetProtection algorithmName="SHA-512" hashValue="CqKN5bLodg2FyqaMfDpfZ+VCYwiGvZRsFiR2fHQkPfEEmnqdK4VwDa8ASy9duhNc17F6+gmNEf3NrAF+DKNTFQ==" saltValue="NBB0ZmZWV6IFSQygYbWM3w==" spinCount="100000" sheet="1" scenarios="1"/>
  <mergeCells count="3">
    <mergeCell ref="C2:E2"/>
    <mergeCell ref="F2:G2"/>
    <mergeCell ref="E19:G22"/>
  </mergeCells>
  <conditionalFormatting sqref="E27:G33">
    <cfRule type="cellIs" dxfId="280" priority="3" stopIfTrue="1" operator="lessThan">
      <formula>0.95*$C27*(E$14/$C$14)</formula>
    </cfRule>
  </conditionalFormatting>
  <conditionalFormatting sqref="E35:G35">
    <cfRule type="cellIs" dxfId="279" priority="1" stopIfTrue="1" operator="lessThan">
      <formula>0.95*$C35*(E$14/$C$14)</formula>
    </cfRule>
  </conditionalFormatting>
  <conditionalFormatting sqref="K27">
    <cfRule type="cellIs" dxfId="278" priority="15" stopIfTrue="1" operator="lessThan">
      <formula>33.3</formula>
    </cfRule>
    <cfRule type="cellIs" dxfId="277" priority="16" stopIfTrue="1" operator="between">
      <formula>33.3</formula>
      <formula>100</formula>
    </cfRule>
  </conditionalFormatting>
  <conditionalFormatting sqref="K27:K33">
    <cfRule type="cellIs" dxfId="276" priority="10" stopIfTrue="1" operator="greaterThanOrEqual">
      <formula>100</formula>
    </cfRule>
  </conditionalFormatting>
  <conditionalFormatting sqref="K28:K33">
    <cfRule type="cellIs" dxfId="275" priority="11" stopIfTrue="1" operator="lessThan">
      <formula>100</formula>
    </cfRule>
  </conditionalFormatting>
  <conditionalFormatting sqref="K34">
    <cfRule type="cellIs" dxfId="274" priority="5" stopIfTrue="1" operator="between">
      <formula>100.1</formula>
      <formula>300</formula>
    </cfRule>
    <cfRule type="cellIs" dxfId="273" priority="12" stopIfTrue="1" operator="greaterThan">
      <formula>300</formula>
    </cfRule>
    <cfRule type="cellIs" dxfId="272" priority="13" stopIfTrue="1" operator="lessThanOrEqual">
      <formula>100</formula>
    </cfRule>
  </conditionalFormatting>
  <conditionalFormatting sqref="K35">
    <cfRule type="cellIs" dxfId="271" priority="6" stopIfTrue="1" operator="greaterThanOrEqual">
      <formula>100</formula>
    </cfRule>
    <cfRule type="cellIs" dxfId="270" priority="7" stopIfTrue="1" operator="lessThan">
      <formula>33.3</formula>
    </cfRule>
    <cfRule type="cellIs" dxfId="269" priority="8" stopIfTrue="1" operator="between">
      <formula>33.3</formula>
      <formula>100</formula>
    </cfRule>
  </conditionalFormatting>
  <dataValidations count="6">
    <dataValidation type="list" allowBlank="1" showInputMessage="1" showErrorMessage="1" promptTitle="Select Material" sqref="E5:G5" xr:uid="{36D4A1F3-7248-4F2D-AC9D-568588EBEF27}">
      <formula1>Metallic_Mats</formula1>
    </dataValidation>
    <dataValidation type="list" allowBlank="1" showInputMessage="1" showErrorMessage="1" sqref="I5" xr:uid="{06F0A5B5-A7D9-474E-9FAC-88770BA35311}">
      <formula1>Material</formula1>
    </dataValidation>
    <dataValidation type="list" allowBlank="1" showInputMessage="1" showErrorMessage="1" sqref="F2" xr:uid="{9F8BF9A7-08EF-43FE-BB44-2F5E77AA91CE}">
      <formula1>ConstructionType</formula1>
    </dataValidation>
    <dataValidation type="list" allowBlank="1" showInputMessage="1" showErrorMessage="1" promptTitle="Select Material" sqref="C5:D5 D6 H5:H6" xr:uid="{1CF5A462-4365-4E89-A518-8835499EDBEB}">
      <formula1>Materials</formula1>
    </dataValidation>
    <dataValidation type="list" allowBlank="1" showInputMessage="1" showErrorMessage="1" promptTitle="Select Material" sqref="E6:G6" xr:uid="{F7FFAB19-280B-4EEC-9A99-282612F2765E}">
      <formula1>Tube_Type</formula1>
    </dataValidation>
    <dataValidation allowBlank="1" showInputMessage="1" showErrorMessage="1" promptTitle="Select Material" sqref="C6 I6 J13:J14" xr:uid="{91CE37D8-F6E5-4EA5-81F7-87649788574C}"/>
  </dataValidations>
  <hyperlinks>
    <hyperlink ref="L2:M2" location="'Cover Sheet'!A1" display="BACK to COVER SHEET" xr:uid="{EEEEA971-9D41-4B37-8529-EBD047C29257}"/>
  </hyperlinks>
  <pageMargins left="0.75" right="0.75" top="1" bottom="1" header="0.5" footer="0.5"/>
  <pageSetup paperSize="9" orientation="portrait" horizontalDpi="4294967294"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9999FF"/>
    <pageSetUpPr fitToPage="1"/>
  </sheetPr>
  <dimension ref="B1:L188"/>
  <sheetViews>
    <sheetView showGridLines="0" zoomScaleNormal="100" zoomScaleSheetLayoutView="100" workbookViewId="0"/>
  </sheetViews>
  <sheetFormatPr defaultColWidth="11.42578125" defaultRowHeight="12.75"/>
  <cols>
    <col min="1" max="1" width="3.42578125" customWidth="1"/>
    <col min="2" max="2" width="45.7109375" customWidth="1"/>
    <col min="3" max="3" width="16.7109375" bestFit="1" customWidth="1"/>
    <col min="4" max="4" width="15.42578125" bestFit="1" customWidth="1"/>
    <col min="5" max="5" width="17.28515625" bestFit="1" customWidth="1"/>
    <col min="6" max="6" width="15.42578125" bestFit="1" customWidth="1"/>
    <col min="7" max="7" width="17.28515625" bestFit="1" customWidth="1"/>
    <col min="8" max="8" width="15.42578125" bestFit="1" customWidth="1"/>
    <col min="9" max="9" width="17.28515625" bestFit="1" customWidth="1"/>
    <col min="10" max="10" width="15.42578125" bestFit="1" customWidth="1"/>
  </cols>
  <sheetData>
    <row r="1" spans="2:12" ht="15.75">
      <c r="B1" s="2" t="s">
        <v>136</v>
      </c>
      <c r="I1" s="58" t="s">
        <v>77</v>
      </c>
    </row>
    <row r="2" spans="2:12">
      <c r="I2" s="58"/>
      <c r="L2" s="58"/>
    </row>
    <row r="3" spans="2:12">
      <c r="B3" s="24" t="s">
        <v>78</v>
      </c>
      <c r="C3" s="24" t="s">
        <v>137</v>
      </c>
      <c r="D3" s="278" t="s">
        <v>138</v>
      </c>
      <c r="E3" s="24" t="s">
        <v>139</v>
      </c>
      <c r="F3" s="279" t="s">
        <v>140</v>
      </c>
      <c r="G3" s="24" t="s">
        <v>141</v>
      </c>
      <c r="H3" s="280" t="s">
        <v>142</v>
      </c>
      <c r="I3" s="24" t="s">
        <v>143</v>
      </c>
      <c r="J3" s="281" t="s">
        <v>144</v>
      </c>
    </row>
    <row r="4" spans="2:12">
      <c r="B4" s="89" t="s">
        <v>88</v>
      </c>
      <c r="C4" s="18" t="s">
        <v>89</v>
      </c>
      <c r="D4" s="282" t="s">
        <v>22</v>
      </c>
      <c r="E4" s="18" t="s">
        <v>89</v>
      </c>
      <c r="F4" s="282" t="s">
        <v>22</v>
      </c>
      <c r="G4" s="18" t="s">
        <v>89</v>
      </c>
      <c r="H4" s="282" t="s">
        <v>22</v>
      </c>
      <c r="I4" s="18" t="s">
        <v>89</v>
      </c>
      <c r="J4" s="282" t="s">
        <v>22</v>
      </c>
    </row>
    <row r="5" spans="2:12">
      <c r="B5" s="25" t="s">
        <v>96</v>
      </c>
      <c r="C5" s="19" t="s">
        <v>89</v>
      </c>
      <c r="D5" s="283" t="s">
        <v>138</v>
      </c>
      <c r="E5" s="19" t="str">
        <f>C5</f>
        <v>Steel</v>
      </c>
      <c r="F5" s="283" t="s">
        <v>145</v>
      </c>
      <c r="G5" s="19" t="str">
        <f>C5</f>
        <v>Steel</v>
      </c>
      <c r="H5" s="283" t="s">
        <v>142</v>
      </c>
      <c r="I5" s="19" t="str">
        <f>C5</f>
        <v>Steel</v>
      </c>
      <c r="J5" s="283" t="s">
        <v>144</v>
      </c>
    </row>
    <row r="6" spans="2:12">
      <c r="B6" s="89" t="s">
        <v>97</v>
      </c>
      <c r="C6" s="284">
        <v>200000000000</v>
      </c>
      <c r="D6" s="36">
        <f>'EV5.5.5 Alt. Matl - 3pt Bending'!C59*1000000000</f>
        <v>0</v>
      </c>
      <c r="E6" s="19">
        <f t="shared" ref="E6:E11" si="0">C6</f>
        <v>200000000000</v>
      </c>
      <c r="F6" s="36">
        <f>'EV5.5.5 Alt. Matl - 3pt Bending'!V59*1000000000</f>
        <v>0</v>
      </c>
      <c r="G6" s="19">
        <f t="shared" ref="G6:G11" si="1">C6</f>
        <v>200000000000</v>
      </c>
      <c r="H6" s="36">
        <f>'EV5.5.5 Alt. Matl - 3pt Bending'!AO59*1000000000</f>
        <v>0</v>
      </c>
      <c r="I6" s="19">
        <f t="shared" ref="I6:I11" si="2">C6</f>
        <v>200000000000</v>
      </c>
      <c r="J6" s="36">
        <f>'EV5.5.5 Alt. Matl - 3pt Bending'!BH59*1000000000</f>
        <v>0</v>
      </c>
    </row>
    <row r="7" spans="2:12">
      <c r="B7" s="25" t="s">
        <v>100</v>
      </c>
      <c r="C7" s="284">
        <v>305000000</v>
      </c>
      <c r="D7" s="36">
        <f>'EV5.5.5 Alt. Matl - 3pt Bending'!C60*1000000</f>
        <v>0</v>
      </c>
      <c r="E7" s="19">
        <f t="shared" si="0"/>
        <v>305000000</v>
      </c>
      <c r="F7" s="36">
        <f>'EV5.5.5 Alt. Matl - 3pt Bending'!V60*1000000</f>
        <v>0</v>
      </c>
      <c r="G7" s="19">
        <f t="shared" si="1"/>
        <v>305000000</v>
      </c>
      <c r="H7" s="36">
        <f>'EV5.5.5 Alt. Matl - 3pt Bending'!AO60*1000000</f>
        <v>0</v>
      </c>
      <c r="I7" s="19">
        <f t="shared" si="2"/>
        <v>305000000</v>
      </c>
      <c r="J7" s="36">
        <f>'EV5.5.5 Alt. Matl - 3pt Bending'!BH60*1000000</f>
        <v>0</v>
      </c>
    </row>
    <row r="8" spans="2:12">
      <c r="B8" s="25" t="s">
        <v>103</v>
      </c>
      <c r="C8" s="284">
        <v>365000000</v>
      </c>
      <c r="D8" s="36">
        <f>D7</f>
        <v>0</v>
      </c>
      <c r="E8" s="19">
        <f t="shared" si="0"/>
        <v>365000000</v>
      </c>
      <c r="F8" s="36">
        <f>F7</f>
        <v>0</v>
      </c>
      <c r="G8" s="19">
        <f t="shared" si="1"/>
        <v>365000000</v>
      </c>
      <c r="H8" s="36">
        <f>H7</f>
        <v>0</v>
      </c>
      <c r="I8" s="19">
        <f t="shared" si="2"/>
        <v>365000000</v>
      </c>
      <c r="J8" s="36">
        <f>J7</f>
        <v>0</v>
      </c>
    </row>
    <row r="9" spans="2:12">
      <c r="B9" s="25" t="s">
        <v>106</v>
      </c>
      <c r="C9" s="284">
        <v>180000000</v>
      </c>
      <c r="D9" s="285" t="s">
        <v>36</v>
      </c>
      <c r="E9" s="19">
        <f t="shared" si="0"/>
        <v>180000000</v>
      </c>
      <c r="F9" s="285" t="s">
        <v>36</v>
      </c>
      <c r="G9" s="19">
        <f t="shared" si="1"/>
        <v>180000000</v>
      </c>
      <c r="H9" s="285" t="s">
        <v>36</v>
      </c>
      <c r="I9" s="19">
        <f t="shared" si="2"/>
        <v>180000000</v>
      </c>
      <c r="J9" s="285" t="s">
        <v>36</v>
      </c>
    </row>
    <row r="10" spans="2:12">
      <c r="B10" s="25" t="s">
        <v>109</v>
      </c>
      <c r="C10" s="284">
        <v>300000000</v>
      </c>
      <c r="D10" s="285" t="s">
        <v>36</v>
      </c>
      <c r="E10" s="19">
        <f t="shared" si="0"/>
        <v>300000000</v>
      </c>
      <c r="F10" s="285" t="s">
        <v>36</v>
      </c>
      <c r="G10" s="19">
        <f t="shared" si="1"/>
        <v>300000000</v>
      </c>
      <c r="H10" s="285" t="s">
        <v>36</v>
      </c>
      <c r="I10" s="19">
        <f t="shared" si="2"/>
        <v>300000000</v>
      </c>
      <c r="J10" s="285" t="s">
        <v>36</v>
      </c>
    </row>
    <row r="11" spans="2:12">
      <c r="B11" s="25" t="s">
        <v>146</v>
      </c>
      <c r="C11" s="284">
        <v>219000000</v>
      </c>
      <c r="D11" s="36">
        <f>'EV5.5.5 Alt. Matl - Shear'!D54*1000000</f>
        <v>0</v>
      </c>
      <c r="E11" s="19">
        <f t="shared" si="0"/>
        <v>219000000</v>
      </c>
      <c r="F11" s="36">
        <f>'EV5.5.5 Alt. Matl - Shear'!W54*1000000</f>
        <v>0</v>
      </c>
      <c r="G11" s="19">
        <f t="shared" si="1"/>
        <v>219000000</v>
      </c>
      <c r="H11" s="36">
        <f>'EV5.5.5 Alt. Matl - Shear'!AP54*1000000</f>
        <v>0</v>
      </c>
      <c r="I11" s="19">
        <f t="shared" si="2"/>
        <v>219000000</v>
      </c>
      <c r="J11" s="36">
        <f>'EV5.5.5 Alt. Matl - Shear'!BI54*1000000</f>
        <v>0</v>
      </c>
    </row>
    <row r="12" spans="2:12">
      <c r="B12" s="25" t="s">
        <v>116</v>
      </c>
      <c r="C12" s="286">
        <v>1.25</v>
      </c>
      <c r="D12" s="287">
        <f>SUM('EV5.5.5 Alt. Matl - 3pt Bending'!C55:C57)</f>
        <v>2</v>
      </c>
      <c r="E12" s="286">
        <v>0.9</v>
      </c>
      <c r="F12" s="287">
        <f>SUM('EV5.5.5 Alt. Matl - 3pt Bending'!V55:V57)</f>
        <v>2</v>
      </c>
      <c r="G12" s="286">
        <v>0.9</v>
      </c>
      <c r="H12" s="287">
        <f>SUM('EV5.5.5 Alt. Matl - 3pt Bending'!AO55:AO57)</f>
        <v>2</v>
      </c>
      <c r="I12" s="286">
        <v>0.9</v>
      </c>
      <c r="J12" s="287">
        <f>SUM('EV5.5.5 Alt. Matl - 3pt Bending'!BH55:BH57)</f>
        <v>2</v>
      </c>
    </row>
    <row r="13" spans="2:12">
      <c r="B13" s="25" t="s">
        <v>118</v>
      </c>
      <c r="C13" s="286" t="s">
        <v>36</v>
      </c>
      <c r="D13" s="287">
        <f>'EV5.5.5 Alt. Matl - 3pt Bending'!C56</f>
        <v>1</v>
      </c>
      <c r="E13" s="286" t="s">
        <v>36</v>
      </c>
      <c r="F13" s="287">
        <f>'EV5.5.5 Alt. Matl - 3pt Bending'!V56</f>
        <v>1</v>
      </c>
      <c r="G13" s="286" t="s">
        <v>36</v>
      </c>
      <c r="H13" s="287">
        <f>'EV5.5.5 Alt. Matl - 3pt Bending'!AO56</f>
        <v>1</v>
      </c>
      <c r="I13" s="286" t="s">
        <v>36</v>
      </c>
      <c r="J13" s="287">
        <f>'EV5.5.5 Alt. Matl - 3pt Bending'!BH56</f>
        <v>1</v>
      </c>
    </row>
    <row r="14" spans="2:12">
      <c r="B14" s="25" t="s">
        <v>119</v>
      </c>
      <c r="C14" s="286" t="s">
        <v>36</v>
      </c>
      <c r="D14" s="287">
        <f>'EV5.5.5 Alt. Matl - 3pt Bending'!C57</f>
        <v>1</v>
      </c>
      <c r="E14" s="286" t="s">
        <v>36</v>
      </c>
      <c r="F14" s="287">
        <f>'EV5.5.5 Alt. Matl - 3pt Bending'!V57</f>
        <v>1</v>
      </c>
      <c r="G14" s="286" t="s">
        <v>36</v>
      </c>
      <c r="H14" s="287">
        <f>'EV5.5.5 Alt. Matl - 3pt Bending'!AO57</f>
        <v>1</v>
      </c>
      <c r="I14" s="286" t="s">
        <v>36</v>
      </c>
      <c r="J14" s="287">
        <f>'EV5.5.5 Alt. Matl - 3pt Bending'!BH57</f>
        <v>1</v>
      </c>
    </row>
    <row r="15" spans="2:12">
      <c r="B15" s="89" t="s">
        <v>147</v>
      </c>
      <c r="C15" s="288">
        <f>D15</f>
        <v>300</v>
      </c>
      <c r="D15" s="288">
        <f>'Accumulator Pics'!E14</f>
        <v>300</v>
      </c>
      <c r="E15" s="288">
        <f>F15</f>
        <v>0</v>
      </c>
      <c r="F15" s="288">
        <f>'Accumulator Pics'!E38</f>
        <v>0</v>
      </c>
      <c r="G15" s="288">
        <f>H15</f>
        <v>0</v>
      </c>
      <c r="H15" s="288">
        <f>'Accumulator Pics'!E62</f>
        <v>0</v>
      </c>
      <c r="I15" s="288">
        <f>J15</f>
        <v>0</v>
      </c>
      <c r="J15" s="288">
        <f>'Accumulator Pics'!E86</f>
        <v>0</v>
      </c>
    </row>
    <row r="16" spans="2:12">
      <c r="B16" s="89" t="s">
        <v>123</v>
      </c>
      <c r="C16" s="289">
        <f>0.001*C15*(0.001*C12)^3/12</f>
        <v>4.8828125000000004E-11</v>
      </c>
      <c r="D16" s="286">
        <f>(D15/'EV5.5.5 Alt. Matl - 3pt Bending'!C54)*'EV5.5.5 Alt. Matl - 3pt Bending'!C58*0.000000000001</f>
        <v>2.0000000000000001E-10</v>
      </c>
      <c r="E16" s="289">
        <f>E15*E12^3/12000000000000</f>
        <v>0</v>
      </c>
      <c r="F16" s="290">
        <f>(F15/'EV5.5.5 Alt. Matl - 3pt Bending'!V54)*'EV5.5.5 Alt. Matl - 3pt Bending'!V58*0.000000000001</f>
        <v>0</v>
      </c>
      <c r="G16" s="289">
        <f>G15*G12^3/12000000000000</f>
        <v>0</v>
      </c>
      <c r="H16" s="290">
        <f>(H15/'EV5.5.5 Alt. Matl - 3pt Bending'!AO54)*'EV5.5.5 Alt. Matl - 3pt Bending'!AO58*0.000000000001</f>
        <v>0</v>
      </c>
      <c r="I16" s="289">
        <f>I15*I12^3/12000000000000</f>
        <v>0</v>
      </c>
      <c r="J16" s="290">
        <f>(J15/'EV5.5.5 Alt. Matl - 3pt Bending'!BH54)*'EV5.5.5 Alt. Matl - 3pt Bending'!BH58*0.000000000001</f>
        <v>0</v>
      </c>
    </row>
    <row r="17" spans="2:11">
      <c r="B17" s="25" t="s">
        <v>124</v>
      </c>
      <c r="C17" s="56">
        <f t="shared" ref="C17:J17" si="3">C16*C6</f>
        <v>9.765625</v>
      </c>
      <c r="D17" s="56">
        <f t="shared" si="3"/>
        <v>0</v>
      </c>
      <c r="E17" s="56">
        <f t="shared" si="3"/>
        <v>0</v>
      </c>
      <c r="F17" s="56">
        <f t="shared" si="3"/>
        <v>0</v>
      </c>
      <c r="G17" s="56">
        <f t="shared" si="3"/>
        <v>0</v>
      </c>
      <c r="H17" s="56">
        <f t="shared" si="3"/>
        <v>0</v>
      </c>
      <c r="I17" s="56">
        <f t="shared" si="3"/>
        <v>0</v>
      </c>
      <c r="J17" s="56">
        <f t="shared" si="3"/>
        <v>0</v>
      </c>
    </row>
    <row r="18" spans="2:11">
      <c r="B18" s="25" t="s">
        <v>125</v>
      </c>
      <c r="C18" s="288">
        <f>C15*C12</f>
        <v>375</v>
      </c>
      <c r="D18" s="288">
        <f>('EV5.5.5 Alt. Matl - 3pt Bending'!C56+'EV5.5.5 Alt. Matl - 3pt Bending'!C57)*'EV5.5.5 Alt. Matls Summary'!D15</f>
        <v>600</v>
      </c>
      <c r="E18" s="288">
        <f>E15*E12</f>
        <v>0</v>
      </c>
      <c r="F18" s="288">
        <f>('EV5.5.5 Alt. Matl - 3pt Bending'!V56+'EV5.5.5 Alt. Matl - 3pt Bending'!V57)*'EV5.5.5 Alt. Matls Summary'!F15</f>
        <v>0</v>
      </c>
      <c r="G18" s="288">
        <f>G15*G12</f>
        <v>0</v>
      </c>
      <c r="H18" s="288">
        <f>('EV5.5.5 Alt. Matl - 3pt Bending'!AO56+'EV5.5.5 Alt. Matl - 3pt Bending'!AO57)*'EV5.5.5 Alt. Matls Summary'!H15</f>
        <v>0</v>
      </c>
      <c r="I18" s="288">
        <f>I15*I12</f>
        <v>0</v>
      </c>
      <c r="J18" s="288">
        <f>('EV5.5.5 Alt. Matl - 3pt Bending'!BH56+'EV5.5.5 Alt. Matl - 3pt Bending'!BH57)*'EV5.5.5 Alt. Matls Summary'!J15</f>
        <v>0</v>
      </c>
    </row>
    <row r="19" spans="2:11">
      <c r="B19" s="25" t="s">
        <v>127</v>
      </c>
      <c r="C19" s="56">
        <f t="shared" ref="C19:J19" si="4">C18*C8*0.000001</f>
        <v>136875</v>
      </c>
      <c r="D19" s="56">
        <f t="shared" si="4"/>
        <v>0</v>
      </c>
      <c r="E19" s="56">
        <f t="shared" si="4"/>
        <v>0</v>
      </c>
      <c r="F19" s="56">
        <f t="shared" si="4"/>
        <v>0</v>
      </c>
      <c r="G19" s="56">
        <f t="shared" si="4"/>
        <v>0</v>
      </c>
      <c r="H19" s="56">
        <f t="shared" si="4"/>
        <v>0</v>
      </c>
      <c r="I19" s="56">
        <f t="shared" si="4"/>
        <v>0</v>
      </c>
      <c r="J19" s="56">
        <f t="shared" si="4"/>
        <v>0</v>
      </c>
    </row>
    <row r="21" spans="2:11">
      <c r="B21" s="3" t="s">
        <v>148</v>
      </c>
    </row>
    <row r="22" spans="2:11">
      <c r="B22" s="89" t="s">
        <v>149</v>
      </c>
      <c r="C22" s="89"/>
      <c r="D22" s="291">
        <f>IF(C19=0,0,D19/C19)</f>
        <v>0</v>
      </c>
      <c r="E22" s="89"/>
      <c r="F22" s="291">
        <f>IF(E19=0,0,F19/E19)</f>
        <v>0</v>
      </c>
      <c r="G22" s="89"/>
      <c r="H22" s="291">
        <f>IF(G19=0,0,H19/G19)</f>
        <v>0</v>
      </c>
      <c r="I22" s="89"/>
      <c r="J22" s="291">
        <f>IF(I19=0,0,J19/I19)</f>
        <v>0</v>
      </c>
    </row>
    <row r="23" spans="2:11">
      <c r="B23" s="89" t="s">
        <v>150</v>
      </c>
      <c r="C23" s="89"/>
      <c r="D23" s="291">
        <f>IF(C17=0,0,D17/C17)</f>
        <v>0</v>
      </c>
      <c r="E23" s="89"/>
      <c r="F23" s="291">
        <f>IF(E17=0,0,F17/E17)</f>
        <v>0</v>
      </c>
      <c r="G23" s="89"/>
      <c r="H23" s="291">
        <f>IF(G17=0,0,H17/G17)</f>
        <v>0</v>
      </c>
      <c r="I23" s="89"/>
      <c r="J23" s="291">
        <f>IF(I17=0,0,J17/I17)</f>
        <v>0</v>
      </c>
    </row>
    <row r="24" spans="2:11">
      <c r="B24" s="89" t="s">
        <v>151</v>
      </c>
      <c r="C24" s="89"/>
      <c r="D24" s="291">
        <f>((D13+D14)*D11)/(C11*C12)</f>
        <v>0</v>
      </c>
      <c r="E24" s="89"/>
      <c r="F24" s="291">
        <f>((F13+F14)*F11)/(E11*E12)</f>
        <v>0</v>
      </c>
      <c r="G24" s="89"/>
      <c r="H24" s="291">
        <f>((H13+H14)*H11)/(G11*G12)</f>
        <v>0</v>
      </c>
      <c r="I24" s="89"/>
      <c r="J24" s="291">
        <f>((J13+J14)*J11)/(I11*I12)</f>
        <v>0</v>
      </c>
    </row>
    <row r="25" spans="2:11">
      <c r="B25" s="97"/>
      <c r="C25" s="97"/>
      <c r="D25" s="200" t="str">
        <f>IF(OR(D22&lt;1,D23&lt;1,D24&lt;1,),"FAIL","PASS")</f>
        <v>FAIL</v>
      </c>
      <c r="E25" s="97"/>
      <c r="F25" s="200" t="str">
        <f>IF(OR(F22&lt;1,F23&lt;1,F24&lt;1,),"FAIL","PASS")</f>
        <v>FAIL</v>
      </c>
      <c r="G25" s="97"/>
      <c r="H25" s="200" t="str">
        <f>IF(OR(H22&lt;1,H23&lt;1,H24&lt;1,),"FAIL","PASS")</f>
        <v>FAIL</v>
      </c>
      <c r="I25" s="97"/>
      <c r="J25" s="200" t="str">
        <f>IF(OR(J22&lt;1,J23&lt;1,J24&lt;1,),"FAIL","PASS")</f>
        <v>FAIL</v>
      </c>
    </row>
    <row r="27" spans="2:11">
      <c r="B27" s="173"/>
      <c r="C27" s="174"/>
      <c r="D27" s="174"/>
      <c r="E27" s="292"/>
      <c r="F27" s="174"/>
      <c r="G27" s="174"/>
      <c r="H27" s="174"/>
      <c r="I27" s="174"/>
      <c r="J27" s="174"/>
    </row>
    <row r="28" spans="2:11">
      <c r="B28" s="174"/>
      <c r="C28" s="174"/>
      <c r="D28" s="174"/>
      <c r="E28" s="174"/>
      <c r="F28" s="174"/>
      <c r="G28" s="174"/>
      <c r="H28" s="174"/>
      <c r="I28" s="174"/>
      <c r="J28" s="174"/>
      <c r="K28" s="174"/>
    </row>
    <row r="29" spans="2:11">
      <c r="B29" s="174"/>
      <c r="C29" s="174"/>
      <c r="D29" s="174"/>
      <c r="E29" s="174"/>
      <c r="F29" s="174"/>
      <c r="G29" s="174"/>
      <c r="H29" s="174"/>
      <c r="I29" s="174"/>
      <c r="J29" s="174"/>
      <c r="K29" s="174"/>
    </row>
    <row r="30" spans="2:11">
      <c r="B30" s="174"/>
      <c r="C30" s="174"/>
      <c r="D30" s="174"/>
      <c r="E30" s="174"/>
      <c r="F30" s="174"/>
      <c r="G30" s="174"/>
      <c r="H30" s="174"/>
      <c r="I30" s="174"/>
      <c r="J30" s="174"/>
      <c r="K30" s="174"/>
    </row>
    <row r="31" spans="2:11">
      <c r="B31" s="174"/>
      <c r="C31" s="174"/>
      <c r="D31" s="174"/>
      <c r="E31" s="174"/>
      <c r="F31" s="174"/>
      <c r="G31" s="174"/>
      <c r="H31" s="174"/>
      <c r="I31" s="174"/>
      <c r="J31" s="174"/>
      <c r="K31" s="174"/>
    </row>
    <row r="32" spans="2:11">
      <c r="B32" s="174"/>
      <c r="C32" s="174"/>
      <c r="D32" s="174"/>
      <c r="E32" s="174"/>
      <c r="F32" s="174"/>
      <c r="G32" s="174"/>
      <c r="H32" s="174"/>
      <c r="I32" s="174"/>
      <c r="J32" s="174"/>
      <c r="K32" s="174"/>
    </row>
    <row r="33" spans="2:11">
      <c r="B33" s="174"/>
      <c r="C33" s="174"/>
      <c r="D33" s="174"/>
      <c r="E33" s="174"/>
      <c r="F33" s="174"/>
      <c r="G33" s="174"/>
      <c r="H33" s="174"/>
      <c r="I33" s="174"/>
      <c r="J33" s="174"/>
      <c r="K33" s="174"/>
    </row>
    <row r="34" spans="2:11">
      <c r="B34" s="174"/>
      <c r="C34" s="174"/>
      <c r="D34" s="174"/>
      <c r="E34" s="174"/>
      <c r="F34" s="174"/>
      <c r="G34" s="174"/>
      <c r="H34" s="174"/>
      <c r="I34" s="174"/>
      <c r="J34" s="174"/>
      <c r="K34" s="174"/>
    </row>
    <row r="35" spans="2:11">
      <c r="B35" s="174"/>
      <c r="C35" s="174"/>
      <c r="D35" s="174"/>
      <c r="E35" s="174"/>
      <c r="F35" s="174"/>
      <c r="G35" s="174"/>
      <c r="H35" s="174"/>
      <c r="I35" s="174"/>
      <c r="J35" s="174"/>
      <c r="K35" s="174"/>
    </row>
    <row r="36" spans="2:11">
      <c r="B36" s="174"/>
      <c r="C36" s="174"/>
      <c r="D36" s="174"/>
      <c r="E36" s="174"/>
      <c r="F36" s="174"/>
      <c r="G36" s="174"/>
      <c r="H36" s="174"/>
      <c r="I36" s="174"/>
      <c r="J36" s="174"/>
      <c r="K36" s="174"/>
    </row>
    <row r="37" spans="2:11">
      <c r="B37" s="174"/>
      <c r="C37" s="174"/>
      <c r="D37" s="174"/>
      <c r="E37" s="174"/>
      <c r="F37" s="174"/>
      <c r="G37" s="174"/>
      <c r="H37" s="174"/>
      <c r="I37" s="174"/>
      <c r="J37" s="174"/>
      <c r="K37" s="174"/>
    </row>
    <row r="38" spans="2:11">
      <c r="B38" s="174"/>
      <c r="C38" s="174"/>
      <c r="D38" s="174"/>
      <c r="E38" s="174"/>
      <c r="F38" s="174"/>
      <c r="G38" s="174"/>
      <c r="H38" s="174"/>
      <c r="I38" s="174"/>
      <c r="J38" s="174"/>
      <c r="K38" s="174"/>
    </row>
    <row r="39" spans="2:11">
      <c r="B39" s="174"/>
      <c r="C39" s="174"/>
      <c r="D39" s="174"/>
      <c r="E39" s="174"/>
      <c r="F39" s="174"/>
      <c r="G39" s="174"/>
      <c r="H39" s="174"/>
      <c r="I39" s="174"/>
      <c r="J39" s="174"/>
      <c r="K39" s="174"/>
    </row>
    <row r="40" spans="2:11">
      <c r="B40" s="174"/>
      <c r="C40" s="174"/>
      <c r="D40" s="174"/>
      <c r="E40" s="174"/>
      <c r="F40" s="174"/>
      <c r="G40" s="174"/>
      <c r="H40" s="174"/>
      <c r="I40" s="174"/>
      <c r="J40" s="174"/>
      <c r="K40" s="174"/>
    </row>
    <row r="41" spans="2:11">
      <c r="B41" s="174"/>
      <c r="C41" s="174"/>
      <c r="D41" s="174"/>
      <c r="E41" s="174"/>
      <c r="F41" s="174"/>
      <c r="G41" s="174"/>
      <c r="H41" s="174"/>
      <c r="I41" s="174"/>
      <c r="J41" s="174"/>
      <c r="K41" s="174"/>
    </row>
    <row r="42" spans="2:11">
      <c r="B42" s="174"/>
      <c r="C42" s="174"/>
      <c r="D42" s="174"/>
      <c r="E42" s="174"/>
      <c r="F42" s="174"/>
      <c r="G42" s="174"/>
      <c r="H42" s="174"/>
      <c r="I42" s="174"/>
      <c r="J42" s="174"/>
      <c r="K42" s="174"/>
    </row>
    <row r="43" spans="2:11">
      <c r="B43" s="174"/>
      <c r="C43" s="174"/>
      <c r="D43" s="174"/>
      <c r="E43" s="174"/>
      <c r="F43" s="174"/>
      <c r="G43" s="174"/>
      <c r="H43" s="174"/>
      <c r="I43" s="174"/>
      <c r="J43" s="174"/>
      <c r="K43" s="174"/>
    </row>
    <row r="44" spans="2:11">
      <c r="B44" s="174"/>
      <c r="C44" s="174"/>
      <c r="D44" s="174"/>
      <c r="E44" s="174"/>
      <c r="F44" s="174"/>
      <c r="G44" s="174"/>
      <c r="H44" s="174"/>
      <c r="I44" s="174"/>
      <c r="J44" s="174"/>
      <c r="K44" s="174"/>
    </row>
    <row r="45" spans="2:11">
      <c r="B45" s="174"/>
      <c r="C45" s="174"/>
      <c r="D45" s="174"/>
      <c r="E45" s="174"/>
      <c r="F45" s="174"/>
      <c r="G45" s="174"/>
      <c r="H45" s="174"/>
      <c r="I45" s="174"/>
      <c r="J45" s="174"/>
      <c r="K45" s="174"/>
    </row>
    <row r="46" spans="2:11">
      <c r="B46" s="174"/>
      <c r="C46" s="174"/>
      <c r="D46" s="174"/>
      <c r="E46" s="174"/>
      <c r="F46" s="174"/>
      <c r="G46" s="174"/>
      <c r="H46" s="174"/>
      <c r="I46" s="174"/>
      <c r="J46" s="174"/>
      <c r="K46" s="174"/>
    </row>
    <row r="47" spans="2:11">
      <c r="B47" s="174"/>
      <c r="C47" s="174"/>
      <c r="D47" s="174"/>
      <c r="E47" s="174"/>
      <c r="F47" s="174"/>
      <c r="G47" s="174"/>
      <c r="H47" s="174"/>
      <c r="I47" s="174"/>
      <c r="J47" s="174"/>
      <c r="K47" s="174"/>
    </row>
    <row r="48" spans="2:11">
      <c r="B48" s="174"/>
      <c r="C48" s="174"/>
      <c r="D48" s="174"/>
      <c r="E48" s="174"/>
      <c r="F48" s="174"/>
      <c r="G48" s="174"/>
      <c r="H48" s="174"/>
      <c r="I48" s="174"/>
      <c r="J48" s="174"/>
      <c r="K48" s="174"/>
    </row>
    <row r="49" spans="2:11">
      <c r="B49" s="174"/>
      <c r="C49" s="174"/>
      <c r="D49" s="174"/>
      <c r="E49" s="174"/>
      <c r="F49" s="174"/>
      <c r="G49" s="174"/>
      <c r="H49" s="174"/>
      <c r="I49" s="174"/>
      <c r="J49" s="174"/>
      <c r="K49" s="174"/>
    </row>
    <row r="50" spans="2:11">
      <c r="B50" s="174"/>
      <c r="C50" s="174"/>
      <c r="D50" s="174"/>
      <c r="E50" s="174"/>
      <c r="F50" s="174"/>
      <c r="G50" s="174"/>
      <c r="H50" s="174"/>
      <c r="I50" s="174"/>
      <c r="J50" s="174"/>
      <c r="K50" s="174"/>
    </row>
    <row r="51" spans="2:11">
      <c r="B51" s="174"/>
      <c r="C51" s="174"/>
      <c r="D51" s="174"/>
      <c r="E51" s="174"/>
      <c r="F51" s="174"/>
      <c r="G51" s="174"/>
      <c r="H51" s="174"/>
      <c r="I51" s="174"/>
      <c r="J51" s="174"/>
      <c r="K51" s="174"/>
    </row>
    <row r="52" spans="2:11">
      <c r="B52" s="174"/>
      <c r="C52" s="174"/>
      <c r="D52" s="174"/>
      <c r="E52" s="174"/>
      <c r="F52" s="174"/>
      <c r="G52" s="174"/>
      <c r="H52" s="174"/>
      <c r="I52" s="174"/>
      <c r="J52" s="174"/>
      <c r="K52" s="174"/>
    </row>
    <row r="53" spans="2:11">
      <c r="B53" s="174"/>
      <c r="C53" s="174"/>
      <c r="D53" s="174"/>
      <c r="E53" s="174"/>
      <c r="F53" s="174"/>
      <c r="G53" s="174"/>
      <c r="H53" s="174"/>
      <c r="I53" s="174"/>
      <c r="J53" s="174"/>
      <c r="K53" s="174"/>
    </row>
    <row r="54" spans="2:11">
      <c r="B54" s="174"/>
      <c r="C54" s="174"/>
      <c r="D54" s="174"/>
      <c r="E54" s="174"/>
      <c r="F54" s="174"/>
      <c r="G54" s="174"/>
      <c r="H54" s="174"/>
      <c r="I54" s="174"/>
      <c r="J54" s="174"/>
    </row>
    <row r="55" spans="2:11">
      <c r="B55" s="174"/>
      <c r="C55" s="174"/>
      <c r="D55" s="174"/>
      <c r="E55" s="174"/>
      <c r="F55" s="174"/>
      <c r="G55" s="174"/>
      <c r="H55" s="174"/>
      <c r="I55" s="174"/>
      <c r="J55" s="174"/>
    </row>
    <row r="56" spans="2:11">
      <c r="B56" s="174"/>
      <c r="C56" s="174"/>
      <c r="D56" s="174"/>
      <c r="E56" s="174"/>
      <c r="F56" s="174"/>
      <c r="G56" s="174"/>
      <c r="H56" s="174"/>
      <c r="I56" s="174"/>
      <c r="J56" s="174"/>
    </row>
    <row r="57" spans="2:11">
      <c r="B57" s="174"/>
      <c r="C57" s="174"/>
      <c r="D57" s="174"/>
      <c r="E57" s="174"/>
      <c r="F57" s="174"/>
      <c r="G57" s="174"/>
      <c r="H57" s="174"/>
      <c r="I57" s="174"/>
      <c r="J57" s="174"/>
    </row>
    <row r="58" spans="2:11">
      <c r="B58" s="174"/>
      <c r="C58" s="174"/>
      <c r="D58" s="174"/>
      <c r="E58" s="174"/>
      <c r="F58" s="174"/>
      <c r="G58" s="174"/>
      <c r="H58" s="174"/>
      <c r="I58" s="174"/>
      <c r="J58" s="174"/>
    </row>
    <row r="59" spans="2:11">
      <c r="B59" s="174"/>
      <c r="C59" s="174"/>
      <c r="D59" s="174"/>
      <c r="E59" s="174"/>
      <c r="F59" s="174"/>
      <c r="G59" s="174"/>
      <c r="H59" s="174"/>
      <c r="I59" s="174"/>
      <c r="J59" s="174"/>
    </row>
    <row r="60" spans="2:11">
      <c r="B60" s="174"/>
      <c r="C60" s="174"/>
      <c r="D60" s="174"/>
      <c r="E60" s="174"/>
      <c r="F60" s="174"/>
      <c r="G60" s="174"/>
      <c r="H60" s="174"/>
      <c r="I60" s="174"/>
      <c r="J60" s="174"/>
    </row>
    <row r="61" spans="2:11">
      <c r="B61" s="174"/>
      <c r="C61" s="174"/>
      <c r="D61" s="174"/>
      <c r="E61" s="174"/>
      <c r="F61" s="174"/>
      <c r="G61" s="174"/>
      <c r="H61" s="174"/>
      <c r="I61" s="174"/>
      <c r="J61" s="174"/>
    </row>
    <row r="62" spans="2:11">
      <c r="B62" s="174"/>
      <c r="C62" s="174"/>
      <c r="D62" s="174"/>
      <c r="E62" s="174"/>
      <c r="F62" s="174"/>
      <c r="G62" s="174"/>
      <c r="H62" s="174"/>
      <c r="I62" s="174"/>
      <c r="J62" s="174"/>
    </row>
    <row r="63" spans="2:11">
      <c r="B63" s="174"/>
      <c r="C63" s="174"/>
      <c r="D63" s="174"/>
      <c r="E63" s="174"/>
      <c r="F63" s="174"/>
      <c r="G63" s="174"/>
      <c r="H63" s="174"/>
      <c r="I63" s="174"/>
      <c r="J63" s="174"/>
    </row>
    <row r="64" spans="2:11">
      <c r="B64" s="174"/>
      <c r="C64" s="174"/>
      <c r="D64" s="174"/>
      <c r="E64" s="174"/>
      <c r="F64" s="174"/>
      <c r="G64" s="174"/>
      <c r="H64" s="174"/>
      <c r="I64" s="174"/>
      <c r="J64" s="174"/>
    </row>
    <row r="65" spans="2:10">
      <c r="B65" s="174"/>
      <c r="C65" s="174"/>
      <c r="D65" s="174"/>
      <c r="E65" s="174"/>
      <c r="F65" s="174"/>
      <c r="G65" s="174"/>
      <c r="H65" s="174"/>
      <c r="I65" s="174"/>
      <c r="J65" s="174"/>
    </row>
    <row r="66" spans="2:10">
      <c r="B66" s="174"/>
      <c r="C66" s="174"/>
      <c r="D66" s="174"/>
      <c r="E66" s="174"/>
      <c r="F66" s="174"/>
      <c r="G66" s="174"/>
      <c r="H66" s="174"/>
      <c r="I66" s="174"/>
      <c r="J66" s="174"/>
    </row>
    <row r="67" spans="2:10">
      <c r="B67" s="174"/>
      <c r="C67" s="174"/>
      <c r="D67" s="174"/>
      <c r="E67" s="174"/>
      <c r="F67" s="174"/>
      <c r="G67" s="174"/>
      <c r="H67" s="174"/>
      <c r="I67" s="174"/>
      <c r="J67" s="174"/>
    </row>
    <row r="68" spans="2:10">
      <c r="B68" s="174"/>
      <c r="C68" s="174"/>
      <c r="D68" s="174"/>
      <c r="E68" s="174"/>
      <c r="F68" s="174"/>
      <c r="G68" s="174"/>
      <c r="H68" s="174"/>
      <c r="I68" s="174"/>
      <c r="J68" s="174"/>
    </row>
    <row r="69" spans="2:10">
      <c r="B69" s="174"/>
      <c r="C69" s="174"/>
      <c r="D69" s="174"/>
      <c r="E69" s="174"/>
      <c r="F69" s="174"/>
      <c r="G69" s="174"/>
      <c r="H69" s="174"/>
      <c r="I69" s="174"/>
      <c r="J69" s="174"/>
    </row>
    <row r="70" spans="2:10">
      <c r="B70" s="174"/>
      <c r="C70" s="174"/>
      <c r="D70" s="174"/>
      <c r="E70" s="174"/>
      <c r="F70" s="174"/>
      <c r="G70" s="174"/>
      <c r="H70" s="174"/>
      <c r="I70" s="174"/>
      <c r="J70" s="174"/>
    </row>
    <row r="71" spans="2:10">
      <c r="B71" s="174"/>
      <c r="C71" s="174"/>
      <c r="D71" s="174"/>
      <c r="E71" s="174"/>
      <c r="F71" s="174"/>
      <c r="G71" s="174"/>
      <c r="H71" s="174"/>
      <c r="I71" s="174"/>
      <c r="J71" s="174"/>
    </row>
    <row r="72" spans="2:10">
      <c r="B72" s="174"/>
      <c r="C72" s="174"/>
      <c r="D72" s="174"/>
      <c r="E72" s="174"/>
      <c r="F72" s="174"/>
      <c r="G72" s="174"/>
      <c r="H72" s="174"/>
      <c r="I72" s="174"/>
      <c r="J72" s="174"/>
    </row>
    <row r="73" spans="2:10">
      <c r="B73" s="174"/>
      <c r="C73" s="174"/>
      <c r="D73" s="174"/>
      <c r="E73" s="174"/>
      <c r="F73" s="174"/>
      <c r="G73" s="174"/>
      <c r="H73" s="174"/>
      <c r="I73" s="174"/>
      <c r="J73" s="174"/>
    </row>
    <row r="74" spans="2:10">
      <c r="B74" s="174"/>
      <c r="C74" s="174"/>
      <c r="D74" s="174"/>
      <c r="E74" s="174"/>
      <c r="F74" s="174"/>
      <c r="G74" s="174"/>
      <c r="H74" s="174"/>
      <c r="I74" s="174"/>
      <c r="J74" s="174"/>
    </row>
    <row r="75" spans="2:10">
      <c r="B75" s="174"/>
      <c r="C75" s="174"/>
      <c r="D75" s="174"/>
      <c r="E75" s="174"/>
      <c r="F75" s="174"/>
      <c r="G75" s="174"/>
      <c r="H75" s="174"/>
      <c r="I75" s="174"/>
      <c r="J75" s="174"/>
    </row>
    <row r="76" spans="2:10">
      <c r="B76" s="174"/>
      <c r="C76" s="174"/>
      <c r="D76" s="174"/>
      <c r="E76" s="174"/>
      <c r="F76" s="174"/>
      <c r="G76" s="174"/>
      <c r="H76" s="174"/>
      <c r="I76" s="174"/>
      <c r="J76" s="174"/>
    </row>
    <row r="77" spans="2:10">
      <c r="B77" s="174"/>
      <c r="C77" s="174"/>
      <c r="D77" s="174"/>
      <c r="E77" s="174"/>
      <c r="F77" s="174"/>
      <c r="G77" s="174"/>
      <c r="H77" s="174"/>
      <c r="I77" s="174"/>
      <c r="J77" s="174"/>
    </row>
    <row r="78" spans="2:10">
      <c r="B78" s="174"/>
      <c r="C78" s="174"/>
      <c r="D78" s="174"/>
      <c r="E78" s="174"/>
      <c r="F78" s="174"/>
      <c r="G78" s="174"/>
      <c r="H78" s="174"/>
      <c r="I78" s="174"/>
      <c r="J78" s="174"/>
    </row>
    <row r="79" spans="2:10">
      <c r="B79" s="174"/>
      <c r="C79" s="174"/>
      <c r="D79" s="174"/>
      <c r="E79" s="174"/>
      <c r="F79" s="174"/>
      <c r="G79" s="174"/>
      <c r="H79" s="174"/>
      <c r="I79" s="174"/>
      <c r="J79" s="174"/>
    </row>
    <row r="80" spans="2:10">
      <c r="B80" s="174"/>
      <c r="C80" s="174"/>
      <c r="D80" s="174"/>
      <c r="E80" s="174"/>
      <c r="F80" s="174"/>
      <c r="G80" s="174"/>
      <c r="H80" s="174"/>
      <c r="I80" s="174"/>
      <c r="J80" s="174"/>
    </row>
    <row r="81" spans="2:10">
      <c r="B81" s="174"/>
      <c r="C81" s="174"/>
      <c r="D81" s="174"/>
      <c r="E81" s="174"/>
      <c r="F81" s="174"/>
      <c r="G81" s="174"/>
      <c r="H81" s="174"/>
      <c r="I81" s="174"/>
      <c r="J81" s="174"/>
    </row>
    <row r="82" spans="2:10">
      <c r="B82" s="174"/>
      <c r="C82" s="174"/>
      <c r="D82" s="174"/>
      <c r="E82" s="174"/>
      <c r="F82" s="174"/>
      <c r="G82" s="174"/>
      <c r="H82" s="174"/>
      <c r="I82" s="174"/>
      <c r="J82" s="174"/>
    </row>
    <row r="83" spans="2:10">
      <c r="B83" s="174"/>
      <c r="C83" s="174"/>
      <c r="D83" s="174"/>
      <c r="E83" s="174"/>
      <c r="F83" s="174"/>
      <c r="G83" s="174"/>
      <c r="H83" s="174"/>
      <c r="I83" s="174"/>
      <c r="J83" s="174"/>
    </row>
    <row r="84" spans="2:10">
      <c r="B84" s="174"/>
      <c r="C84" s="174"/>
      <c r="D84" s="174"/>
      <c r="E84" s="174"/>
      <c r="F84" s="174"/>
      <c r="G84" s="174"/>
      <c r="H84" s="174"/>
      <c r="I84" s="174"/>
      <c r="J84" s="174"/>
    </row>
    <row r="85" spans="2:10">
      <c r="B85" s="174"/>
      <c r="C85" s="174"/>
      <c r="D85" s="174"/>
      <c r="E85" s="174"/>
      <c r="F85" s="174"/>
      <c r="G85" s="174"/>
      <c r="H85" s="174"/>
      <c r="I85" s="174"/>
      <c r="J85" s="174"/>
    </row>
    <row r="86" spans="2:10">
      <c r="B86" s="174"/>
      <c r="C86" s="174"/>
      <c r="D86" s="174"/>
      <c r="E86" s="174"/>
      <c r="F86" s="174"/>
      <c r="G86" s="174"/>
      <c r="H86" s="174"/>
      <c r="I86" s="174"/>
      <c r="J86" s="174"/>
    </row>
    <row r="87" spans="2:10">
      <c r="B87" s="174"/>
      <c r="C87" s="174"/>
      <c r="D87" s="174"/>
      <c r="E87" s="174"/>
      <c r="F87" s="174"/>
      <c r="G87" s="174"/>
      <c r="H87" s="174"/>
      <c r="I87" s="174"/>
      <c r="J87" s="174"/>
    </row>
    <row r="88" spans="2:10">
      <c r="B88" s="174"/>
      <c r="C88" s="174"/>
      <c r="D88" s="174"/>
      <c r="E88" s="174"/>
      <c r="F88" s="174"/>
      <c r="G88" s="174"/>
      <c r="H88" s="174"/>
      <c r="I88" s="174"/>
      <c r="J88" s="174"/>
    </row>
    <row r="89" spans="2:10">
      <c r="B89" s="174"/>
      <c r="C89" s="174"/>
      <c r="D89" s="174"/>
      <c r="E89" s="174"/>
      <c r="F89" s="174"/>
      <c r="G89" s="174"/>
      <c r="H89" s="174"/>
      <c r="I89" s="174"/>
      <c r="J89" s="174"/>
    </row>
    <row r="90" spans="2:10">
      <c r="B90" s="174"/>
      <c r="C90" s="174"/>
      <c r="D90" s="174"/>
      <c r="E90" s="174"/>
      <c r="F90" s="174"/>
      <c r="G90" s="174"/>
      <c r="H90" s="174"/>
      <c r="I90" s="174"/>
      <c r="J90" s="174"/>
    </row>
    <row r="91" spans="2:10">
      <c r="B91" s="174"/>
      <c r="C91" s="174"/>
      <c r="D91" s="174"/>
      <c r="E91" s="174"/>
      <c r="F91" s="174"/>
      <c r="G91" s="174"/>
      <c r="H91" s="174"/>
      <c r="I91" s="174"/>
      <c r="J91" s="174"/>
    </row>
    <row r="92" spans="2:10">
      <c r="B92" s="174"/>
      <c r="C92" s="174"/>
      <c r="D92" s="174"/>
      <c r="E92" s="174"/>
      <c r="F92" s="174"/>
      <c r="G92" s="174"/>
      <c r="H92" s="174"/>
      <c r="I92" s="174"/>
      <c r="J92" s="174"/>
    </row>
    <row r="93" spans="2:10">
      <c r="B93" s="174"/>
      <c r="C93" s="174"/>
      <c r="D93" s="174"/>
      <c r="E93" s="174"/>
      <c r="F93" s="174"/>
      <c r="G93" s="174"/>
      <c r="H93" s="174"/>
      <c r="I93" s="174"/>
      <c r="J93" s="174"/>
    </row>
    <row r="94" spans="2:10">
      <c r="B94" s="174"/>
      <c r="C94" s="174"/>
      <c r="D94" s="174"/>
      <c r="E94" s="174"/>
      <c r="F94" s="174"/>
      <c r="G94" s="174"/>
      <c r="H94" s="174"/>
      <c r="I94" s="174"/>
      <c r="J94" s="174"/>
    </row>
    <row r="95" spans="2:10">
      <c r="B95" s="174"/>
      <c r="C95" s="174"/>
      <c r="D95" s="174"/>
      <c r="E95" s="174"/>
      <c r="F95" s="174"/>
      <c r="G95" s="174"/>
      <c r="H95" s="174"/>
      <c r="I95" s="174"/>
      <c r="J95" s="174"/>
    </row>
    <row r="96" spans="2:10">
      <c r="B96" s="174"/>
      <c r="C96" s="174"/>
      <c r="D96" s="174"/>
      <c r="E96" s="174"/>
      <c r="F96" s="174"/>
      <c r="G96" s="174"/>
      <c r="H96" s="174"/>
      <c r="I96" s="174"/>
      <c r="J96" s="174"/>
    </row>
    <row r="97" spans="2:10">
      <c r="B97" s="174"/>
      <c r="C97" s="174"/>
      <c r="D97" s="174"/>
      <c r="E97" s="174"/>
      <c r="F97" s="174"/>
      <c r="G97" s="174"/>
      <c r="H97" s="174"/>
      <c r="I97" s="174"/>
      <c r="J97" s="174"/>
    </row>
    <row r="98" spans="2:10">
      <c r="B98" s="174"/>
      <c r="C98" s="174"/>
      <c r="D98" s="174"/>
      <c r="E98" s="174"/>
      <c r="F98" s="174"/>
      <c r="G98" s="174"/>
      <c r="H98" s="174"/>
      <c r="I98" s="174"/>
      <c r="J98" s="174"/>
    </row>
    <row r="99" spans="2:10">
      <c r="B99" s="174"/>
      <c r="C99" s="174"/>
      <c r="D99" s="174"/>
      <c r="E99" s="174"/>
      <c r="F99" s="174"/>
      <c r="G99" s="174"/>
      <c r="H99" s="174"/>
      <c r="I99" s="174"/>
      <c r="J99" s="174"/>
    </row>
    <row r="100" spans="2:10">
      <c r="B100" s="174"/>
      <c r="C100" s="174"/>
      <c r="D100" s="174"/>
      <c r="E100" s="174"/>
      <c r="F100" s="174"/>
      <c r="G100" s="174"/>
      <c r="H100" s="174"/>
      <c r="I100" s="174"/>
      <c r="J100" s="174"/>
    </row>
    <row r="101" spans="2:10">
      <c r="B101" s="174"/>
      <c r="C101" s="174"/>
      <c r="D101" s="174"/>
      <c r="E101" s="174"/>
      <c r="F101" s="174"/>
      <c r="G101" s="174"/>
      <c r="H101" s="174"/>
      <c r="I101" s="174"/>
      <c r="J101" s="174"/>
    </row>
    <row r="102" spans="2:10">
      <c r="B102" s="174"/>
      <c r="C102" s="174"/>
      <c r="D102" s="174"/>
      <c r="E102" s="174"/>
      <c r="F102" s="174"/>
      <c r="G102" s="174"/>
      <c r="H102" s="174"/>
      <c r="I102" s="174"/>
      <c r="J102" s="174"/>
    </row>
    <row r="103" spans="2:10">
      <c r="B103" s="174"/>
      <c r="C103" s="174"/>
      <c r="D103" s="174"/>
      <c r="E103" s="174"/>
      <c r="F103" s="174"/>
      <c r="G103" s="174"/>
      <c r="H103" s="174"/>
      <c r="I103" s="174"/>
      <c r="J103" s="174"/>
    </row>
    <row r="104" spans="2:10">
      <c r="B104" s="174"/>
      <c r="C104" s="174"/>
      <c r="D104" s="174"/>
      <c r="E104" s="174"/>
      <c r="F104" s="174"/>
      <c r="G104" s="174"/>
      <c r="H104" s="174"/>
      <c r="I104" s="174"/>
      <c r="J104" s="174"/>
    </row>
    <row r="105" spans="2:10">
      <c r="B105" s="174"/>
      <c r="C105" s="174"/>
      <c r="D105" s="174"/>
      <c r="E105" s="174"/>
      <c r="F105" s="174"/>
      <c r="G105" s="174"/>
      <c r="H105" s="174"/>
      <c r="I105" s="174"/>
      <c r="J105" s="174"/>
    </row>
    <row r="106" spans="2:10">
      <c r="B106" s="174"/>
      <c r="C106" s="174"/>
      <c r="D106" s="174"/>
      <c r="E106" s="174"/>
      <c r="F106" s="174"/>
      <c r="G106" s="174"/>
      <c r="H106" s="174"/>
      <c r="I106" s="174"/>
      <c r="J106" s="174"/>
    </row>
    <row r="107" spans="2:10">
      <c r="B107" s="174"/>
      <c r="C107" s="174"/>
      <c r="D107" s="174"/>
      <c r="E107" s="174"/>
      <c r="F107" s="174"/>
      <c r="G107" s="174"/>
      <c r="H107" s="174"/>
      <c r="I107" s="174"/>
      <c r="J107" s="174"/>
    </row>
    <row r="108" spans="2:10">
      <c r="B108" s="174"/>
      <c r="C108" s="174"/>
      <c r="D108" s="174"/>
      <c r="E108" s="174"/>
      <c r="F108" s="174"/>
      <c r="G108" s="174"/>
      <c r="H108" s="174"/>
      <c r="I108" s="174"/>
      <c r="J108" s="174"/>
    </row>
    <row r="109" spans="2:10">
      <c r="B109" s="174"/>
      <c r="C109" s="174"/>
      <c r="D109" s="174"/>
      <c r="E109" s="174"/>
      <c r="F109" s="174"/>
      <c r="G109" s="174"/>
      <c r="H109" s="174"/>
      <c r="I109" s="174"/>
      <c r="J109" s="174"/>
    </row>
    <row r="110" spans="2:10">
      <c r="B110" s="174"/>
      <c r="C110" s="174"/>
      <c r="D110" s="174"/>
      <c r="E110" s="174"/>
      <c r="F110" s="174"/>
      <c r="G110" s="174"/>
      <c r="H110" s="174"/>
      <c r="I110" s="174"/>
      <c r="J110" s="174"/>
    </row>
    <row r="111" spans="2:10">
      <c r="B111" s="174"/>
      <c r="C111" s="174"/>
      <c r="D111" s="174"/>
      <c r="E111" s="174"/>
      <c r="F111" s="174"/>
      <c r="G111" s="174"/>
      <c r="H111" s="174"/>
      <c r="I111" s="174"/>
      <c r="J111" s="174"/>
    </row>
    <row r="112" spans="2:10">
      <c r="B112" s="174"/>
      <c r="C112" s="174"/>
      <c r="D112" s="174"/>
      <c r="E112" s="174"/>
      <c r="F112" s="174"/>
      <c r="G112" s="174"/>
      <c r="H112" s="174"/>
      <c r="I112" s="174"/>
      <c r="J112" s="174"/>
    </row>
    <row r="113" spans="2:10">
      <c r="B113" s="174"/>
      <c r="C113" s="174"/>
      <c r="D113" s="174"/>
      <c r="E113" s="174"/>
      <c r="F113" s="174"/>
      <c r="G113" s="174"/>
      <c r="H113" s="174"/>
      <c r="I113" s="174"/>
      <c r="J113" s="174"/>
    </row>
    <row r="114" spans="2:10">
      <c r="B114" s="174"/>
      <c r="C114" s="174"/>
      <c r="D114" s="174"/>
      <c r="E114" s="174"/>
      <c r="F114" s="174"/>
      <c r="G114" s="174"/>
      <c r="H114" s="174"/>
      <c r="I114" s="174"/>
      <c r="J114" s="174"/>
    </row>
    <row r="115" spans="2:10">
      <c r="B115" s="174"/>
      <c r="C115" s="174"/>
      <c r="D115" s="174"/>
      <c r="E115" s="174"/>
      <c r="F115" s="174"/>
      <c r="G115" s="174"/>
      <c r="H115" s="174"/>
      <c r="I115" s="174"/>
      <c r="J115" s="174"/>
    </row>
    <row r="116" spans="2:10">
      <c r="B116" s="174"/>
      <c r="C116" s="174"/>
      <c r="D116" s="174"/>
      <c r="E116" s="174"/>
      <c r="F116" s="174"/>
      <c r="G116" s="174"/>
      <c r="H116" s="174"/>
      <c r="I116" s="174"/>
      <c r="J116" s="174"/>
    </row>
    <row r="117" spans="2:10">
      <c r="B117" s="174"/>
      <c r="C117" s="174"/>
      <c r="D117" s="174"/>
      <c r="E117" s="174"/>
      <c r="F117" s="174"/>
      <c r="G117" s="174"/>
      <c r="H117" s="174"/>
      <c r="I117" s="174"/>
      <c r="J117" s="174"/>
    </row>
    <row r="118" spans="2:10">
      <c r="B118" s="174"/>
      <c r="C118" s="174"/>
      <c r="D118" s="174"/>
      <c r="E118" s="174"/>
      <c r="F118" s="174"/>
      <c r="G118" s="174"/>
      <c r="H118" s="174"/>
      <c r="I118" s="174"/>
      <c r="J118" s="174"/>
    </row>
    <row r="119" spans="2:10">
      <c r="B119" s="174"/>
      <c r="C119" s="174"/>
      <c r="D119" s="174"/>
      <c r="E119" s="174"/>
      <c r="F119" s="174"/>
      <c r="G119" s="174"/>
      <c r="H119" s="174"/>
      <c r="I119" s="174"/>
      <c r="J119" s="174"/>
    </row>
    <row r="120" spans="2:10">
      <c r="B120" s="174"/>
      <c r="C120" s="174"/>
      <c r="D120" s="174"/>
      <c r="E120" s="174"/>
      <c r="F120" s="174"/>
      <c r="G120" s="174"/>
      <c r="H120" s="174"/>
      <c r="I120" s="174"/>
      <c r="J120" s="174"/>
    </row>
    <row r="121" spans="2:10">
      <c r="B121" s="174"/>
      <c r="C121" s="174"/>
      <c r="D121" s="174"/>
      <c r="E121" s="174"/>
      <c r="F121" s="174"/>
      <c r="G121" s="174"/>
      <c r="H121" s="174"/>
      <c r="I121" s="174"/>
      <c r="J121" s="174"/>
    </row>
    <row r="122" spans="2:10">
      <c r="B122" s="174"/>
      <c r="C122" s="174"/>
      <c r="D122" s="174"/>
      <c r="E122" s="174"/>
      <c r="F122" s="174"/>
      <c r="G122" s="174"/>
      <c r="H122" s="174"/>
      <c r="I122" s="174"/>
      <c r="J122" s="174"/>
    </row>
    <row r="123" spans="2:10">
      <c r="B123" s="174"/>
      <c r="C123" s="174"/>
      <c r="D123" s="174"/>
      <c r="E123" s="174"/>
      <c r="F123" s="174"/>
      <c r="G123" s="174"/>
      <c r="H123" s="174"/>
      <c r="I123" s="174"/>
      <c r="J123" s="174"/>
    </row>
    <row r="124" spans="2:10">
      <c r="B124" s="174"/>
      <c r="C124" s="174"/>
      <c r="D124" s="174"/>
      <c r="E124" s="174"/>
      <c r="F124" s="174"/>
      <c r="G124" s="174"/>
      <c r="H124" s="174"/>
      <c r="I124" s="174"/>
      <c r="J124" s="174"/>
    </row>
    <row r="125" spans="2:10">
      <c r="B125" s="174"/>
      <c r="C125" s="174"/>
      <c r="D125" s="174"/>
      <c r="E125" s="174"/>
      <c r="F125" s="174"/>
      <c r="G125" s="174"/>
      <c r="H125" s="174"/>
      <c r="I125" s="174"/>
      <c r="J125" s="174"/>
    </row>
    <row r="126" spans="2:10">
      <c r="B126" s="174"/>
      <c r="C126" s="174"/>
      <c r="D126" s="174"/>
      <c r="E126" s="174"/>
      <c r="F126" s="174"/>
      <c r="G126" s="174"/>
      <c r="H126" s="174"/>
      <c r="I126" s="174"/>
      <c r="J126" s="174"/>
    </row>
    <row r="127" spans="2:10">
      <c r="B127" s="174"/>
      <c r="C127" s="174"/>
      <c r="D127" s="174"/>
      <c r="E127" s="174"/>
      <c r="F127" s="174"/>
      <c r="G127" s="174"/>
      <c r="H127" s="174"/>
      <c r="I127" s="174"/>
      <c r="J127" s="174"/>
    </row>
    <row r="128" spans="2:10">
      <c r="B128" s="174"/>
      <c r="C128" s="174"/>
      <c r="D128" s="174"/>
      <c r="E128" s="174"/>
      <c r="F128" s="174"/>
      <c r="G128" s="174"/>
      <c r="H128" s="174"/>
      <c r="I128" s="174"/>
      <c r="J128" s="174"/>
    </row>
    <row r="129" spans="2:10">
      <c r="B129" s="174"/>
      <c r="C129" s="174"/>
      <c r="D129" s="174"/>
      <c r="E129" s="174"/>
      <c r="F129" s="174"/>
      <c r="G129" s="174"/>
      <c r="H129" s="174"/>
      <c r="I129" s="174"/>
      <c r="J129" s="174"/>
    </row>
    <row r="130" spans="2:10">
      <c r="B130" s="174"/>
      <c r="C130" s="174"/>
      <c r="D130" s="174"/>
      <c r="E130" s="174"/>
      <c r="F130" s="174"/>
      <c r="G130" s="174"/>
      <c r="H130" s="174"/>
      <c r="I130" s="174"/>
      <c r="J130" s="174"/>
    </row>
    <row r="131" spans="2:10">
      <c r="B131" s="174"/>
      <c r="C131" s="174"/>
      <c r="D131" s="174"/>
      <c r="E131" s="174"/>
      <c r="F131" s="174"/>
      <c r="G131" s="174"/>
      <c r="H131" s="174"/>
      <c r="I131" s="174"/>
      <c r="J131" s="174"/>
    </row>
    <row r="132" spans="2:10">
      <c r="B132" s="174"/>
      <c r="C132" s="174"/>
      <c r="D132" s="174"/>
      <c r="E132" s="174"/>
      <c r="F132" s="174"/>
      <c r="G132" s="174"/>
      <c r="H132" s="174"/>
      <c r="I132" s="174"/>
      <c r="J132" s="174"/>
    </row>
    <row r="133" spans="2:10">
      <c r="B133" s="174"/>
      <c r="C133" s="174"/>
      <c r="D133" s="174"/>
      <c r="E133" s="174"/>
      <c r="F133" s="174"/>
      <c r="G133" s="174"/>
      <c r="H133" s="174"/>
      <c r="I133" s="174"/>
      <c r="J133" s="174"/>
    </row>
    <row r="134" spans="2:10">
      <c r="B134" s="174"/>
      <c r="C134" s="174"/>
      <c r="D134" s="174"/>
      <c r="E134" s="174"/>
      <c r="F134" s="174"/>
      <c r="G134" s="174"/>
      <c r="H134" s="174"/>
      <c r="I134" s="174"/>
      <c r="J134" s="174"/>
    </row>
    <row r="135" spans="2:10">
      <c r="B135" s="174"/>
      <c r="C135" s="174"/>
      <c r="D135" s="174"/>
      <c r="E135" s="174"/>
      <c r="F135" s="174"/>
      <c r="G135" s="174"/>
      <c r="H135" s="174"/>
      <c r="I135" s="174"/>
      <c r="J135" s="174"/>
    </row>
    <row r="136" spans="2:10">
      <c r="B136" s="174"/>
      <c r="C136" s="174"/>
      <c r="D136" s="174"/>
      <c r="E136" s="174"/>
      <c r="F136" s="174"/>
      <c r="G136" s="174"/>
      <c r="H136" s="174"/>
      <c r="I136" s="174"/>
      <c r="J136" s="174"/>
    </row>
    <row r="137" spans="2:10">
      <c r="B137" s="174"/>
      <c r="C137" s="174"/>
      <c r="D137" s="174"/>
      <c r="E137" s="174"/>
      <c r="F137" s="174"/>
      <c r="G137" s="174"/>
      <c r="H137" s="174"/>
      <c r="I137" s="174"/>
      <c r="J137" s="174"/>
    </row>
    <row r="138" spans="2:10">
      <c r="B138" s="174"/>
      <c r="C138" s="174"/>
      <c r="D138" s="174"/>
      <c r="E138" s="174"/>
      <c r="F138" s="174"/>
      <c r="G138" s="174"/>
      <c r="H138" s="174"/>
      <c r="I138" s="174"/>
      <c r="J138" s="174"/>
    </row>
    <row r="139" spans="2:10">
      <c r="B139" s="174"/>
      <c r="C139" s="174"/>
      <c r="D139" s="174"/>
      <c r="E139" s="174"/>
      <c r="F139" s="174"/>
      <c r="G139" s="174"/>
      <c r="H139" s="174"/>
      <c r="I139" s="174"/>
      <c r="J139" s="174"/>
    </row>
    <row r="140" spans="2:10">
      <c r="B140" s="174"/>
      <c r="C140" s="174"/>
      <c r="D140" s="174"/>
      <c r="E140" s="174"/>
      <c r="F140" s="174"/>
      <c r="G140" s="174"/>
      <c r="H140" s="174"/>
      <c r="I140" s="174"/>
      <c r="J140" s="174"/>
    </row>
    <row r="141" spans="2:10">
      <c r="B141" s="174"/>
      <c r="C141" s="174"/>
      <c r="D141" s="174"/>
      <c r="E141" s="174"/>
      <c r="F141" s="174"/>
      <c r="G141" s="174"/>
      <c r="H141" s="174"/>
      <c r="I141" s="174"/>
      <c r="J141" s="174"/>
    </row>
    <row r="142" spans="2:10">
      <c r="B142" s="174"/>
      <c r="C142" s="174"/>
      <c r="D142" s="174"/>
      <c r="E142" s="174"/>
      <c r="F142" s="174"/>
      <c r="G142" s="174"/>
      <c r="H142" s="174"/>
      <c r="I142" s="174"/>
      <c r="J142" s="174"/>
    </row>
    <row r="143" spans="2:10">
      <c r="B143" s="174"/>
      <c r="C143" s="174"/>
      <c r="D143" s="174"/>
      <c r="E143" s="174"/>
      <c r="F143" s="174"/>
      <c r="G143" s="174"/>
      <c r="H143" s="174"/>
      <c r="I143" s="174"/>
      <c r="J143" s="174"/>
    </row>
    <row r="144" spans="2:10">
      <c r="B144" s="174"/>
      <c r="C144" s="174"/>
      <c r="D144" s="174"/>
      <c r="E144" s="174"/>
      <c r="F144" s="174"/>
      <c r="G144" s="174"/>
      <c r="H144" s="174"/>
      <c r="I144" s="174"/>
      <c r="J144" s="174"/>
    </row>
    <row r="145" spans="2:10">
      <c r="B145" s="174"/>
      <c r="C145" s="174"/>
      <c r="D145" s="174"/>
      <c r="E145" s="174"/>
      <c r="F145" s="174"/>
      <c r="G145" s="174"/>
      <c r="H145" s="174"/>
      <c r="I145" s="174"/>
      <c r="J145" s="174"/>
    </row>
    <row r="146" spans="2:10">
      <c r="B146" s="174"/>
      <c r="C146" s="174"/>
      <c r="D146" s="174"/>
      <c r="E146" s="174"/>
      <c r="F146" s="174"/>
      <c r="G146" s="174"/>
      <c r="H146" s="174"/>
      <c r="I146" s="174"/>
      <c r="J146" s="174"/>
    </row>
    <row r="147" spans="2:10">
      <c r="B147" s="174"/>
      <c r="C147" s="174"/>
      <c r="D147" s="174"/>
      <c r="E147" s="174"/>
      <c r="F147" s="174"/>
      <c r="G147" s="174"/>
      <c r="H147" s="174"/>
      <c r="I147" s="174"/>
      <c r="J147" s="174"/>
    </row>
    <row r="148" spans="2:10">
      <c r="B148" s="174"/>
      <c r="C148" s="174"/>
      <c r="D148" s="174"/>
      <c r="E148" s="174"/>
      <c r="F148" s="174"/>
      <c r="G148" s="174"/>
      <c r="H148" s="174"/>
      <c r="I148" s="174"/>
      <c r="J148" s="174"/>
    </row>
    <row r="149" spans="2:10">
      <c r="B149" s="174"/>
      <c r="C149" s="174"/>
      <c r="D149" s="174"/>
      <c r="E149" s="174"/>
      <c r="F149" s="174"/>
      <c r="G149" s="174"/>
      <c r="H149" s="174"/>
      <c r="I149" s="174"/>
      <c r="J149" s="174"/>
    </row>
    <row r="150" spans="2:10">
      <c r="B150" s="174"/>
      <c r="C150" s="174"/>
      <c r="D150" s="174"/>
      <c r="E150" s="174"/>
      <c r="F150" s="174"/>
      <c r="G150" s="174"/>
      <c r="H150" s="174"/>
      <c r="I150" s="174"/>
      <c r="J150" s="174"/>
    </row>
    <row r="151" spans="2:10">
      <c r="B151" s="174"/>
      <c r="C151" s="174"/>
      <c r="D151" s="174"/>
      <c r="E151" s="174"/>
      <c r="F151" s="174"/>
      <c r="G151" s="174"/>
      <c r="H151" s="174"/>
      <c r="I151" s="174"/>
      <c r="J151" s="174"/>
    </row>
    <row r="152" spans="2:10">
      <c r="B152" s="174"/>
      <c r="C152" s="174"/>
      <c r="D152" s="174"/>
      <c r="E152" s="174"/>
      <c r="F152" s="174"/>
      <c r="G152" s="174"/>
      <c r="H152" s="174"/>
      <c r="I152" s="174"/>
      <c r="J152" s="174"/>
    </row>
    <row r="153" spans="2:10">
      <c r="B153" s="174"/>
      <c r="C153" s="174"/>
      <c r="D153" s="174"/>
      <c r="E153" s="174"/>
      <c r="F153" s="174"/>
      <c r="G153" s="174"/>
      <c r="H153" s="174"/>
      <c r="I153" s="174"/>
      <c r="J153" s="174"/>
    </row>
    <row r="154" spans="2:10">
      <c r="B154" s="174"/>
      <c r="C154" s="174"/>
      <c r="D154" s="174"/>
      <c r="E154" s="174"/>
      <c r="F154" s="174"/>
      <c r="G154" s="174"/>
      <c r="H154" s="174"/>
      <c r="I154" s="174"/>
      <c r="J154" s="174"/>
    </row>
    <row r="155" spans="2:10">
      <c r="B155" s="174"/>
      <c r="C155" s="174"/>
      <c r="D155" s="174"/>
      <c r="E155" s="174"/>
      <c r="F155" s="174"/>
      <c r="G155" s="174"/>
      <c r="H155" s="174"/>
      <c r="I155" s="174"/>
      <c r="J155" s="174"/>
    </row>
    <row r="156" spans="2:10">
      <c r="B156" s="174"/>
      <c r="C156" s="174"/>
      <c r="D156" s="174"/>
      <c r="E156" s="174"/>
      <c r="F156" s="174"/>
      <c r="G156" s="174"/>
      <c r="H156" s="174"/>
      <c r="I156" s="174"/>
      <c r="J156" s="174"/>
    </row>
    <row r="157" spans="2:10">
      <c r="B157" s="174"/>
      <c r="C157" s="174"/>
      <c r="D157" s="174"/>
      <c r="E157" s="174"/>
      <c r="F157" s="174"/>
      <c r="G157" s="174"/>
      <c r="H157" s="174"/>
      <c r="I157" s="174"/>
      <c r="J157" s="174"/>
    </row>
    <row r="158" spans="2:10">
      <c r="B158" s="174"/>
      <c r="C158" s="174"/>
      <c r="D158" s="174"/>
      <c r="E158" s="174"/>
      <c r="F158" s="174"/>
      <c r="G158" s="174"/>
      <c r="H158" s="174"/>
      <c r="I158" s="174"/>
      <c r="J158" s="174"/>
    </row>
    <row r="159" spans="2:10">
      <c r="B159" s="174"/>
      <c r="C159" s="174"/>
      <c r="D159" s="174"/>
      <c r="E159" s="174"/>
      <c r="F159" s="174"/>
      <c r="G159" s="174"/>
      <c r="H159" s="174"/>
      <c r="I159" s="174"/>
      <c r="J159" s="174"/>
    </row>
    <row r="160" spans="2:10">
      <c r="B160" s="174"/>
      <c r="C160" s="174"/>
      <c r="D160" s="174"/>
      <c r="E160" s="174"/>
      <c r="F160" s="174"/>
      <c r="G160" s="174"/>
      <c r="H160" s="174"/>
      <c r="I160" s="174"/>
      <c r="J160" s="174"/>
    </row>
    <row r="161" spans="2:10">
      <c r="B161" s="174"/>
      <c r="C161" s="174"/>
      <c r="D161" s="174"/>
      <c r="E161" s="174"/>
      <c r="F161" s="174"/>
      <c r="G161" s="174"/>
      <c r="H161" s="174"/>
      <c r="I161" s="174"/>
      <c r="J161" s="174"/>
    </row>
    <row r="162" spans="2:10">
      <c r="B162" s="174"/>
      <c r="C162" s="174"/>
      <c r="D162" s="174"/>
      <c r="E162" s="174"/>
      <c r="F162" s="174"/>
      <c r="G162" s="174"/>
      <c r="H162" s="174"/>
      <c r="I162" s="174"/>
      <c r="J162" s="174"/>
    </row>
    <row r="163" spans="2:10">
      <c r="B163" s="174"/>
      <c r="C163" s="174"/>
      <c r="D163" s="174"/>
      <c r="E163" s="174"/>
      <c r="F163" s="174"/>
      <c r="G163" s="174"/>
      <c r="H163" s="174"/>
      <c r="I163" s="174"/>
      <c r="J163" s="174"/>
    </row>
    <row r="164" spans="2:10">
      <c r="B164" s="174"/>
      <c r="C164" s="174"/>
      <c r="D164" s="174"/>
      <c r="E164" s="174"/>
      <c r="F164" s="174"/>
      <c r="G164" s="174"/>
      <c r="H164" s="174"/>
      <c r="I164" s="174"/>
      <c r="J164" s="174"/>
    </row>
    <row r="165" spans="2:10">
      <c r="B165" s="174"/>
      <c r="C165" s="174"/>
      <c r="D165" s="174"/>
      <c r="E165" s="174"/>
      <c r="F165" s="174"/>
      <c r="G165" s="174"/>
      <c r="H165" s="174"/>
      <c r="I165" s="174"/>
      <c r="J165" s="174"/>
    </row>
    <row r="166" spans="2:10">
      <c r="B166" s="174"/>
      <c r="C166" s="174"/>
      <c r="D166" s="174"/>
      <c r="E166" s="174"/>
      <c r="F166" s="174"/>
      <c r="G166" s="174"/>
      <c r="H166" s="174"/>
      <c r="I166" s="174"/>
      <c r="J166" s="174"/>
    </row>
    <row r="167" spans="2:10">
      <c r="B167" s="174"/>
      <c r="C167" s="174"/>
      <c r="D167" s="174"/>
      <c r="E167" s="174"/>
      <c r="F167" s="174"/>
      <c r="G167" s="174"/>
      <c r="H167" s="174"/>
      <c r="I167" s="174"/>
      <c r="J167" s="174"/>
    </row>
    <row r="168" spans="2:10">
      <c r="B168" s="174"/>
      <c r="C168" s="174"/>
      <c r="D168" s="174"/>
      <c r="E168" s="174"/>
      <c r="F168" s="174"/>
      <c r="G168" s="174"/>
      <c r="H168" s="174"/>
      <c r="I168" s="174"/>
      <c r="J168" s="174"/>
    </row>
    <row r="169" spans="2:10">
      <c r="B169" s="174"/>
      <c r="C169" s="174"/>
      <c r="D169" s="174"/>
      <c r="E169" s="174"/>
      <c r="F169" s="174"/>
      <c r="G169" s="174"/>
      <c r="H169" s="174"/>
      <c r="I169" s="174"/>
      <c r="J169" s="174"/>
    </row>
    <row r="170" spans="2:10">
      <c r="B170" s="174"/>
      <c r="C170" s="174"/>
      <c r="D170" s="174"/>
      <c r="E170" s="174"/>
      <c r="F170" s="174"/>
      <c r="G170" s="174"/>
      <c r="H170" s="174"/>
      <c r="I170" s="174"/>
      <c r="J170" s="174"/>
    </row>
    <row r="171" spans="2:10">
      <c r="B171" s="174"/>
      <c r="C171" s="174"/>
      <c r="D171" s="174"/>
      <c r="E171" s="174"/>
      <c r="F171" s="174"/>
      <c r="G171" s="174"/>
      <c r="H171" s="174"/>
      <c r="I171" s="174"/>
      <c r="J171" s="174"/>
    </row>
    <row r="172" spans="2:10">
      <c r="B172" s="174"/>
      <c r="C172" s="174"/>
      <c r="D172" s="174"/>
      <c r="E172" s="174"/>
      <c r="F172" s="174"/>
      <c r="G172" s="174"/>
      <c r="H172" s="174"/>
      <c r="I172" s="174"/>
      <c r="J172" s="174"/>
    </row>
    <row r="173" spans="2:10">
      <c r="B173" s="174"/>
      <c r="C173" s="174"/>
      <c r="D173" s="174"/>
      <c r="E173" s="174"/>
      <c r="F173" s="174"/>
      <c r="G173" s="174"/>
      <c r="H173" s="174"/>
      <c r="I173" s="174"/>
      <c r="J173" s="174"/>
    </row>
    <row r="174" spans="2:10">
      <c r="B174" s="174"/>
      <c r="C174" s="174"/>
      <c r="D174" s="174"/>
      <c r="E174" s="174"/>
      <c r="F174" s="174"/>
      <c r="G174" s="174"/>
      <c r="H174" s="174"/>
      <c r="I174" s="174"/>
      <c r="J174" s="174"/>
    </row>
    <row r="175" spans="2:10">
      <c r="B175" s="174"/>
      <c r="C175" s="174"/>
      <c r="D175" s="174"/>
      <c r="E175" s="174"/>
      <c r="F175" s="174"/>
      <c r="G175" s="174"/>
      <c r="H175" s="174"/>
      <c r="I175" s="174"/>
      <c r="J175" s="174"/>
    </row>
    <row r="176" spans="2:10">
      <c r="B176" s="174"/>
      <c r="C176" s="174"/>
      <c r="D176" s="174"/>
      <c r="E176" s="174"/>
      <c r="F176" s="174"/>
      <c r="G176" s="174"/>
      <c r="H176" s="174"/>
      <c r="I176" s="174"/>
      <c r="J176" s="174"/>
    </row>
    <row r="177" spans="2:10">
      <c r="B177" s="174"/>
      <c r="C177" s="174"/>
      <c r="D177" s="174"/>
      <c r="E177" s="174"/>
      <c r="F177" s="174"/>
      <c r="G177" s="174"/>
      <c r="H177" s="174"/>
      <c r="I177" s="174"/>
      <c r="J177" s="174"/>
    </row>
    <row r="178" spans="2:10">
      <c r="B178" s="174"/>
      <c r="C178" s="174"/>
      <c r="D178" s="174"/>
      <c r="E178" s="174"/>
      <c r="F178" s="174"/>
      <c r="G178" s="174"/>
      <c r="H178" s="174"/>
      <c r="I178" s="174"/>
      <c r="J178" s="174"/>
    </row>
    <row r="179" spans="2:10">
      <c r="B179" s="174"/>
      <c r="C179" s="174"/>
      <c r="D179" s="174"/>
      <c r="E179" s="174"/>
      <c r="F179" s="174"/>
      <c r="G179" s="174"/>
      <c r="H179" s="174"/>
      <c r="I179" s="174"/>
      <c r="J179" s="174"/>
    </row>
    <row r="180" spans="2:10">
      <c r="B180" s="174"/>
      <c r="C180" s="174"/>
      <c r="D180" s="174"/>
      <c r="E180" s="174"/>
      <c r="F180" s="174"/>
      <c r="G180" s="174"/>
      <c r="H180" s="174"/>
      <c r="I180" s="174"/>
      <c r="J180" s="174"/>
    </row>
    <row r="181" spans="2:10">
      <c r="B181" s="174"/>
      <c r="C181" s="174"/>
      <c r="D181" s="174"/>
      <c r="E181" s="174"/>
      <c r="F181" s="174"/>
      <c r="G181" s="174"/>
      <c r="H181" s="174"/>
      <c r="I181" s="174"/>
      <c r="J181" s="174"/>
    </row>
    <row r="182" spans="2:10">
      <c r="B182" s="174"/>
      <c r="C182" s="174"/>
      <c r="D182" s="174"/>
      <c r="E182" s="174"/>
      <c r="F182" s="174"/>
      <c r="G182" s="174"/>
      <c r="H182" s="174"/>
      <c r="I182" s="174"/>
      <c r="J182" s="174"/>
    </row>
    <row r="183" spans="2:10">
      <c r="B183" s="174"/>
      <c r="C183" s="174"/>
      <c r="D183" s="174"/>
      <c r="E183" s="174"/>
      <c r="F183" s="174"/>
      <c r="G183" s="174"/>
      <c r="H183" s="174"/>
      <c r="I183" s="174"/>
      <c r="J183" s="174"/>
    </row>
    <row r="184" spans="2:10">
      <c r="B184" s="174"/>
      <c r="C184" s="174"/>
      <c r="D184" s="174"/>
      <c r="E184" s="174"/>
      <c r="F184" s="174"/>
      <c r="G184" s="174"/>
      <c r="H184" s="174"/>
      <c r="I184" s="174"/>
      <c r="J184" s="174"/>
    </row>
    <row r="185" spans="2:10">
      <c r="B185" s="174"/>
      <c r="C185" s="174"/>
      <c r="D185" s="174"/>
      <c r="E185" s="174"/>
      <c r="F185" s="174"/>
      <c r="G185" s="174"/>
      <c r="H185" s="174"/>
      <c r="I185" s="174"/>
      <c r="J185" s="174"/>
    </row>
    <row r="186" spans="2:10">
      <c r="B186" s="174"/>
      <c r="C186" s="174"/>
      <c r="D186" s="174"/>
      <c r="E186" s="174"/>
      <c r="F186" s="174"/>
      <c r="G186" s="174"/>
      <c r="H186" s="174"/>
      <c r="I186" s="174"/>
      <c r="J186" s="174"/>
    </row>
    <row r="187" spans="2:10">
      <c r="B187" s="174"/>
      <c r="C187" s="174"/>
      <c r="D187" s="174"/>
      <c r="E187" s="174"/>
      <c r="F187" s="174"/>
      <c r="G187" s="174"/>
      <c r="H187" s="174"/>
      <c r="I187" s="174"/>
      <c r="J187" s="174"/>
    </row>
    <row r="188" spans="2:10">
      <c r="B188" s="174"/>
      <c r="C188" s="174"/>
      <c r="D188" s="174"/>
      <c r="E188" s="174"/>
      <c r="F188" s="174"/>
      <c r="G188" s="174"/>
      <c r="H188" s="174"/>
      <c r="I188" s="174"/>
      <c r="J188" s="174"/>
    </row>
  </sheetData>
  <sheetProtection algorithmName="SHA-512" hashValue="ICcHdlmgD+VUbyTfwXOAccBJY8lEj5ZJnBDSFpkAit+fXoXrvu9Bx42uZngMi+RgoFp8l83VeSy4yaHX3IZJRw==" saltValue="JSD4bgJ6wDJrmwhO2R1c9w==" spinCount="100000" sheet="1" scenarios="1"/>
  <phoneticPr fontId="0" type="noConversion"/>
  <conditionalFormatting sqref="D22:D24">
    <cfRule type="cellIs" dxfId="268" priority="96" stopIfTrue="1" operator="lessThan">
      <formula>1</formula>
    </cfRule>
    <cfRule type="cellIs" dxfId="267" priority="97" stopIfTrue="1" operator="greaterThanOrEqual">
      <formula>1</formula>
    </cfRule>
  </conditionalFormatting>
  <conditionalFormatting sqref="D25">
    <cfRule type="cellIs" dxfId="266" priority="131" stopIfTrue="1" operator="equal">
      <formula>"N/A"</formula>
    </cfRule>
    <cfRule type="cellIs" dxfId="265" priority="132" stopIfTrue="1" operator="equal">
      <formula>"FAIL"</formula>
    </cfRule>
    <cfRule type="cellIs" dxfId="264" priority="133" stopIfTrue="1" operator="equal">
      <formula>"PASS"</formula>
    </cfRule>
  </conditionalFormatting>
  <conditionalFormatting sqref="F22:F24">
    <cfRule type="cellIs" dxfId="263" priority="5" stopIfTrue="1" operator="lessThan">
      <formula>1</formula>
    </cfRule>
    <cfRule type="cellIs" dxfId="262" priority="6" stopIfTrue="1" operator="greaterThanOrEqual">
      <formula>1</formula>
    </cfRule>
  </conditionalFormatting>
  <conditionalFormatting sqref="F25">
    <cfRule type="cellIs" dxfId="261" priority="49" stopIfTrue="1" operator="equal">
      <formula>"N/A"</formula>
    </cfRule>
    <cfRule type="cellIs" dxfId="260" priority="50" stopIfTrue="1" operator="equal">
      <formula>"FAIL"</formula>
    </cfRule>
    <cfRule type="cellIs" dxfId="259" priority="51" stopIfTrue="1" operator="equal">
      <formula>"PASS"</formula>
    </cfRule>
  </conditionalFormatting>
  <conditionalFormatting sqref="H22:H24">
    <cfRule type="cellIs" dxfId="258" priority="3" stopIfTrue="1" operator="lessThan">
      <formula>1</formula>
    </cfRule>
    <cfRule type="cellIs" dxfId="257" priority="4" stopIfTrue="1" operator="greaterThanOrEqual">
      <formula>1</formula>
    </cfRule>
  </conditionalFormatting>
  <conditionalFormatting sqref="H25">
    <cfRule type="cellIs" dxfId="256" priority="19" stopIfTrue="1" operator="equal">
      <formula>"N/A"</formula>
    </cfRule>
    <cfRule type="cellIs" dxfId="255" priority="20" stopIfTrue="1" operator="equal">
      <formula>"FAIL"</formula>
    </cfRule>
    <cfRule type="cellIs" dxfId="254" priority="21" stopIfTrue="1" operator="equal">
      <formula>"PASS"</formula>
    </cfRule>
  </conditionalFormatting>
  <conditionalFormatting sqref="J22:J24">
    <cfRule type="cellIs" dxfId="253" priority="1" stopIfTrue="1" operator="lessThan">
      <formula>1</formula>
    </cfRule>
    <cfRule type="cellIs" dxfId="252" priority="2" stopIfTrue="1" operator="greaterThanOrEqual">
      <formula>1</formula>
    </cfRule>
  </conditionalFormatting>
  <conditionalFormatting sqref="J25">
    <cfRule type="cellIs" dxfId="251" priority="40" stopIfTrue="1" operator="equal">
      <formula>"N/A"</formula>
    </cfRule>
    <cfRule type="cellIs" dxfId="250" priority="41" stopIfTrue="1" operator="equal">
      <formula>"FAIL"</formula>
    </cfRule>
    <cfRule type="cellIs" dxfId="249" priority="42" stopIfTrue="1" operator="equal">
      <formula>"PASS"</formula>
    </cfRule>
  </conditionalFormatting>
  <dataValidations count="2">
    <dataValidation allowBlank="1" showInputMessage="1" showErrorMessage="1" promptTitle="Select Material" sqref="D4 F4 H4 J4" xr:uid="{00000000-0002-0000-2200-000000000000}"/>
    <dataValidation type="list" allowBlank="1" showInputMessage="1" showErrorMessage="1" promptTitle="Select Material" sqref="C4 E4 G4 I4" xr:uid="{00000000-0002-0000-2200-000001000000}">
      <formula1>Materials</formula1>
    </dataValidation>
  </dataValidations>
  <hyperlinks>
    <hyperlink ref="L2" location="'Cover Sheet'!A1" display="BACK to COVER SHEET" xr:uid="{00000000-0004-0000-2200-000001000000}"/>
    <hyperlink ref="I1" location="'Cover Sheet'!A1" display="BACK to COVER SHEET" xr:uid="{EB922AE3-49FD-4F2A-B703-7D32CBC35123}"/>
  </hyperlinks>
  <pageMargins left="0.75" right="0.75" top="1" bottom="1" header="0.5" footer="0.5"/>
  <pageSetup paperSize="9" scale="49" fitToHeight="2"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tabColor rgb="FF9999FF"/>
  </sheetPr>
  <dimension ref="A1:CQ368"/>
  <sheetViews>
    <sheetView showGridLines="0" zoomScaleNormal="100" zoomScaleSheetLayoutView="100" workbookViewId="0">
      <selection sqref="A1:S1"/>
    </sheetView>
  </sheetViews>
  <sheetFormatPr defaultColWidth="11.42578125" defaultRowHeight="12.75"/>
  <cols>
    <col min="1" max="95" width="5" customWidth="1"/>
  </cols>
  <sheetData>
    <row r="1" spans="1:95">
      <c r="A1" s="633" t="s">
        <v>460</v>
      </c>
      <c r="B1" s="634"/>
      <c r="C1" s="634"/>
      <c r="D1" s="634"/>
      <c r="E1" s="634"/>
      <c r="F1" s="634"/>
      <c r="G1" s="634"/>
      <c r="H1" s="634"/>
      <c r="I1" s="634"/>
      <c r="J1" s="634"/>
      <c r="K1" s="634"/>
      <c r="L1" s="634"/>
      <c r="M1" s="634"/>
      <c r="N1" s="634"/>
      <c r="O1" s="634"/>
      <c r="P1" s="634"/>
      <c r="Q1" s="634"/>
      <c r="R1" s="634"/>
      <c r="S1" s="635"/>
      <c r="T1" s="633" t="s">
        <v>461</v>
      </c>
      <c r="U1" s="634"/>
      <c r="V1" s="634"/>
      <c r="W1" s="634"/>
      <c r="X1" s="634"/>
      <c r="Y1" s="634"/>
      <c r="Z1" s="634"/>
      <c r="AA1" s="634"/>
      <c r="AB1" s="634"/>
      <c r="AC1" s="634"/>
      <c r="AD1" s="634"/>
      <c r="AE1" s="634"/>
      <c r="AF1" s="634"/>
      <c r="AG1" s="634"/>
      <c r="AH1" s="634"/>
      <c r="AI1" s="634"/>
      <c r="AJ1" s="634"/>
      <c r="AK1" s="634"/>
      <c r="AL1" s="635"/>
      <c r="AM1" s="633" t="s">
        <v>462</v>
      </c>
      <c r="AN1" s="634"/>
      <c r="AO1" s="634"/>
      <c r="AP1" s="634"/>
      <c r="AQ1" s="634"/>
      <c r="AR1" s="634"/>
      <c r="AS1" s="634"/>
      <c r="AT1" s="634"/>
      <c r="AU1" s="634"/>
      <c r="AV1" s="634"/>
      <c r="AW1" s="634"/>
      <c r="AX1" s="634"/>
      <c r="AY1" s="634"/>
      <c r="AZ1" s="634"/>
      <c r="BA1" s="634"/>
      <c r="BB1" s="634"/>
      <c r="BC1" s="634"/>
      <c r="BD1" s="634"/>
      <c r="BE1" s="635"/>
      <c r="BF1" s="633" t="s">
        <v>463</v>
      </c>
      <c r="BG1" s="634"/>
      <c r="BH1" s="634"/>
      <c r="BI1" s="634"/>
      <c r="BJ1" s="634"/>
      <c r="BK1" s="634"/>
      <c r="BL1" s="634"/>
      <c r="BM1" s="634"/>
      <c r="BN1" s="634"/>
      <c r="BO1" s="634"/>
      <c r="BP1" s="634"/>
      <c r="BQ1" s="634"/>
      <c r="BR1" s="634"/>
      <c r="BS1" s="634"/>
      <c r="BT1" s="634"/>
      <c r="BU1" s="634"/>
      <c r="BV1" s="634"/>
      <c r="BW1" s="634"/>
      <c r="BX1" s="635"/>
      <c r="BY1" s="633" t="s">
        <v>351</v>
      </c>
      <c r="BZ1" s="634"/>
      <c r="CA1" s="634"/>
      <c r="CB1" s="634"/>
      <c r="CC1" s="634"/>
      <c r="CD1" s="634"/>
      <c r="CE1" s="634"/>
      <c r="CF1" s="634"/>
      <c r="CG1" s="634"/>
      <c r="CH1" s="634"/>
      <c r="CI1" s="634"/>
      <c r="CJ1" s="634"/>
      <c r="CK1" s="634"/>
      <c r="CL1" s="634"/>
      <c r="CM1" s="634"/>
      <c r="CN1" s="634"/>
      <c r="CO1" s="634"/>
      <c r="CP1" s="634"/>
      <c r="CQ1" s="635"/>
    </row>
    <row r="2" spans="1:95">
      <c r="A2" s="4"/>
      <c r="S2" s="6"/>
      <c r="T2" s="4"/>
      <c r="AL2" s="6"/>
      <c r="AM2" s="4"/>
      <c r="BE2" s="6"/>
      <c r="BF2" s="4"/>
      <c r="BX2" s="6"/>
      <c r="BY2" s="4"/>
      <c r="CQ2" s="6"/>
    </row>
    <row r="3" spans="1:95">
      <c r="A3" t="s">
        <v>17</v>
      </c>
      <c r="D3" s="636" t="str">
        <f>IF('Cover Sheet'!$D$15&gt;0,'Cover Sheet'!$D$15,"")</f>
        <v/>
      </c>
      <c r="E3" s="636"/>
      <c r="F3" s="636"/>
      <c r="G3" s="636"/>
      <c r="H3" s="636"/>
      <c r="I3" s="636"/>
      <c r="J3" s="636"/>
      <c r="K3" t="s">
        <v>18</v>
      </c>
      <c r="O3" s="636" t="str">
        <f>IF('Cover Sheet'!$O$15&gt;0,'Cover Sheet'!$O$15,"")</f>
        <v/>
      </c>
      <c r="P3" s="636"/>
      <c r="Q3" s="636"/>
      <c r="R3" s="636"/>
      <c r="S3" s="636"/>
      <c r="T3" t="s">
        <v>17</v>
      </c>
      <c r="W3" s="636" t="str">
        <f>IF('Cover Sheet'!$D$15&gt;0,'Cover Sheet'!$D$15,"")</f>
        <v/>
      </c>
      <c r="X3" s="636"/>
      <c r="Y3" s="636"/>
      <c r="Z3" s="636"/>
      <c r="AA3" s="636"/>
      <c r="AB3" s="636"/>
      <c r="AC3" s="636"/>
      <c r="AD3" t="s">
        <v>18</v>
      </c>
      <c r="AH3" s="636" t="str">
        <f>IF('Cover Sheet'!$O$15&gt;0,'Cover Sheet'!$O$15,"")</f>
        <v/>
      </c>
      <c r="AI3" s="636"/>
      <c r="AJ3" s="636"/>
      <c r="AK3" s="636"/>
      <c r="AL3" s="637"/>
      <c r="AM3" t="s">
        <v>17</v>
      </c>
      <c r="AP3" s="636" t="str">
        <f>IF('Cover Sheet'!$D$15&gt;0,'Cover Sheet'!$D$15,"")</f>
        <v/>
      </c>
      <c r="AQ3" s="636"/>
      <c r="AR3" s="636"/>
      <c r="AS3" s="636"/>
      <c r="AT3" s="636"/>
      <c r="AU3" s="636"/>
      <c r="AV3" s="636"/>
      <c r="AW3" t="s">
        <v>18</v>
      </c>
      <c r="BA3" s="636" t="str">
        <f>IF('Cover Sheet'!$O$15&gt;0,'Cover Sheet'!$O$15,"")</f>
        <v/>
      </c>
      <c r="BB3" s="636"/>
      <c r="BC3" s="636"/>
      <c r="BD3" s="636"/>
      <c r="BE3" s="637"/>
      <c r="BF3" t="s">
        <v>17</v>
      </c>
      <c r="BI3" s="636" t="str">
        <f>IF('Cover Sheet'!$D$15&gt;0,'Cover Sheet'!$D$15,"")</f>
        <v/>
      </c>
      <c r="BJ3" s="636"/>
      <c r="BK3" s="636"/>
      <c r="BL3" s="636"/>
      <c r="BM3" s="636"/>
      <c r="BN3" s="636"/>
      <c r="BO3" s="636"/>
      <c r="BP3" t="s">
        <v>18</v>
      </c>
      <c r="BT3" s="636" t="str">
        <f>IF('Cover Sheet'!$O$15&gt;0,'Cover Sheet'!$O$15,"")</f>
        <v/>
      </c>
      <c r="BU3" s="636"/>
      <c r="BV3" s="636"/>
      <c r="BW3" s="636"/>
      <c r="BX3" s="637"/>
      <c r="BY3" t="s">
        <v>17</v>
      </c>
      <c r="CB3" s="636" t="str">
        <f>IF('Cover Sheet'!$D$15&gt;0,'Cover Sheet'!$D$15,"")</f>
        <v/>
      </c>
      <c r="CC3" s="636"/>
      <c r="CD3" s="636"/>
      <c r="CE3" s="636"/>
      <c r="CF3" s="636"/>
      <c r="CG3" s="636"/>
      <c r="CH3" s="636"/>
      <c r="CI3" t="s">
        <v>18</v>
      </c>
      <c r="CM3" s="636" t="str">
        <f>IF('Cover Sheet'!$O$15&gt;0,'Cover Sheet'!$O$15,"")</f>
        <v/>
      </c>
      <c r="CN3" s="636"/>
      <c r="CO3" s="636"/>
      <c r="CP3" s="636"/>
      <c r="CQ3" s="637"/>
    </row>
    <row r="4" spans="1:95">
      <c r="A4" s="4"/>
      <c r="S4" s="6"/>
      <c r="T4" s="4"/>
      <c r="AL4" s="6"/>
      <c r="AM4" s="4"/>
      <c r="BE4" s="6"/>
      <c r="BF4" s="4"/>
      <c r="BX4" s="6"/>
      <c r="BY4" s="4"/>
      <c r="CQ4" s="6"/>
    </row>
    <row r="5" spans="1:95" ht="12.75" customHeight="1">
      <c r="A5" s="600"/>
      <c r="B5" s="601"/>
      <c r="C5" s="601"/>
      <c r="D5" s="601"/>
      <c r="E5" s="601"/>
      <c r="F5" s="601"/>
      <c r="G5" s="601"/>
      <c r="H5" s="601"/>
      <c r="I5" s="601"/>
      <c r="J5" s="601"/>
      <c r="K5" s="601"/>
      <c r="L5" s="601"/>
      <c r="M5" s="601"/>
      <c r="N5" s="601"/>
      <c r="O5" s="601"/>
      <c r="P5" s="601"/>
      <c r="Q5" s="601"/>
      <c r="R5" s="601"/>
      <c r="S5" s="602"/>
      <c r="T5" s="600"/>
      <c r="U5" s="601"/>
      <c r="V5" s="601"/>
      <c r="W5" s="601"/>
      <c r="X5" s="601"/>
      <c r="Y5" s="601"/>
      <c r="Z5" s="601"/>
      <c r="AA5" s="601"/>
      <c r="AB5" s="601"/>
      <c r="AC5" s="601"/>
      <c r="AD5" s="601"/>
      <c r="AE5" s="601"/>
      <c r="AF5" s="601"/>
      <c r="AG5" s="601"/>
      <c r="AH5" s="601"/>
      <c r="AI5" s="601"/>
      <c r="AJ5" s="601"/>
      <c r="AK5" s="601"/>
      <c r="AL5" s="602"/>
      <c r="AM5" s="600"/>
      <c r="AN5" s="601"/>
      <c r="AO5" s="601"/>
      <c r="AP5" s="601"/>
      <c r="AQ5" s="601"/>
      <c r="AR5" s="601"/>
      <c r="AS5" s="601"/>
      <c r="AT5" s="601"/>
      <c r="AU5" s="601"/>
      <c r="AV5" s="601"/>
      <c r="AW5" s="601"/>
      <c r="AX5" s="601"/>
      <c r="AY5" s="601"/>
      <c r="AZ5" s="601"/>
      <c r="BA5" s="601"/>
      <c r="BB5" s="601"/>
      <c r="BC5" s="601"/>
      <c r="BD5" s="601"/>
      <c r="BE5" s="602"/>
      <c r="BF5" s="600"/>
      <c r="BG5" s="601"/>
      <c r="BH5" s="601"/>
      <c r="BI5" s="601"/>
      <c r="BJ5" s="601"/>
      <c r="BK5" s="601"/>
      <c r="BL5" s="601"/>
      <c r="BM5" s="601"/>
      <c r="BN5" s="601"/>
      <c r="BO5" s="601"/>
      <c r="BP5" s="601"/>
      <c r="BQ5" s="601"/>
      <c r="BR5" s="601"/>
      <c r="BS5" s="601"/>
      <c r="BT5" s="601"/>
      <c r="BU5" s="601"/>
      <c r="BV5" s="601"/>
      <c r="BW5" s="601"/>
      <c r="BX5" s="602"/>
      <c r="BY5" s="8"/>
      <c r="BZ5" s="9"/>
      <c r="CA5" s="9"/>
      <c r="CB5" s="9"/>
      <c r="CC5" s="9"/>
      <c r="CD5" s="9"/>
      <c r="CE5" s="9"/>
      <c r="CF5" s="9"/>
      <c r="CG5" s="9"/>
      <c r="CH5" s="9"/>
      <c r="CI5" s="9"/>
      <c r="CJ5" s="9"/>
      <c r="CK5" s="9"/>
      <c r="CL5" s="9"/>
      <c r="CM5" s="9"/>
      <c r="CN5" s="9"/>
      <c r="CO5" s="9"/>
      <c r="CP5" s="9"/>
      <c r="CQ5" s="10"/>
    </row>
    <row r="6" spans="1:95">
      <c r="A6" s="14"/>
      <c r="B6" s="14"/>
      <c r="C6" s="12"/>
      <c r="D6" s="14"/>
      <c r="E6" s="12"/>
      <c r="F6" s="12"/>
      <c r="G6" s="12"/>
      <c r="H6" s="12"/>
      <c r="I6" s="12"/>
      <c r="J6" s="12"/>
      <c r="K6" s="12"/>
      <c r="L6" s="12"/>
      <c r="M6" s="12"/>
      <c r="N6" s="12"/>
      <c r="O6" s="12"/>
      <c r="P6" s="12"/>
      <c r="Q6" s="12"/>
      <c r="R6" s="12"/>
      <c r="S6" s="13"/>
      <c r="T6" s="14"/>
      <c r="U6" s="14"/>
      <c r="V6" s="12"/>
      <c r="W6" s="14"/>
      <c r="X6" s="12"/>
      <c r="Y6" s="12"/>
      <c r="Z6" s="12"/>
      <c r="AA6" s="12"/>
      <c r="AB6" s="12"/>
      <c r="AC6" s="12"/>
      <c r="AD6" s="12"/>
      <c r="AE6" s="12"/>
      <c r="AF6" s="12"/>
      <c r="AG6" s="12"/>
      <c r="AH6" s="12"/>
      <c r="AI6" s="12"/>
      <c r="AJ6" s="12"/>
      <c r="AK6" s="12"/>
      <c r="AL6" s="13"/>
      <c r="AM6" s="14"/>
      <c r="AN6" s="14"/>
      <c r="AO6" s="12"/>
      <c r="AP6" s="14"/>
      <c r="AQ6" s="12"/>
      <c r="AR6" s="12"/>
      <c r="AS6" s="12"/>
      <c r="AT6" s="12"/>
      <c r="AU6" s="12"/>
      <c r="AV6" s="12"/>
      <c r="AW6" s="12"/>
      <c r="AX6" s="12"/>
      <c r="AY6" s="12"/>
      <c r="AZ6" s="12"/>
      <c r="BA6" s="12"/>
      <c r="BB6" s="12"/>
      <c r="BC6" s="12"/>
      <c r="BD6" s="12"/>
      <c r="BE6" s="13"/>
      <c r="BF6" s="14"/>
      <c r="BG6" s="14"/>
      <c r="BH6" s="12"/>
      <c r="BI6" s="14"/>
      <c r="BJ6" s="12"/>
      <c r="BK6" s="12"/>
      <c r="BL6" s="12"/>
      <c r="BM6" s="12"/>
      <c r="BN6" s="12"/>
      <c r="BO6" s="12"/>
      <c r="BP6" s="12"/>
      <c r="BQ6" s="12"/>
      <c r="BR6" s="12"/>
      <c r="BS6" s="12"/>
      <c r="BT6" s="12"/>
      <c r="BU6" s="12"/>
      <c r="BV6" s="12"/>
      <c r="BW6" s="12"/>
      <c r="BX6" s="13"/>
      <c r="BY6" s="11"/>
      <c r="BZ6" s="12"/>
      <c r="CA6" s="12"/>
      <c r="CB6" s="12"/>
      <c r="CC6" s="12"/>
      <c r="CD6" s="12"/>
      <c r="CE6" s="12"/>
      <c r="CF6" s="12"/>
      <c r="CG6" s="12"/>
      <c r="CH6" s="12"/>
      <c r="CI6" s="12"/>
      <c r="CJ6" s="12"/>
      <c r="CK6" s="12"/>
      <c r="CL6" s="12"/>
      <c r="CM6" s="12"/>
      <c r="CN6" s="12"/>
      <c r="CO6" s="12"/>
      <c r="CP6" s="12"/>
      <c r="CQ6" s="13"/>
    </row>
    <row r="7" spans="1:95">
      <c r="A7" s="14"/>
      <c r="B7" s="14" t="s">
        <v>152</v>
      </c>
      <c r="C7" s="12"/>
      <c r="D7" s="14"/>
      <c r="E7" s="12"/>
      <c r="F7" s="12"/>
      <c r="G7" s="12"/>
      <c r="H7" s="12"/>
      <c r="I7" s="12"/>
      <c r="J7" s="12"/>
      <c r="K7" s="12"/>
      <c r="L7" s="12"/>
      <c r="M7" s="12"/>
      <c r="N7" s="12"/>
      <c r="O7" s="12"/>
      <c r="P7" s="12"/>
      <c r="Q7" s="12"/>
      <c r="R7" s="12"/>
      <c r="S7" s="13"/>
      <c r="T7" s="14"/>
      <c r="U7" s="14" t="s">
        <v>152</v>
      </c>
      <c r="V7" s="12"/>
      <c r="W7" s="14"/>
      <c r="X7" s="12"/>
      <c r="Y7" s="12"/>
      <c r="Z7" s="12"/>
      <c r="AA7" s="12"/>
      <c r="AB7" s="12"/>
      <c r="AC7" s="12"/>
      <c r="AD7" s="12"/>
      <c r="AE7" s="12"/>
      <c r="AF7" s="12"/>
      <c r="AG7" s="12"/>
      <c r="AH7" s="12"/>
      <c r="AI7" s="12"/>
      <c r="AJ7" s="12"/>
      <c r="AK7" s="12"/>
      <c r="AL7" s="13"/>
      <c r="AM7" s="14"/>
      <c r="AN7" s="14" t="s">
        <v>152</v>
      </c>
      <c r="AO7" s="12"/>
      <c r="AP7" s="14"/>
      <c r="AQ7" s="12"/>
      <c r="AR7" s="12"/>
      <c r="AS7" s="12"/>
      <c r="AT7" s="12"/>
      <c r="AU7" s="12"/>
      <c r="AV7" s="12"/>
      <c r="AW7" s="12"/>
      <c r="AX7" s="12"/>
      <c r="AY7" s="12"/>
      <c r="AZ7" s="12"/>
      <c r="BA7" s="12"/>
      <c r="BB7" s="12"/>
      <c r="BC7" s="12"/>
      <c r="BD7" s="12"/>
      <c r="BE7" s="13"/>
      <c r="BF7" s="14"/>
      <c r="BG7" s="14" t="s">
        <v>152</v>
      </c>
      <c r="BH7" s="12"/>
      <c r="BI7" s="14"/>
      <c r="BJ7" s="12"/>
      <c r="BK7" s="12"/>
      <c r="BL7" s="12"/>
      <c r="BM7" s="12"/>
      <c r="BN7" s="12"/>
      <c r="BO7" s="12"/>
      <c r="BP7" s="12"/>
      <c r="BQ7" s="12"/>
      <c r="BR7" s="12"/>
      <c r="BS7" s="12"/>
      <c r="BT7" s="12"/>
      <c r="BU7" s="12"/>
      <c r="BV7" s="12"/>
      <c r="BW7" s="12"/>
      <c r="BX7" s="13"/>
      <c r="BY7" s="11"/>
      <c r="BZ7" s="14" t="s">
        <v>152</v>
      </c>
      <c r="CA7" s="12"/>
      <c r="CB7" s="12"/>
      <c r="CC7" s="12"/>
      <c r="CD7" s="12"/>
      <c r="CE7" s="12"/>
      <c r="CF7" s="12"/>
      <c r="CG7" s="12"/>
      <c r="CH7" s="12"/>
      <c r="CI7" s="12"/>
      <c r="CJ7" s="12"/>
      <c r="CK7" s="12"/>
      <c r="CL7" s="12"/>
      <c r="CM7" s="12"/>
      <c r="CN7" s="12"/>
      <c r="CO7" s="12"/>
      <c r="CP7" s="12"/>
      <c r="CQ7" s="13"/>
    </row>
    <row r="8" spans="1:95">
      <c r="A8" s="14"/>
      <c r="B8" s="143"/>
      <c r="C8" s="12"/>
      <c r="D8" s="14"/>
      <c r="E8" s="12"/>
      <c r="F8" s="12"/>
      <c r="G8" s="12"/>
      <c r="H8" s="12"/>
      <c r="I8" s="12"/>
      <c r="J8" s="12"/>
      <c r="K8" s="12"/>
      <c r="L8" s="12"/>
      <c r="M8" s="12"/>
      <c r="N8" s="12"/>
      <c r="O8" s="12"/>
      <c r="P8" s="12"/>
      <c r="Q8" s="12"/>
      <c r="R8" s="12"/>
      <c r="S8" s="13"/>
      <c r="T8" s="14"/>
      <c r="U8" s="143"/>
      <c r="V8" s="12"/>
      <c r="W8" s="14"/>
      <c r="X8" s="12"/>
      <c r="Y8" s="12"/>
      <c r="Z8" s="12"/>
      <c r="AA8" s="12"/>
      <c r="AB8" s="12"/>
      <c r="AC8" s="12"/>
      <c r="AD8" s="12"/>
      <c r="AE8" s="12"/>
      <c r="AF8" s="12"/>
      <c r="AG8" s="12"/>
      <c r="AH8" s="12"/>
      <c r="AI8" s="12"/>
      <c r="AJ8" s="12"/>
      <c r="AK8" s="12"/>
      <c r="AL8" s="13"/>
      <c r="AM8" s="14"/>
      <c r="AN8" s="143"/>
      <c r="AO8" s="12"/>
      <c r="AP8" s="14"/>
      <c r="AQ8" s="12"/>
      <c r="AR8" s="12"/>
      <c r="AS8" s="12"/>
      <c r="AT8" s="12"/>
      <c r="AU8" s="12"/>
      <c r="AV8" s="12"/>
      <c r="AW8" s="12"/>
      <c r="AX8" s="12"/>
      <c r="AY8" s="12"/>
      <c r="AZ8" s="12"/>
      <c r="BA8" s="12"/>
      <c r="BB8" s="12"/>
      <c r="BC8" s="12"/>
      <c r="BD8" s="12"/>
      <c r="BE8" s="13"/>
      <c r="BF8" s="14"/>
      <c r="BG8" s="143"/>
      <c r="BH8" s="12"/>
      <c r="BI8" s="14"/>
      <c r="BJ8" s="12"/>
      <c r="BK8" s="12"/>
      <c r="BL8" s="12"/>
      <c r="BM8" s="12"/>
      <c r="BN8" s="12"/>
      <c r="BO8" s="12"/>
      <c r="BP8" s="12"/>
      <c r="BQ8" s="12"/>
      <c r="BR8" s="12"/>
      <c r="BS8" s="12"/>
      <c r="BT8" s="12"/>
      <c r="BU8" s="12"/>
      <c r="BV8" s="12"/>
      <c r="BW8" s="12"/>
      <c r="BX8" s="13"/>
      <c r="BY8" s="11"/>
      <c r="BZ8" s="143"/>
      <c r="CA8" s="12"/>
      <c r="CB8" s="12"/>
      <c r="CC8" s="12"/>
      <c r="CD8" s="12"/>
      <c r="CE8" s="12"/>
      <c r="CF8" s="12"/>
      <c r="CG8" s="12"/>
      <c r="CH8" s="12"/>
      <c r="CI8" s="12"/>
      <c r="CJ8" s="12"/>
      <c r="CK8" s="12"/>
      <c r="CL8" s="12"/>
      <c r="CM8" s="12"/>
      <c r="CN8" s="12"/>
      <c r="CO8" s="12"/>
      <c r="CP8" s="12"/>
      <c r="CQ8" s="13"/>
    </row>
    <row r="9" spans="1:95">
      <c r="A9" s="14"/>
      <c r="B9" s="14" t="s">
        <v>153</v>
      </c>
      <c r="C9" s="12"/>
      <c r="D9" s="14"/>
      <c r="E9" s="12"/>
      <c r="F9" s="12"/>
      <c r="G9" s="12"/>
      <c r="H9" s="12"/>
      <c r="I9" s="12"/>
      <c r="J9" s="12"/>
      <c r="K9" s="12"/>
      <c r="L9" s="12"/>
      <c r="M9" s="12"/>
      <c r="N9" s="12"/>
      <c r="O9" s="12"/>
      <c r="P9" s="12"/>
      <c r="Q9" s="12"/>
      <c r="R9" s="12"/>
      <c r="S9" s="13"/>
      <c r="T9" s="14"/>
      <c r="U9" s="14" t="s">
        <v>153</v>
      </c>
      <c r="V9" s="12"/>
      <c r="W9" s="14"/>
      <c r="X9" s="12"/>
      <c r="Y9" s="12"/>
      <c r="Z9" s="12"/>
      <c r="AA9" s="12"/>
      <c r="AB9" s="12"/>
      <c r="AC9" s="12"/>
      <c r="AD9" s="12"/>
      <c r="AE9" s="12"/>
      <c r="AF9" s="12"/>
      <c r="AG9" s="12"/>
      <c r="AH9" s="12"/>
      <c r="AI9" s="12"/>
      <c r="AJ9" s="12"/>
      <c r="AK9" s="12"/>
      <c r="AL9" s="13"/>
      <c r="AM9" s="14"/>
      <c r="AN9" s="14" t="s">
        <v>153</v>
      </c>
      <c r="AO9" s="12"/>
      <c r="AP9" s="14"/>
      <c r="AQ9" s="12"/>
      <c r="AR9" s="12"/>
      <c r="AS9" s="12"/>
      <c r="AT9" s="12"/>
      <c r="AU9" s="12"/>
      <c r="AV9" s="12"/>
      <c r="AW9" s="12"/>
      <c r="AX9" s="12"/>
      <c r="AY9" s="12"/>
      <c r="AZ9" s="12"/>
      <c r="BA9" s="12"/>
      <c r="BB9" s="12"/>
      <c r="BC9" s="12"/>
      <c r="BD9" s="12"/>
      <c r="BE9" s="13"/>
      <c r="BF9" s="14"/>
      <c r="BG9" s="14" t="s">
        <v>153</v>
      </c>
      <c r="BH9" s="12"/>
      <c r="BI9" s="14"/>
      <c r="BJ9" s="12"/>
      <c r="BK9" s="12"/>
      <c r="BL9" s="12"/>
      <c r="BM9" s="12"/>
      <c r="BN9" s="12"/>
      <c r="BO9" s="12"/>
      <c r="BP9" s="12"/>
      <c r="BQ9" s="12"/>
      <c r="BR9" s="12"/>
      <c r="BS9" s="12"/>
      <c r="BT9" s="12"/>
      <c r="BU9" s="12"/>
      <c r="BV9" s="12"/>
      <c r="BW9" s="12"/>
      <c r="BX9" s="13"/>
      <c r="BY9" s="11"/>
      <c r="BZ9" s="14" t="s">
        <v>153</v>
      </c>
      <c r="CA9" s="12"/>
      <c r="CB9" s="12"/>
      <c r="CC9" s="12"/>
      <c r="CD9" s="12"/>
      <c r="CE9" s="12"/>
      <c r="CF9" s="12"/>
      <c r="CG9" s="12"/>
      <c r="CH9" s="12"/>
      <c r="CI9" s="12"/>
      <c r="CJ9" s="12"/>
      <c r="CK9" s="12"/>
      <c r="CL9" s="12"/>
      <c r="CM9" s="12"/>
      <c r="CN9" s="12"/>
      <c r="CO9" s="12"/>
      <c r="CP9" s="12"/>
      <c r="CQ9" s="13"/>
    </row>
    <row r="10" spans="1:95">
      <c r="A10" s="14"/>
      <c r="B10" s="143"/>
      <c r="C10" s="12"/>
      <c r="D10" s="12"/>
      <c r="E10" s="12"/>
      <c r="F10" s="12"/>
      <c r="G10" s="12"/>
      <c r="H10" s="12"/>
      <c r="I10" s="12"/>
      <c r="J10" s="12"/>
      <c r="K10" s="12"/>
      <c r="L10" s="12"/>
      <c r="M10" s="12"/>
      <c r="N10" s="12"/>
      <c r="O10" s="12"/>
      <c r="P10" s="12"/>
      <c r="Q10" s="12"/>
      <c r="R10" s="12"/>
      <c r="S10" s="13"/>
      <c r="T10" s="14"/>
      <c r="U10" s="143"/>
      <c r="V10" s="12"/>
      <c r="W10" s="12"/>
      <c r="X10" s="12"/>
      <c r="Y10" s="12"/>
      <c r="Z10" s="12"/>
      <c r="AA10" s="12"/>
      <c r="AB10" s="12"/>
      <c r="AC10" s="12"/>
      <c r="AD10" s="12"/>
      <c r="AE10" s="12"/>
      <c r="AF10" s="12"/>
      <c r="AG10" s="12"/>
      <c r="AH10" s="12"/>
      <c r="AI10" s="12"/>
      <c r="AJ10" s="12"/>
      <c r="AK10" s="12"/>
      <c r="AL10" s="13"/>
      <c r="AM10" s="14"/>
      <c r="AN10" s="143"/>
      <c r="AO10" s="12"/>
      <c r="AP10" s="12"/>
      <c r="AQ10" s="12"/>
      <c r="AR10" s="12"/>
      <c r="AS10" s="12"/>
      <c r="AT10" s="12"/>
      <c r="AU10" s="12"/>
      <c r="AV10" s="12"/>
      <c r="AW10" s="12"/>
      <c r="AX10" s="12"/>
      <c r="AY10" s="12"/>
      <c r="AZ10" s="12"/>
      <c r="BA10" s="12"/>
      <c r="BB10" s="12"/>
      <c r="BC10" s="12"/>
      <c r="BD10" s="12"/>
      <c r="BE10" s="13"/>
      <c r="BF10" s="14"/>
      <c r="BG10" s="143"/>
      <c r="BH10" s="12"/>
      <c r="BI10" s="12"/>
      <c r="BJ10" s="12"/>
      <c r="BK10" s="12"/>
      <c r="BL10" s="12"/>
      <c r="BM10" s="12"/>
      <c r="BN10" s="12"/>
      <c r="BO10" s="12"/>
      <c r="BP10" s="12"/>
      <c r="BQ10" s="12"/>
      <c r="BR10" s="12"/>
      <c r="BS10" s="12"/>
      <c r="BT10" s="12"/>
      <c r="BU10" s="12"/>
      <c r="BV10" s="12"/>
      <c r="BW10" s="12"/>
      <c r="BX10" s="13"/>
      <c r="BY10" s="11"/>
      <c r="BZ10" s="143"/>
      <c r="CA10" s="12"/>
      <c r="CB10" s="12"/>
      <c r="CC10" s="12"/>
      <c r="CD10" s="12"/>
      <c r="CE10" s="12"/>
      <c r="CF10" s="12"/>
      <c r="CG10" s="12"/>
      <c r="CH10" s="12"/>
      <c r="CI10" s="12"/>
      <c r="CJ10" s="12"/>
      <c r="CK10" s="12"/>
      <c r="CL10" s="12"/>
      <c r="CM10" s="12"/>
      <c r="CN10" s="12"/>
      <c r="CO10" s="12"/>
      <c r="CP10" s="12"/>
      <c r="CQ10" s="13"/>
    </row>
    <row r="11" spans="1:95">
      <c r="A11" s="11"/>
      <c r="B11" s="14" t="s">
        <v>154</v>
      </c>
      <c r="C11" s="12"/>
      <c r="D11" s="12"/>
      <c r="E11" s="12"/>
      <c r="F11" s="12"/>
      <c r="G11" s="12"/>
      <c r="H11" s="12"/>
      <c r="I11" s="12"/>
      <c r="J11" s="12"/>
      <c r="K11" s="12"/>
      <c r="L11" s="12"/>
      <c r="M11" s="12"/>
      <c r="N11" s="12"/>
      <c r="O11" s="12"/>
      <c r="P11" s="12"/>
      <c r="Q11" s="12"/>
      <c r="R11" s="12"/>
      <c r="S11" s="13"/>
      <c r="T11" s="11"/>
      <c r="U11" s="14" t="s">
        <v>154</v>
      </c>
      <c r="V11" s="12"/>
      <c r="W11" s="12"/>
      <c r="X11" s="12"/>
      <c r="Y11" s="12"/>
      <c r="Z11" s="12"/>
      <c r="AA11" s="12"/>
      <c r="AB11" s="12"/>
      <c r="AC11" s="12"/>
      <c r="AD11" s="12"/>
      <c r="AE11" s="12"/>
      <c r="AF11" s="12"/>
      <c r="AG11" s="12"/>
      <c r="AH11" s="12"/>
      <c r="AI11" s="12"/>
      <c r="AJ11" s="12"/>
      <c r="AK11" s="12"/>
      <c r="AL11" s="13"/>
      <c r="AM11" s="11"/>
      <c r="AN11" s="14" t="s">
        <v>154</v>
      </c>
      <c r="AO11" s="12"/>
      <c r="AP11" s="12"/>
      <c r="AQ11" s="12"/>
      <c r="AR11" s="12"/>
      <c r="AS11" s="12"/>
      <c r="AT11" s="12"/>
      <c r="AU11" s="12"/>
      <c r="AV11" s="12"/>
      <c r="AW11" s="12"/>
      <c r="AX11" s="12"/>
      <c r="AY11" s="12"/>
      <c r="AZ11" s="12"/>
      <c r="BA11" s="12"/>
      <c r="BB11" s="12"/>
      <c r="BC11" s="12"/>
      <c r="BD11" s="12"/>
      <c r="BE11" s="13"/>
      <c r="BF11" s="11"/>
      <c r="BG11" s="14" t="s">
        <v>154</v>
      </c>
      <c r="BH11" s="12"/>
      <c r="BI11" s="12"/>
      <c r="BJ11" s="12"/>
      <c r="BK11" s="12"/>
      <c r="BL11" s="12"/>
      <c r="BM11" s="12"/>
      <c r="BN11" s="12"/>
      <c r="BO11" s="12"/>
      <c r="BP11" s="12"/>
      <c r="BQ11" s="12"/>
      <c r="BR11" s="12"/>
      <c r="BS11" s="12"/>
      <c r="BT11" s="12"/>
      <c r="BU11" s="12"/>
      <c r="BV11" s="12"/>
      <c r="BW11" s="12"/>
      <c r="BX11" s="13"/>
      <c r="BY11" s="11"/>
      <c r="BZ11" s="14" t="s">
        <v>154</v>
      </c>
      <c r="CA11" s="12"/>
      <c r="CB11" s="12"/>
      <c r="CC11" s="14"/>
      <c r="CD11" s="12"/>
      <c r="CE11" s="14"/>
      <c r="CF11" s="12"/>
      <c r="CG11" s="12"/>
      <c r="CH11" s="12"/>
      <c r="CI11" s="12"/>
      <c r="CJ11" s="12"/>
      <c r="CK11" s="12"/>
      <c r="CL11" s="12"/>
      <c r="CM11" s="12"/>
      <c r="CN11" s="12"/>
      <c r="CO11" s="12"/>
      <c r="CP11" s="12"/>
      <c r="CQ11" s="13"/>
    </row>
    <row r="12" spans="1:95">
      <c r="A12" s="11"/>
      <c r="B12" s="12"/>
      <c r="C12" s="12"/>
      <c r="D12" s="12"/>
      <c r="E12" s="12"/>
      <c r="F12" s="12"/>
      <c r="G12" s="14"/>
      <c r="H12" s="12"/>
      <c r="I12" s="12"/>
      <c r="J12" s="12"/>
      <c r="K12" s="12"/>
      <c r="L12" s="12"/>
      <c r="M12" s="12"/>
      <c r="N12" s="12"/>
      <c r="O12" s="12"/>
      <c r="P12" s="12"/>
      <c r="Q12" s="12"/>
      <c r="R12" s="12"/>
      <c r="S12" s="13"/>
      <c r="T12" s="11"/>
      <c r="U12" s="12"/>
      <c r="V12" s="12"/>
      <c r="W12" s="12"/>
      <c r="X12" s="12"/>
      <c r="Y12" s="12"/>
      <c r="Z12" s="14"/>
      <c r="AA12" s="12"/>
      <c r="AB12" s="12"/>
      <c r="AC12" s="12"/>
      <c r="AD12" s="12"/>
      <c r="AE12" s="12"/>
      <c r="AF12" s="12"/>
      <c r="AG12" s="12"/>
      <c r="AH12" s="12"/>
      <c r="AI12" s="12"/>
      <c r="AJ12" s="12"/>
      <c r="AK12" s="12"/>
      <c r="AL12" s="13"/>
      <c r="AM12" s="11"/>
      <c r="AN12" s="12"/>
      <c r="AO12" s="12"/>
      <c r="AP12" s="12"/>
      <c r="AQ12" s="12"/>
      <c r="AR12" s="12"/>
      <c r="AS12" s="14"/>
      <c r="AT12" s="12"/>
      <c r="AU12" s="12"/>
      <c r="AV12" s="12"/>
      <c r="AW12" s="12"/>
      <c r="AX12" s="12"/>
      <c r="AY12" s="12"/>
      <c r="AZ12" s="12"/>
      <c r="BA12" s="12"/>
      <c r="BB12" s="12"/>
      <c r="BC12" s="12"/>
      <c r="BD12" s="12"/>
      <c r="BE12" s="13"/>
      <c r="BF12" s="11"/>
      <c r="BG12" s="12"/>
      <c r="BH12" s="12"/>
      <c r="BI12" s="12"/>
      <c r="BJ12" s="12"/>
      <c r="BK12" s="12"/>
      <c r="BL12" s="12"/>
      <c r="BM12" s="12"/>
      <c r="BN12" s="12"/>
      <c r="BO12" s="12"/>
      <c r="BP12" s="12"/>
      <c r="BQ12" s="12"/>
      <c r="BR12" s="12"/>
      <c r="BS12" s="12"/>
      <c r="BT12" s="12"/>
      <c r="BU12" s="12"/>
      <c r="BV12" s="12"/>
      <c r="BW12" s="12"/>
      <c r="BX12" s="13"/>
      <c r="BY12" s="11"/>
      <c r="BZ12" s="12"/>
      <c r="CA12" s="12"/>
      <c r="CB12" s="12"/>
      <c r="CC12" s="12"/>
      <c r="CD12" s="12"/>
      <c r="CE12" s="12"/>
      <c r="CF12" s="12"/>
      <c r="CG12" s="12"/>
      <c r="CH12" s="12"/>
      <c r="CI12" s="12"/>
      <c r="CJ12" s="12"/>
      <c r="CK12" s="12"/>
      <c r="CL12" s="12"/>
      <c r="CM12" s="12"/>
      <c r="CN12" s="12"/>
      <c r="CO12" s="12"/>
      <c r="CP12" s="12"/>
      <c r="CQ12" s="13"/>
    </row>
    <row r="13" spans="1:95">
      <c r="A13" s="11"/>
      <c r="B13" s="12"/>
      <c r="C13" s="12"/>
      <c r="D13" s="12"/>
      <c r="E13" s="12"/>
      <c r="F13" s="12"/>
      <c r="G13" s="14"/>
      <c r="H13" s="12"/>
      <c r="I13" s="12"/>
      <c r="J13" s="12"/>
      <c r="K13" s="12"/>
      <c r="L13" s="12"/>
      <c r="M13" s="12"/>
      <c r="N13" s="12"/>
      <c r="O13" s="12"/>
      <c r="P13" s="12"/>
      <c r="Q13" s="12"/>
      <c r="R13" s="12"/>
      <c r="S13" s="13"/>
      <c r="T13" s="11"/>
      <c r="U13" s="12"/>
      <c r="V13" s="12"/>
      <c r="W13" s="12"/>
      <c r="X13" s="12"/>
      <c r="Y13" s="12"/>
      <c r="Z13" s="14"/>
      <c r="AA13" s="12"/>
      <c r="AB13" s="12"/>
      <c r="AC13" s="12"/>
      <c r="AD13" s="12"/>
      <c r="AE13" s="12"/>
      <c r="AF13" s="12"/>
      <c r="AG13" s="12"/>
      <c r="AH13" s="12"/>
      <c r="AI13" s="12"/>
      <c r="AJ13" s="12"/>
      <c r="AK13" s="12"/>
      <c r="AL13" s="13"/>
      <c r="AM13" s="11"/>
      <c r="AN13" s="12"/>
      <c r="AO13" s="12"/>
      <c r="AP13" s="12"/>
      <c r="AQ13" s="12"/>
      <c r="AR13" s="12"/>
      <c r="AS13" s="14"/>
      <c r="AT13" s="12"/>
      <c r="AU13" s="12"/>
      <c r="AV13" s="12"/>
      <c r="AW13" s="12"/>
      <c r="AX13" s="12"/>
      <c r="AY13" s="12"/>
      <c r="AZ13" s="12"/>
      <c r="BA13" s="12"/>
      <c r="BB13" s="12"/>
      <c r="BC13" s="12"/>
      <c r="BD13" s="12"/>
      <c r="BE13" s="13"/>
      <c r="BF13" s="11"/>
      <c r="BG13" s="12"/>
      <c r="BH13" s="12"/>
      <c r="BI13" s="12"/>
      <c r="BJ13" s="12"/>
      <c r="BK13" s="12"/>
      <c r="BL13" s="14"/>
      <c r="BM13" s="12"/>
      <c r="BN13" s="12"/>
      <c r="BO13" s="12"/>
      <c r="BP13" s="12"/>
      <c r="BQ13" s="12"/>
      <c r="BR13" s="12"/>
      <c r="BS13" s="12"/>
      <c r="BT13" s="12"/>
      <c r="BU13" s="12"/>
      <c r="BV13" s="12"/>
      <c r="BW13" s="12"/>
      <c r="BX13" s="13"/>
      <c r="BY13" s="11"/>
      <c r="BZ13" s="12"/>
      <c r="CA13" s="12"/>
      <c r="CB13" s="12"/>
      <c r="CC13" s="12"/>
      <c r="CD13" s="12"/>
      <c r="CE13" s="14"/>
      <c r="CF13" s="12"/>
      <c r="CG13" s="12"/>
      <c r="CH13" s="12"/>
      <c r="CI13" s="12"/>
      <c r="CJ13" s="12"/>
      <c r="CK13" s="12"/>
      <c r="CL13" s="12"/>
      <c r="CM13" s="12"/>
      <c r="CN13" s="12"/>
      <c r="CO13" s="12"/>
      <c r="CP13" s="12"/>
      <c r="CQ13" s="13"/>
    </row>
    <row r="14" spans="1:95">
      <c r="A14" s="11"/>
      <c r="B14" s="12"/>
      <c r="C14" s="12"/>
      <c r="D14" s="12"/>
      <c r="E14" s="12"/>
      <c r="F14" s="12"/>
      <c r="G14" s="14"/>
      <c r="H14" s="12"/>
      <c r="I14" s="12"/>
      <c r="J14" s="12"/>
      <c r="K14" s="12"/>
      <c r="L14" s="12"/>
      <c r="M14" s="12"/>
      <c r="N14" s="12"/>
      <c r="O14" s="12"/>
      <c r="P14" s="12"/>
      <c r="Q14" s="12"/>
      <c r="R14" s="12"/>
      <c r="S14" s="13"/>
      <c r="T14" s="11"/>
      <c r="U14" s="12"/>
      <c r="V14" s="12"/>
      <c r="W14" s="12"/>
      <c r="X14" s="12"/>
      <c r="Y14" s="12"/>
      <c r="Z14" s="14"/>
      <c r="AA14" s="12"/>
      <c r="AB14" s="12"/>
      <c r="AC14" s="12"/>
      <c r="AD14" s="12"/>
      <c r="AE14" s="12"/>
      <c r="AF14" s="12"/>
      <c r="AG14" s="12"/>
      <c r="AH14" s="12"/>
      <c r="AI14" s="12"/>
      <c r="AJ14" s="12"/>
      <c r="AK14" s="12"/>
      <c r="AL14" s="13"/>
      <c r="AM14" s="11"/>
      <c r="AN14" s="12"/>
      <c r="AO14" s="12"/>
      <c r="AP14" s="12"/>
      <c r="AQ14" s="12"/>
      <c r="AR14" s="12"/>
      <c r="AS14" s="14"/>
      <c r="AT14" s="12"/>
      <c r="AU14" s="12"/>
      <c r="AV14" s="12"/>
      <c r="AW14" s="12"/>
      <c r="AX14" s="12"/>
      <c r="AY14" s="12"/>
      <c r="AZ14" s="12"/>
      <c r="BA14" s="12"/>
      <c r="BB14" s="12"/>
      <c r="BC14" s="12"/>
      <c r="BD14" s="12"/>
      <c r="BE14" s="13"/>
      <c r="BF14" s="11"/>
      <c r="BG14" s="12"/>
      <c r="BH14" s="12"/>
      <c r="BI14" s="12"/>
      <c r="BJ14" s="12"/>
      <c r="BK14" s="12"/>
      <c r="BL14" s="14"/>
      <c r="BM14" s="12"/>
      <c r="BN14" s="12"/>
      <c r="BO14" s="12"/>
      <c r="BP14" s="12"/>
      <c r="BQ14" s="12"/>
      <c r="BR14" s="12"/>
      <c r="BS14" s="12"/>
      <c r="BT14" s="12"/>
      <c r="BU14" s="12"/>
      <c r="BV14" s="12"/>
      <c r="BW14" s="12"/>
      <c r="BX14" s="13"/>
      <c r="BY14" s="11"/>
      <c r="BZ14" s="12"/>
      <c r="CA14" s="12"/>
      <c r="CB14" s="12"/>
      <c r="CC14" s="12"/>
      <c r="CD14" s="12"/>
      <c r="CE14" s="12"/>
      <c r="CF14" s="12"/>
      <c r="CG14" s="12"/>
      <c r="CH14" s="12"/>
      <c r="CI14" s="12"/>
      <c r="CJ14" s="12"/>
      <c r="CK14" s="12"/>
      <c r="CL14" s="12"/>
      <c r="CM14" s="12"/>
      <c r="CN14" s="12"/>
      <c r="CO14" s="12"/>
      <c r="CP14" s="12"/>
      <c r="CQ14" s="13"/>
    </row>
    <row r="15" spans="1:95">
      <c r="A15" s="11"/>
      <c r="B15" s="12"/>
      <c r="C15" s="12"/>
      <c r="D15" s="12"/>
      <c r="E15" s="12"/>
      <c r="F15" s="12"/>
      <c r="G15" s="12"/>
      <c r="H15" s="12"/>
      <c r="I15" s="12"/>
      <c r="J15" s="12"/>
      <c r="K15" s="12"/>
      <c r="L15" s="12"/>
      <c r="M15" s="12"/>
      <c r="N15" s="12"/>
      <c r="O15" s="12"/>
      <c r="P15" s="12"/>
      <c r="Q15" s="12"/>
      <c r="R15" s="12"/>
      <c r="S15" s="13"/>
      <c r="T15" s="11"/>
      <c r="U15" s="12"/>
      <c r="V15" s="12"/>
      <c r="W15" s="12"/>
      <c r="X15" s="12"/>
      <c r="Y15" s="12"/>
      <c r="Z15" s="12"/>
      <c r="AA15" s="12"/>
      <c r="AB15" s="12"/>
      <c r="AC15" s="12"/>
      <c r="AD15" s="12"/>
      <c r="AE15" s="12"/>
      <c r="AF15" s="12"/>
      <c r="AG15" s="12"/>
      <c r="AH15" s="12"/>
      <c r="AI15" s="12"/>
      <c r="AJ15" s="12"/>
      <c r="AK15" s="12"/>
      <c r="AL15" s="13"/>
      <c r="AM15" s="11"/>
      <c r="AN15" s="12"/>
      <c r="AO15" s="12"/>
      <c r="AP15" s="12"/>
      <c r="AQ15" s="12"/>
      <c r="AR15" s="12"/>
      <c r="AS15" s="12"/>
      <c r="AT15" s="12"/>
      <c r="AU15" s="12"/>
      <c r="AV15" s="12"/>
      <c r="AW15" s="12"/>
      <c r="AX15" s="12"/>
      <c r="AY15" s="12"/>
      <c r="AZ15" s="12"/>
      <c r="BA15" s="12"/>
      <c r="BB15" s="12"/>
      <c r="BC15" s="12"/>
      <c r="BD15" s="12"/>
      <c r="BE15" s="13"/>
      <c r="BF15" s="11"/>
      <c r="BG15" s="12"/>
      <c r="BH15" s="12"/>
      <c r="BI15" s="12"/>
      <c r="BJ15" s="12"/>
      <c r="BK15" s="12"/>
      <c r="BL15" s="12"/>
      <c r="BM15" s="12"/>
      <c r="BN15" s="12"/>
      <c r="BO15" s="12"/>
      <c r="BP15" s="12"/>
      <c r="BQ15" s="12"/>
      <c r="BR15" s="12"/>
      <c r="BS15" s="12"/>
      <c r="BT15" s="12"/>
      <c r="BU15" s="12"/>
      <c r="BV15" s="12"/>
      <c r="BW15" s="12"/>
      <c r="BX15" s="13"/>
      <c r="BY15" s="11"/>
      <c r="BZ15" s="12"/>
      <c r="CA15" s="12"/>
      <c r="CB15" s="12"/>
      <c r="CC15" s="12"/>
      <c r="CD15" s="12"/>
      <c r="CE15" s="12"/>
      <c r="CF15" s="12"/>
      <c r="CG15" s="12"/>
      <c r="CH15" s="12"/>
      <c r="CI15" s="12"/>
      <c r="CJ15" s="12"/>
      <c r="CK15" s="12"/>
      <c r="CL15" s="12"/>
      <c r="CM15" s="12"/>
      <c r="CN15" s="12"/>
      <c r="CO15" s="12"/>
      <c r="CP15" s="12"/>
      <c r="CQ15" s="13"/>
    </row>
    <row r="16" spans="1:95">
      <c r="A16" s="11"/>
      <c r="B16" s="12"/>
      <c r="C16" s="12"/>
      <c r="D16" s="12"/>
      <c r="E16" s="12"/>
      <c r="F16" s="12"/>
      <c r="G16" s="12"/>
      <c r="H16" s="12"/>
      <c r="I16" s="12"/>
      <c r="J16" s="12"/>
      <c r="K16" s="12"/>
      <c r="L16" s="12"/>
      <c r="M16" s="12"/>
      <c r="N16" s="12"/>
      <c r="O16" s="12"/>
      <c r="P16" s="12"/>
      <c r="Q16" s="12"/>
      <c r="R16" s="12"/>
      <c r="S16" s="13"/>
      <c r="T16" s="11"/>
      <c r="U16" s="12"/>
      <c r="V16" s="12"/>
      <c r="W16" s="12"/>
      <c r="X16" s="12"/>
      <c r="Y16" s="12"/>
      <c r="Z16" s="12"/>
      <c r="AA16" s="12"/>
      <c r="AB16" s="12"/>
      <c r="AC16" s="12"/>
      <c r="AD16" s="12"/>
      <c r="AE16" s="12"/>
      <c r="AF16" s="12"/>
      <c r="AG16" s="12"/>
      <c r="AH16" s="12"/>
      <c r="AI16" s="12"/>
      <c r="AJ16" s="12"/>
      <c r="AK16" s="12"/>
      <c r="AL16" s="13"/>
      <c r="AM16" s="11"/>
      <c r="AN16" s="12"/>
      <c r="AO16" s="12"/>
      <c r="AP16" s="12"/>
      <c r="AQ16" s="12"/>
      <c r="AR16" s="12"/>
      <c r="AS16" s="12"/>
      <c r="AT16" s="12"/>
      <c r="AU16" s="12"/>
      <c r="AV16" s="12"/>
      <c r="AW16" s="12"/>
      <c r="AX16" s="12"/>
      <c r="AY16" s="12"/>
      <c r="AZ16" s="12"/>
      <c r="BA16" s="12"/>
      <c r="BB16" s="12"/>
      <c r="BC16" s="12"/>
      <c r="BD16" s="12"/>
      <c r="BE16" s="13"/>
      <c r="BF16" s="11"/>
      <c r="BG16" s="12"/>
      <c r="BH16" s="12"/>
      <c r="BI16" s="12"/>
      <c r="BJ16" s="12"/>
      <c r="BK16" s="12"/>
      <c r="BL16" s="12"/>
      <c r="BM16" s="12"/>
      <c r="BN16" s="12"/>
      <c r="BO16" s="12"/>
      <c r="BP16" s="12"/>
      <c r="BQ16" s="12"/>
      <c r="BR16" s="12"/>
      <c r="BS16" s="12"/>
      <c r="BT16" s="12"/>
      <c r="BU16" s="12"/>
      <c r="BV16" s="12"/>
      <c r="BW16" s="12"/>
      <c r="BX16" s="13"/>
      <c r="BY16" s="11"/>
      <c r="BZ16" s="12"/>
      <c r="CA16" s="12"/>
      <c r="CB16" s="12"/>
      <c r="CC16" s="12"/>
      <c r="CD16" s="12"/>
      <c r="CE16" s="12"/>
      <c r="CF16" s="12"/>
      <c r="CG16" s="12"/>
      <c r="CH16" s="12"/>
      <c r="CI16" s="12"/>
      <c r="CJ16" s="12"/>
      <c r="CK16" s="12"/>
      <c r="CL16" s="12"/>
      <c r="CM16" s="12"/>
      <c r="CN16" s="12"/>
      <c r="CO16" s="12"/>
      <c r="CP16" s="12"/>
      <c r="CQ16" s="13"/>
    </row>
    <row r="17" spans="1:95">
      <c r="A17" s="11"/>
      <c r="B17" s="12"/>
      <c r="C17" s="12"/>
      <c r="D17" s="12"/>
      <c r="E17" s="12"/>
      <c r="F17" s="12"/>
      <c r="G17" s="12"/>
      <c r="H17" s="12"/>
      <c r="I17" s="12"/>
      <c r="J17" s="12"/>
      <c r="K17" s="12"/>
      <c r="L17" s="12"/>
      <c r="M17" s="12"/>
      <c r="N17" s="12"/>
      <c r="O17" s="12"/>
      <c r="P17" s="12"/>
      <c r="Q17" s="12"/>
      <c r="R17" s="12"/>
      <c r="S17" s="13"/>
      <c r="T17" s="11"/>
      <c r="U17" s="12"/>
      <c r="V17" s="12"/>
      <c r="W17" s="12"/>
      <c r="X17" s="12"/>
      <c r="Y17" s="12"/>
      <c r="Z17" s="12"/>
      <c r="AA17" s="12"/>
      <c r="AB17" s="12"/>
      <c r="AC17" s="12"/>
      <c r="AD17" s="12"/>
      <c r="AE17" s="12"/>
      <c r="AF17" s="12"/>
      <c r="AG17" s="12"/>
      <c r="AH17" s="12"/>
      <c r="AI17" s="12"/>
      <c r="AJ17" s="12"/>
      <c r="AK17" s="12"/>
      <c r="AL17" s="13"/>
      <c r="AM17" s="11"/>
      <c r="AN17" s="12"/>
      <c r="AO17" s="12"/>
      <c r="AP17" s="12"/>
      <c r="AQ17" s="12"/>
      <c r="AR17" s="12"/>
      <c r="AS17" s="12"/>
      <c r="AT17" s="12"/>
      <c r="AU17" s="12"/>
      <c r="AV17" s="12"/>
      <c r="AW17" s="12"/>
      <c r="AX17" s="12"/>
      <c r="AY17" s="12"/>
      <c r="AZ17" s="12"/>
      <c r="BA17" s="12"/>
      <c r="BB17" s="12"/>
      <c r="BC17" s="12"/>
      <c r="BD17" s="12"/>
      <c r="BE17" s="13"/>
      <c r="BF17" s="11"/>
      <c r="BG17" s="12"/>
      <c r="BH17" s="12"/>
      <c r="BI17" s="12"/>
      <c r="BJ17" s="12"/>
      <c r="BK17" s="12"/>
      <c r="BL17" s="12"/>
      <c r="BM17" s="12"/>
      <c r="BN17" s="12"/>
      <c r="BO17" s="12"/>
      <c r="BP17" s="12"/>
      <c r="BQ17" s="12"/>
      <c r="BR17" s="12"/>
      <c r="BS17" s="12"/>
      <c r="BT17" s="12"/>
      <c r="BU17" s="12"/>
      <c r="BV17" s="12"/>
      <c r="BW17" s="12"/>
      <c r="BX17" s="13"/>
      <c r="BY17" s="11"/>
      <c r="BZ17" s="12"/>
      <c r="CA17" s="12"/>
      <c r="CB17" s="12"/>
      <c r="CC17" s="12"/>
      <c r="CD17" s="12"/>
      <c r="CE17" s="12"/>
      <c r="CF17" s="12"/>
      <c r="CG17" s="12"/>
      <c r="CH17" s="12"/>
      <c r="CI17" s="12"/>
      <c r="CJ17" s="12"/>
      <c r="CK17" s="12"/>
      <c r="CL17" s="12"/>
      <c r="CM17" s="12"/>
      <c r="CN17" s="12"/>
      <c r="CO17" s="12"/>
      <c r="CP17" s="12"/>
      <c r="CQ17" s="13"/>
    </row>
    <row r="18" spans="1:95">
      <c r="A18" s="16"/>
      <c r="B18" s="15"/>
      <c r="C18" s="15"/>
      <c r="D18" s="15"/>
      <c r="E18" s="15"/>
      <c r="F18" s="15"/>
      <c r="G18" s="15"/>
      <c r="H18" s="15"/>
      <c r="I18" s="15"/>
      <c r="J18" s="15"/>
      <c r="K18" s="15"/>
      <c r="L18" s="15"/>
      <c r="M18" s="15"/>
      <c r="N18" s="15"/>
      <c r="O18" s="15"/>
      <c r="P18" s="15"/>
      <c r="Q18" s="15"/>
      <c r="R18" s="15"/>
      <c r="S18" s="17"/>
      <c r="T18" s="16"/>
      <c r="U18" s="15"/>
      <c r="V18" s="15"/>
      <c r="W18" s="15"/>
      <c r="X18" s="15"/>
      <c r="Y18" s="15"/>
      <c r="Z18" s="15"/>
      <c r="AA18" s="15"/>
      <c r="AB18" s="15"/>
      <c r="AC18" s="15"/>
      <c r="AD18" s="15"/>
      <c r="AE18" s="15"/>
      <c r="AF18" s="15"/>
      <c r="AG18" s="15"/>
      <c r="AH18" s="15"/>
      <c r="AI18" s="15"/>
      <c r="AJ18" s="15"/>
      <c r="AK18" s="15"/>
      <c r="AL18" s="17"/>
      <c r="AM18" s="16"/>
      <c r="AN18" s="15"/>
      <c r="AO18" s="15"/>
      <c r="AP18" s="15"/>
      <c r="AQ18" s="15"/>
      <c r="AR18" s="15"/>
      <c r="AS18" s="15"/>
      <c r="AT18" s="15"/>
      <c r="AU18" s="15"/>
      <c r="AV18" s="15"/>
      <c r="AW18" s="15"/>
      <c r="AX18" s="15"/>
      <c r="AY18" s="15"/>
      <c r="AZ18" s="15"/>
      <c r="BA18" s="15"/>
      <c r="BB18" s="15"/>
      <c r="BC18" s="15"/>
      <c r="BD18" s="15"/>
      <c r="BE18" s="17"/>
      <c r="BF18" s="16"/>
      <c r="BG18" s="15"/>
      <c r="BH18" s="15"/>
      <c r="BI18" s="15"/>
      <c r="BJ18" s="15"/>
      <c r="BK18" s="15"/>
      <c r="BL18" s="15"/>
      <c r="BM18" s="15"/>
      <c r="BN18" s="15"/>
      <c r="BO18" s="15"/>
      <c r="BP18" s="15"/>
      <c r="BQ18" s="15"/>
      <c r="BR18" s="15"/>
      <c r="BS18" s="15"/>
      <c r="BT18" s="15"/>
      <c r="BU18" s="15"/>
      <c r="BV18" s="15"/>
      <c r="BW18" s="15"/>
      <c r="BX18" s="17"/>
      <c r="BY18" s="16"/>
      <c r="BZ18" s="15"/>
      <c r="CA18" s="15"/>
      <c r="CB18" s="15"/>
      <c r="CC18" s="15"/>
      <c r="CD18" s="15"/>
      <c r="CE18" s="15"/>
      <c r="CF18" s="15"/>
      <c r="CG18" s="15"/>
      <c r="CH18" s="15"/>
      <c r="CI18" s="15"/>
      <c r="CJ18" s="15"/>
      <c r="CK18" s="15"/>
      <c r="CL18" s="15"/>
      <c r="CM18" s="15"/>
      <c r="CN18" s="15"/>
      <c r="CO18" s="15"/>
      <c r="CP18" s="15"/>
      <c r="CQ18" s="17"/>
    </row>
    <row r="19" spans="1:95">
      <c r="A19" s="293" t="s">
        <v>155</v>
      </c>
      <c r="B19" s="183"/>
      <c r="C19" s="183"/>
      <c r="D19" s="183"/>
      <c r="E19" s="183"/>
      <c r="F19" s="183"/>
      <c r="G19" s="183"/>
      <c r="H19" s="183"/>
      <c r="I19" s="183"/>
      <c r="J19" s="183"/>
      <c r="K19" s="183"/>
      <c r="L19" s="183"/>
      <c r="M19" s="183"/>
      <c r="N19" s="183"/>
      <c r="O19" s="183"/>
      <c r="P19" s="183"/>
      <c r="Q19" s="183"/>
      <c r="R19" s="183"/>
      <c r="S19" s="294"/>
      <c r="T19" s="293" t="s">
        <v>155</v>
      </c>
      <c r="U19" s="183"/>
      <c r="V19" s="183"/>
      <c r="W19" s="183"/>
      <c r="X19" s="183"/>
      <c r="Y19" s="183"/>
      <c r="Z19" s="183"/>
      <c r="AA19" s="183"/>
      <c r="AB19" s="183"/>
      <c r="AC19" s="183"/>
      <c r="AD19" s="183"/>
      <c r="AE19" s="183"/>
      <c r="AF19" s="183"/>
      <c r="AG19" s="183"/>
      <c r="AH19" s="183"/>
      <c r="AI19" s="183"/>
      <c r="AJ19" s="183"/>
      <c r="AK19" s="183"/>
      <c r="AL19" s="294"/>
      <c r="AM19" s="293" t="s">
        <v>155</v>
      </c>
      <c r="AN19" s="183"/>
      <c r="AO19" s="183"/>
      <c r="AP19" s="183"/>
      <c r="AQ19" s="183"/>
      <c r="AR19" s="183"/>
      <c r="AS19" s="183"/>
      <c r="AT19" s="183"/>
      <c r="AU19" s="183"/>
      <c r="AV19" s="183"/>
      <c r="AW19" s="183"/>
      <c r="AX19" s="183"/>
      <c r="AY19" s="183"/>
      <c r="AZ19" s="183"/>
      <c r="BA19" s="183"/>
      <c r="BB19" s="183"/>
      <c r="BC19" s="183"/>
      <c r="BD19" s="183"/>
      <c r="BE19" s="294"/>
      <c r="BF19" s="293" t="s">
        <v>155</v>
      </c>
      <c r="BG19" s="183"/>
      <c r="BH19" s="183"/>
      <c r="BI19" s="183"/>
      <c r="BJ19" s="183"/>
      <c r="BK19" s="183"/>
      <c r="BL19" s="183"/>
      <c r="BM19" s="183"/>
      <c r="BN19" s="183"/>
      <c r="BO19" s="183"/>
      <c r="BP19" s="183"/>
      <c r="BQ19" s="183"/>
      <c r="BR19" s="183"/>
      <c r="BS19" s="183"/>
      <c r="BT19" s="183"/>
      <c r="BU19" s="183"/>
      <c r="BV19" s="183"/>
      <c r="BW19" s="183"/>
      <c r="BX19" s="294"/>
      <c r="BY19" s="293" t="s">
        <v>156</v>
      </c>
      <c r="CQ19" s="6"/>
    </row>
    <row r="20" spans="1:95">
      <c r="A20" s="295"/>
      <c r="B20" s="183"/>
      <c r="C20" s="183"/>
      <c r="D20" s="183"/>
      <c r="E20" s="183"/>
      <c r="F20" s="183"/>
      <c r="G20" s="183"/>
      <c r="H20" s="183"/>
      <c r="I20" s="183"/>
      <c r="J20" s="183"/>
      <c r="K20" s="183"/>
      <c r="L20" s="183"/>
      <c r="M20" s="183"/>
      <c r="N20" s="183"/>
      <c r="O20" s="183"/>
      <c r="P20" s="183"/>
      <c r="Q20" s="183"/>
      <c r="R20" s="183"/>
      <c r="S20" s="294"/>
      <c r="T20" s="295"/>
      <c r="U20" s="183"/>
      <c r="V20" s="183"/>
      <c r="W20" s="183"/>
      <c r="X20" s="183"/>
      <c r="Y20" s="183"/>
      <c r="Z20" s="183"/>
      <c r="AA20" s="183"/>
      <c r="AB20" s="183"/>
      <c r="AC20" s="183"/>
      <c r="AD20" s="183"/>
      <c r="AE20" s="183"/>
      <c r="AF20" s="183"/>
      <c r="AG20" s="183"/>
      <c r="AH20" s="183"/>
      <c r="AI20" s="183"/>
      <c r="AJ20" s="183"/>
      <c r="AK20" s="183"/>
      <c r="AL20" s="294"/>
      <c r="AM20" s="295"/>
      <c r="AN20" s="183"/>
      <c r="AO20" s="183"/>
      <c r="AP20" s="183"/>
      <c r="AQ20" s="183"/>
      <c r="AR20" s="183"/>
      <c r="AS20" s="183"/>
      <c r="AT20" s="183"/>
      <c r="AU20" s="183"/>
      <c r="AV20" s="183"/>
      <c r="AW20" s="183"/>
      <c r="AX20" s="183"/>
      <c r="AY20" s="183"/>
      <c r="AZ20" s="183"/>
      <c r="BA20" s="183"/>
      <c r="BB20" s="183"/>
      <c r="BC20" s="183"/>
      <c r="BD20" s="183"/>
      <c r="BE20" s="294"/>
      <c r="BF20" s="295"/>
      <c r="BG20" s="183"/>
      <c r="BH20" s="183"/>
      <c r="BI20" s="183"/>
      <c r="BJ20" s="183"/>
      <c r="BK20" s="183"/>
      <c r="BL20" s="183"/>
      <c r="BM20" s="183"/>
      <c r="BN20" s="183"/>
      <c r="BO20" s="183"/>
      <c r="BP20" s="183"/>
      <c r="BQ20" s="183"/>
      <c r="BR20" s="183"/>
      <c r="BS20" s="183"/>
      <c r="BT20" s="183"/>
      <c r="BU20" s="183"/>
      <c r="BV20" s="183"/>
      <c r="BW20" s="183"/>
      <c r="BX20" s="294"/>
      <c r="BY20" s="4"/>
      <c r="CQ20" s="6"/>
    </row>
    <row r="21" spans="1:95">
      <c r="A21" s="8"/>
      <c r="B21" s="9"/>
      <c r="C21" s="9"/>
      <c r="D21" s="9"/>
      <c r="E21" s="9"/>
      <c r="F21" s="9"/>
      <c r="G21" s="9"/>
      <c r="H21" s="9"/>
      <c r="I21" s="9"/>
      <c r="J21" s="9"/>
      <c r="K21" s="9"/>
      <c r="L21" s="9"/>
      <c r="M21" s="9"/>
      <c r="N21" s="9"/>
      <c r="O21" s="9"/>
      <c r="P21" s="9"/>
      <c r="Q21" s="9"/>
      <c r="R21" s="9"/>
      <c r="S21" s="10"/>
      <c r="T21" s="8"/>
      <c r="U21" s="9"/>
      <c r="V21" s="9"/>
      <c r="W21" s="9"/>
      <c r="X21" s="9"/>
      <c r="Y21" s="9"/>
      <c r="Z21" s="9"/>
      <c r="AA21" s="9"/>
      <c r="AB21" s="9"/>
      <c r="AC21" s="9"/>
      <c r="AD21" s="9"/>
      <c r="AE21" s="9"/>
      <c r="AF21" s="9"/>
      <c r="AG21" s="9"/>
      <c r="AH21" s="9"/>
      <c r="AI21" s="9"/>
      <c r="AJ21" s="9"/>
      <c r="AK21" s="9"/>
      <c r="AL21" s="10"/>
      <c r="AM21" s="8"/>
      <c r="AN21" s="9"/>
      <c r="AO21" s="9"/>
      <c r="AP21" s="9"/>
      <c r="AQ21" s="9"/>
      <c r="AR21" s="9"/>
      <c r="AS21" s="9"/>
      <c r="AT21" s="9"/>
      <c r="AU21" s="9"/>
      <c r="AV21" s="9"/>
      <c r="AW21" s="9"/>
      <c r="AX21" s="9"/>
      <c r="AY21" s="9"/>
      <c r="AZ21" s="9"/>
      <c r="BA21" s="9"/>
      <c r="BB21" s="9"/>
      <c r="BC21" s="9"/>
      <c r="BD21" s="9"/>
      <c r="BE21" s="10"/>
      <c r="BF21" s="8"/>
      <c r="BG21" s="9"/>
      <c r="BH21" s="9"/>
      <c r="BI21" s="9"/>
      <c r="BJ21" s="9"/>
      <c r="BK21" s="9"/>
      <c r="BL21" s="9"/>
      <c r="BM21" s="9"/>
      <c r="BN21" s="9"/>
      <c r="BO21" s="9"/>
      <c r="BP21" s="9"/>
      <c r="BQ21" s="9"/>
      <c r="BR21" s="9"/>
      <c r="BS21" s="9"/>
      <c r="BT21" s="9"/>
      <c r="BU21" s="9"/>
      <c r="BV21" s="9"/>
      <c r="BW21" s="9"/>
      <c r="BX21" s="10"/>
      <c r="BY21" s="8"/>
      <c r="BZ21" s="9"/>
      <c r="CA21" s="9"/>
      <c r="CB21" s="9"/>
      <c r="CC21" s="9"/>
      <c r="CD21" s="9"/>
      <c r="CE21" s="9"/>
      <c r="CF21" s="9"/>
      <c r="CG21" s="9"/>
      <c r="CH21" s="9"/>
      <c r="CI21" s="9"/>
      <c r="CJ21" s="9"/>
      <c r="CK21" s="9"/>
      <c r="CL21" s="9"/>
      <c r="CM21" s="9"/>
      <c r="CN21" s="9"/>
      <c r="CO21" s="9"/>
      <c r="CP21" s="9"/>
      <c r="CQ21" s="10"/>
    </row>
    <row r="22" spans="1:95">
      <c r="A22" s="11"/>
      <c r="B22" s="12"/>
      <c r="C22" s="12"/>
      <c r="D22" s="12"/>
      <c r="E22" s="12"/>
      <c r="F22" s="12"/>
      <c r="G22" s="12"/>
      <c r="H22" s="12"/>
      <c r="I22" s="12"/>
      <c r="J22" s="12"/>
      <c r="K22" s="12"/>
      <c r="L22" s="12"/>
      <c r="M22" s="12"/>
      <c r="N22" s="12"/>
      <c r="O22" s="12"/>
      <c r="P22" s="12"/>
      <c r="Q22" s="12"/>
      <c r="R22" s="12"/>
      <c r="S22" s="13"/>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c r="BY22" s="11"/>
      <c r="BZ22" s="12"/>
      <c r="CA22" s="12"/>
      <c r="CB22" s="12"/>
      <c r="CC22" s="12"/>
      <c r="CD22" s="12"/>
      <c r="CE22" s="12"/>
      <c r="CF22" s="12"/>
      <c r="CG22" s="12"/>
      <c r="CH22" s="12"/>
      <c r="CI22" s="12"/>
      <c r="CJ22" s="12"/>
      <c r="CK22" s="12"/>
      <c r="CL22" s="12"/>
      <c r="CM22" s="12"/>
      <c r="CN22" s="12"/>
      <c r="CO22" s="12"/>
      <c r="CP22" s="12"/>
      <c r="CQ22" s="13"/>
    </row>
    <row r="23" spans="1:95">
      <c r="A23" s="11"/>
      <c r="B23" s="14" t="s">
        <v>157</v>
      </c>
      <c r="C23" s="12"/>
      <c r="D23" s="12"/>
      <c r="E23" s="12"/>
      <c r="F23" s="12"/>
      <c r="G23" s="12"/>
      <c r="H23" s="12"/>
      <c r="I23" s="12"/>
      <c r="J23" s="12"/>
      <c r="K23" s="12"/>
      <c r="L23" s="12"/>
      <c r="M23" s="12"/>
      <c r="N23" s="12"/>
      <c r="O23" s="12"/>
      <c r="P23" s="12"/>
      <c r="Q23" s="12"/>
      <c r="R23" s="12"/>
      <c r="S23" s="13"/>
      <c r="T23" s="11"/>
      <c r="U23" s="14" t="s">
        <v>157</v>
      </c>
      <c r="V23" s="12"/>
      <c r="W23" s="12"/>
      <c r="X23" s="12"/>
      <c r="Y23" s="12"/>
      <c r="Z23" s="12"/>
      <c r="AA23" s="12"/>
      <c r="AB23" s="12"/>
      <c r="AC23" s="12"/>
      <c r="AD23" s="12"/>
      <c r="AE23" s="12"/>
      <c r="AF23" s="12"/>
      <c r="AG23" s="12"/>
      <c r="AH23" s="12"/>
      <c r="AI23" s="12"/>
      <c r="AJ23" s="12"/>
      <c r="AK23" s="12"/>
      <c r="AL23" s="13"/>
      <c r="AM23" s="11"/>
      <c r="AN23" s="14" t="s">
        <v>157</v>
      </c>
      <c r="AO23" s="12"/>
      <c r="AP23" s="12"/>
      <c r="AQ23" s="12"/>
      <c r="AR23" s="12"/>
      <c r="AS23" s="12"/>
      <c r="AT23" s="12"/>
      <c r="AU23" s="12"/>
      <c r="AV23" s="12"/>
      <c r="AW23" s="12"/>
      <c r="AX23" s="12"/>
      <c r="AY23" s="12"/>
      <c r="AZ23" s="12"/>
      <c r="BA23" s="12"/>
      <c r="BB23" s="12"/>
      <c r="BC23" s="12"/>
      <c r="BD23" s="12"/>
      <c r="BE23" s="13"/>
      <c r="BF23" s="11"/>
      <c r="BG23" s="14" t="s">
        <v>157</v>
      </c>
      <c r="BH23" s="12"/>
      <c r="BI23" s="12"/>
      <c r="BJ23" s="12"/>
      <c r="BK23" s="12"/>
      <c r="BL23" s="12"/>
      <c r="BM23" s="12"/>
      <c r="BN23" s="12"/>
      <c r="BO23" s="12"/>
      <c r="BP23" s="12"/>
      <c r="BQ23" s="12"/>
      <c r="BR23" s="12"/>
      <c r="BS23" s="12"/>
      <c r="BT23" s="12"/>
      <c r="BU23" s="12"/>
      <c r="BV23" s="12"/>
      <c r="BW23" s="12"/>
      <c r="BX23" s="13"/>
      <c r="BY23" s="11"/>
      <c r="BZ23" s="14" t="s">
        <v>157</v>
      </c>
      <c r="CA23" s="12"/>
      <c r="CB23" s="12"/>
      <c r="CC23" s="12"/>
      <c r="CD23" s="12"/>
      <c r="CE23" s="12"/>
      <c r="CF23" s="12"/>
      <c r="CG23" s="12"/>
      <c r="CH23" s="12"/>
      <c r="CI23" s="12"/>
      <c r="CJ23" s="12"/>
      <c r="CK23" s="12"/>
      <c r="CL23" s="12"/>
      <c r="CM23" s="12"/>
      <c r="CN23" s="12"/>
      <c r="CO23" s="12"/>
      <c r="CP23" s="12"/>
      <c r="CQ23" s="13"/>
    </row>
    <row r="24" spans="1:95">
      <c r="A24" s="11"/>
      <c r="B24" s="12"/>
      <c r="C24" s="12"/>
      <c r="D24" s="12"/>
      <c r="E24" s="12"/>
      <c r="F24" s="12"/>
      <c r="G24" s="12"/>
      <c r="H24" s="12"/>
      <c r="I24" s="12"/>
      <c r="J24" s="12"/>
      <c r="K24" s="12"/>
      <c r="L24" s="12"/>
      <c r="M24" s="12"/>
      <c r="N24" s="12"/>
      <c r="O24" s="12"/>
      <c r="P24" s="12"/>
      <c r="Q24" s="12"/>
      <c r="R24" s="12"/>
      <c r="S24" s="13"/>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c r="BY24" s="11"/>
      <c r="BZ24" s="12"/>
      <c r="CA24" s="12"/>
      <c r="CB24" s="12"/>
      <c r="CC24" s="12"/>
      <c r="CD24" s="12"/>
      <c r="CE24" s="12"/>
      <c r="CF24" s="12"/>
      <c r="CG24" s="12"/>
      <c r="CH24" s="12"/>
      <c r="CI24" s="12"/>
      <c r="CJ24" s="12"/>
      <c r="CK24" s="12"/>
      <c r="CL24" s="12"/>
      <c r="CM24" s="12"/>
      <c r="CN24" s="12"/>
      <c r="CO24" s="12"/>
      <c r="CP24" s="12"/>
      <c r="CQ24" s="13"/>
    </row>
    <row r="25" spans="1:95">
      <c r="A25" s="11"/>
      <c r="B25" s="14" t="s">
        <v>158</v>
      </c>
      <c r="C25" s="12"/>
      <c r="D25" s="12"/>
      <c r="E25" s="12"/>
      <c r="F25" s="12"/>
      <c r="G25" s="12"/>
      <c r="H25" s="12"/>
      <c r="I25" s="12"/>
      <c r="J25" s="12"/>
      <c r="K25" s="12"/>
      <c r="L25" s="12"/>
      <c r="M25" s="12"/>
      <c r="N25" s="12"/>
      <c r="O25" s="12"/>
      <c r="P25" s="12"/>
      <c r="Q25" s="12"/>
      <c r="R25" s="12"/>
      <c r="S25" s="13"/>
      <c r="T25" s="11"/>
      <c r="U25" s="14" t="s">
        <v>158</v>
      </c>
      <c r="V25" s="12"/>
      <c r="W25" s="12"/>
      <c r="X25" s="12"/>
      <c r="Y25" s="12"/>
      <c r="Z25" s="12"/>
      <c r="AA25" s="12"/>
      <c r="AB25" s="12"/>
      <c r="AC25" s="12"/>
      <c r="AD25" s="12"/>
      <c r="AE25" s="12"/>
      <c r="AF25" s="12"/>
      <c r="AG25" s="12"/>
      <c r="AH25" s="12"/>
      <c r="AI25" s="12"/>
      <c r="AJ25" s="12"/>
      <c r="AK25" s="12"/>
      <c r="AL25" s="13"/>
      <c r="AM25" s="11"/>
      <c r="AN25" s="14" t="s">
        <v>158</v>
      </c>
      <c r="AO25" s="12"/>
      <c r="AP25" s="12"/>
      <c r="AQ25" s="12"/>
      <c r="AR25" s="12"/>
      <c r="AS25" s="12"/>
      <c r="AT25" s="12"/>
      <c r="AU25" s="12"/>
      <c r="AV25" s="12"/>
      <c r="AW25" s="12"/>
      <c r="AX25" s="12"/>
      <c r="AY25" s="12"/>
      <c r="AZ25" s="12"/>
      <c r="BA25" s="12"/>
      <c r="BB25" s="12"/>
      <c r="BC25" s="12"/>
      <c r="BD25" s="12"/>
      <c r="BE25" s="13"/>
      <c r="BF25" s="11"/>
      <c r="BG25" s="14" t="s">
        <v>158</v>
      </c>
      <c r="BH25" s="12"/>
      <c r="BI25" s="12"/>
      <c r="BJ25" s="12"/>
      <c r="BK25" s="12"/>
      <c r="BL25" s="12"/>
      <c r="BM25" s="12"/>
      <c r="BN25" s="12"/>
      <c r="BO25" s="12"/>
      <c r="BP25" s="12"/>
      <c r="BQ25" s="12"/>
      <c r="BR25" s="12"/>
      <c r="BS25" s="12"/>
      <c r="BT25" s="12"/>
      <c r="BU25" s="12"/>
      <c r="BV25" s="12"/>
      <c r="BW25" s="12"/>
      <c r="BX25" s="13"/>
      <c r="BY25" s="11"/>
      <c r="BZ25" s="14" t="s">
        <v>158</v>
      </c>
      <c r="CA25" s="12"/>
      <c r="CB25" s="12"/>
      <c r="CC25" s="12"/>
      <c r="CD25" s="12"/>
      <c r="CE25" s="12"/>
      <c r="CF25" s="12"/>
      <c r="CG25" s="12"/>
      <c r="CH25" s="12"/>
      <c r="CI25" s="12"/>
      <c r="CJ25" s="12"/>
      <c r="CK25" s="12"/>
      <c r="CL25" s="12"/>
      <c r="CM25" s="12"/>
      <c r="CN25" s="12"/>
      <c r="CO25" s="12"/>
      <c r="CP25" s="12"/>
      <c r="CQ25" s="13"/>
    </row>
    <row r="26" spans="1:95">
      <c r="A26" s="11"/>
      <c r="B26" s="12"/>
      <c r="C26" s="12"/>
      <c r="D26" s="12"/>
      <c r="E26" s="12"/>
      <c r="F26" s="12"/>
      <c r="G26" s="12"/>
      <c r="H26" s="12"/>
      <c r="I26" s="12"/>
      <c r="J26" s="12"/>
      <c r="K26" s="12"/>
      <c r="L26" s="12"/>
      <c r="M26" s="12"/>
      <c r="N26" s="12"/>
      <c r="O26" s="12"/>
      <c r="P26" s="12"/>
      <c r="Q26" s="12"/>
      <c r="R26" s="12"/>
      <c r="S26" s="13"/>
      <c r="T26" s="11"/>
      <c r="U26" s="12"/>
      <c r="V26" s="12"/>
      <c r="W26" s="12"/>
      <c r="X26" s="12"/>
      <c r="Y26" s="12"/>
      <c r="Z26" s="12"/>
      <c r="AA26" s="12"/>
      <c r="AB26" s="12"/>
      <c r="AC26" s="12"/>
      <c r="AD26" s="12"/>
      <c r="AE26" s="12"/>
      <c r="AF26" s="12"/>
      <c r="AG26" s="12"/>
      <c r="AH26" s="12"/>
      <c r="AI26" s="12"/>
      <c r="AJ26" s="12"/>
      <c r="AK26" s="12"/>
      <c r="AL26" s="13"/>
      <c r="AM26" s="11"/>
      <c r="AN26" s="12"/>
      <c r="AO26" s="12"/>
      <c r="AP26" s="12"/>
      <c r="AQ26" s="12"/>
      <c r="AR26" s="12"/>
      <c r="AS26" s="12"/>
      <c r="AT26" s="12"/>
      <c r="AU26" s="12"/>
      <c r="AV26" s="12"/>
      <c r="AW26" s="12"/>
      <c r="AX26" s="12"/>
      <c r="AY26" s="12"/>
      <c r="AZ26" s="12"/>
      <c r="BA26" s="12"/>
      <c r="BB26" s="12"/>
      <c r="BC26" s="12"/>
      <c r="BD26" s="12"/>
      <c r="BE26" s="13"/>
      <c r="BF26" s="11"/>
      <c r="BG26" s="12"/>
      <c r="BH26" s="12"/>
      <c r="BI26" s="12"/>
      <c r="BJ26" s="12"/>
      <c r="BK26" s="12"/>
      <c r="BL26" s="12"/>
      <c r="BM26" s="12"/>
      <c r="BN26" s="12"/>
      <c r="BO26" s="12"/>
      <c r="BP26" s="12"/>
      <c r="BQ26" s="12"/>
      <c r="BR26" s="12"/>
      <c r="BS26" s="12"/>
      <c r="BT26" s="12"/>
      <c r="BU26" s="12"/>
      <c r="BV26" s="12"/>
      <c r="BW26" s="12"/>
      <c r="BX26" s="13"/>
      <c r="BY26" s="11"/>
      <c r="BZ26" s="12"/>
      <c r="CA26" s="12"/>
      <c r="CB26" s="12"/>
      <c r="CC26" s="12"/>
      <c r="CD26" s="12"/>
      <c r="CE26" s="12"/>
      <c r="CF26" s="12"/>
      <c r="CG26" s="12"/>
      <c r="CH26" s="12"/>
      <c r="CI26" s="12"/>
      <c r="CJ26" s="12"/>
      <c r="CK26" s="12"/>
      <c r="CL26" s="12"/>
      <c r="CM26" s="12"/>
      <c r="CN26" s="12"/>
      <c r="CO26" s="12"/>
      <c r="CP26" s="12"/>
      <c r="CQ26" s="13"/>
    </row>
    <row r="27" spans="1:95">
      <c r="A27" s="11"/>
      <c r="B27" s="14" t="s">
        <v>159</v>
      </c>
      <c r="C27" s="12"/>
      <c r="D27" s="12"/>
      <c r="E27" s="12"/>
      <c r="F27" s="12"/>
      <c r="G27" s="12"/>
      <c r="H27" s="12"/>
      <c r="I27" s="12"/>
      <c r="J27" s="12"/>
      <c r="K27" s="12"/>
      <c r="L27" s="12"/>
      <c r="M27" s="12"/>
      <c r="N27" s="12"/>
      <c r="O27" s="12"/>
      <c r="P27" s="12"/>
      <c r="Q27" s="12"/>
      <c r="R27" s="12"/>
      <c r="S27" s="13"/>
      <c r="T27" s="11"/>
      <c r="U27" s="14" t="s">
        <v>159</v>
      </c>
      <c r="V27" s="12"/>
      <c r="W27" s="12"/>
      <c r="X27" s="12"/>
      <c r="Y27" s="12"/>
      <c r="Z27" s="12"/>
      <c r="AA27" s="12"/>
      <c r="AB27" s="12"/>
      <c r="AC27" s="12"/>
      <c r="AD27" s="12"/>
      <c r="AE27" s="12"/>
      <c r="AF27" s="12"/>
      <c r="AG27" s="12"/>
      <c r="AH27" s="12"/>
      <c r="AI27" s="12"/>
      <c r="AJ27" s="12"/>
      <c r="AK27" s="12"/>
      <c r="AL27" s="13"/>
      <c r="AM27" s="11"/>
      <c r="AN27" s="14" t="s">
        <v>159</v>
      </c>
      <c r="AO27" s="12"/>
      <c r="AP27" s="12"/>
      <c r="AQ27" s="12"/>
      <c r="AR27" s="12"/>
      <c r="AS27" s="12"/>
      <c r="AT27" s="12"/>
      <c r="AU27" s="12"/>
      <c r="AV27" s="12"/>
      <c r="AW27" s="12"/>
      <c r="AX27" s="12"/>
      <c r="AY27" s="12"/>
      <c r="AZ27" s="12"/>
      <c r="BA27" s="12"/>
      <c r="BB27" s="12"/>
      <c r="BC27" s="12"/>
      <c r="BD27" s="12"/>
      <c r="BE27" s="13"/>
      <c r="BF27" s="11"/>
      <c r="BG27" s="14" t="s">
        <v>159</v>
      </c>
      <c r="BH27" s="12"/>
      <c r="BI27" s="12"/>
      <c r="BJ27" s="12"/>
      <c r="BK27" s="12"/>
      <c r="BL27" s="12"/>
      <c r="BM27" s="12"/>
      <c r="BN27" s="12"/>
      <c r="BO27" s="12"/>
      <c r="BP27" s="12"/>
      <c r="BQ27" s="12"/>
      <c r="BR27" s="12"/>
      <c r="BS27" s="12"/>
      <c r="BT27" s="12"/>
      <c r="BU27" s="12"/>
      <c r="BV27" s="12"/>
      <c r="BW27" s="12"/>
      <c r="BX27" s="13"/>
      <c r="BY27" s="11"/>
      <c r="BZ27" s="14" t="s">
        <v>159</v>
      </c>
      <c r="CA27" s="12"/>
      <c r="CB27" s="12"/>
      <c r="CC27" s="12"/>
      <c r="CD27" s="12"/>
      <c r="CE27" s="12"/>
      <c r="CF27" s="12"/>
      <c r="CG27" s="12"/>
      <c r="CH27" s="12"/>
      <c r="CI27" s="12"/>
      <c r="CJ27" s="12"/>
      <c r="CK27" s="12"/>
      <c r="CL27" s="12"/>
      <c r="CM27" s="12"/>
      <c r="CN27" s="12"/>
      <c r="CO27" s="12"/>
      <c r="CP27" s="12"/>
      <c r="CQ27" s="13"/>
    </row>
    <row r="28" spans="1:95">
      <c r="A28" s="11"/>
      <c r="B28" s="12"/>
      <c r="C28" s="12"/>
      <c r="D28" s="12"/>
      <c r="E28" s="12"/>
      <c r="F28" s="12"/>
      <c r="G28" s="12"/>
      <c r="H28" s="12"/>
      <c r="I28" s="12"/>
      <c r="J28" s="12"/>
      <c r="K28" s="12"/>
      <c r="L28" s="12"/>
      <c r="M28" s="12"/>
      <c r="N28" s="12"/>
      <c r="O28" s="12"/>
      <c r="P28" s="12"/>
      <c r="Q28" s="12"/>
      <c r="R28" s="12"/>
      <c r="S28" s="13"/>
      <c r="T28" s="11"/>
      <c r="U28" s="12"/>
      <c r="V28" s="12"/>
      <c r="W28" s="12"/>
      <c r="X28" s="12"/>
      <c r="Y28" s="12"/>
      <c r="Z28" s="12"/>
      <c r="AA28" s="12"/>
      <c r="AB28" s="12"/>
      <c r="AC28" s="12"/>
      <c r="AD28" s="12"/>
      <c r="AE28" s="12"/>
      <c r="AF28" s="12"/>
      <c r="AG28" s="12"/>
      <c r="AH28" s="12"/>
      <c r="AI28" s="12"/>
      <c r="AJ28" s="12"/>
      <c r="AK28" s="12"/>
      <c r="AL28" s="13"/>
      <c r="AM28" s="11"/>
      <c r="AN28" s="12"/>
      <c r="AO28" s="12"/>
      <c r="AP28" s="12"/>
      <c r="AQ28" s="12"/>
      <c r="AR28" s="12"/>
      <c r="AS28" s="12"/>
      <c r="AT28" s="12"/>
      <c r="AU28" s="12"/>
      <c r="AV28" s="12"/>
      <c r="AW28" s="12"/>
      <c r="AX28" s="12"/>
      <c r="AY28" s="12"/>
      <c r="AZ28" s="12"/>
      <c r="BA28" s="12"/>
      <c r="BB28" s="12"/>
      <c r="BC28" s="12"/>
      <c r="BD28" s="12"/>
      <c r="BE28" s="13"/>
      <c r="BF28" s="11"/>
      <c r="BG28" s="12"/>
      <c r="BH28" s="12"/>
      <c r="BI28" s="12"/>
      <c r="BJ28" s="12"/>
      <c r="BK28" s="12"/>
      <c r="BL28" s="12"/>
      <c r="BM28" s="12"/>
      <c r="BN28" s="12"/>
      <c r="BO28" s="12"/>
      <c r="BP28" s="12"/>
      <c r="BQ28" s="12"/>
      <c r="BR28" s="12"/>
      <c r="BS28" s="12"/>
      <c r="BT28" s="12"/>
      <c r="BU28" s="12"/>
      <c r="BV28" s="12"/>
      <c r="BW28" s="12"/>
      <c r="BX28" s="13"/>
      <c r="BY28" s="11"/>
      <c r="BZ28" s="12"/>
      <c r="CA28" s="12"/>
      <c r="CB28" s="12"/>
      <c r="CC28" s="12"/>
      <c r="CD28" s="12"/>
      <c r="CE28" s="12"/>
      <c r="CF28" s="12"/>
      <c r="CG28" s="12"/>
      <c r="CH28" s="12"/>
      <c r="CI28" s="12"/>
      <c r="CJ28" s="12"/>
      <c r="CK28" s="12"/>
      <c r="CL28" s="12"/>
      <c r="CM28" s="12"/>
      <c r="CN28" s="12"/>
      <c r="CO28" s="12"/>
      <c r="CP28" s="12"/>
      <c r="CQ28" s="13"/>
    </row>
    <row r="29" spans="1:95">
      <c r="A29" s="11"/>
      <c r="B29" s="14" t="s">
        <v>160</v>
      </c>
      <c r="C29" s="12"/>
      <c r="D29" s="12"/>
      <c r="E29" s="12"/>
      <c r="F29" s="12"/>
      <c r="G29" s="12"/>
      <c r="H29" s="12"/>
      <c r="I29" s="12"/>
      <c r="J29" s="12"/>
      <c r="K29" s="12"/>
      <c r="L29" s="12"/>
      <c r="M29" s="12"/>
      <c r="N29" s="12"/>
      <c r="O29" s="12"/>
      <c r="P29" s="12"/>
      <c r="Q29" s="12"/>
      <c r="R29" s="12"/>
      <c r="S29" s="13"/>
      <c r="T29" s="11"/>
      <c r="U29" s="14" t="s">
        <v>160</v>
      </c>
      <c r="V29" s="12"/>
      <c r="W29" s="12"/>
      <c r="X29" s="12"/>
      <c r="Y29" s="12"/>
      <c r="Z29" s="12"/>
      <c r="AA29" s="12"/>
      <c r="AB29" s="12"/>
      <c r="AC29" s="12"/>
      <c r="AD29" s="12"/>
      <c r="AE29" s="12"/>
      <c r="AF29" s="12"/>
      <c r="AG29" s="12"/>
      <c r="AH29" s="12"/>
      <c r="AI29" s="12"/>
      <c r="AJ29" s="12"/>
      <c r="AK29" s="12"/>
      <c r="AL29" s="13"/>
      <c r="AM29" s="11"/>
      <c r="AN29" s="14" t="s">
        <v>160</v>
      </c>
      <c r="AO29" s="12"/>
      <c r="AP29" s="12"/>
      <c r="AQ29" s="12"/>
      <c r="AR29" s="12"/>
      <c r="AS29" s="12"/>
      <c r="AT29" s="12"/>
      <c r="AU29" s="12"/>
      <c r="AV29" s="12"/>
      <c r="AW29" s="12"/>
      <c r="AX29" s="12"/>
      <c r="AY29" s="12"/>
      <c r="AZ29" s="12"/>
      <c r="BA29" s="12"/>
      <c r="BB29" s="12"/>
      <c r="BC29" s="12"/>
      <c r="BD29" s="12"/>
      <c r="BE29" s="13"/>
      <c r="BF29" s="11"/>
      <c r="BG29" s="14" t="s">
        <v>160</v>
      </c>
      <c r="BH29" s="12"/>
      <c r="BI29" s="12"/>
      <c r="BJ29" s="12"/>
      <c r="BK29" s="12"/>
      <c r="BL29" s="12"/>
      <c r="BM29" s="12"/>
      <c r="BN29" s="12"/>
      <c r="BO29" s="12"/>
      <c r="BP29" s="12"/>
      <c r="BQ29" s="12"/>
      <c r="BR29" s="12"/>
      <c r="BS29" s="12"/>
      <c r="BT29" s="12"/>
      <c r="BU29" s="12"/>
      <c r="BV29" s="12"/>
      <c r="BW29" s="12"/>
      <c r="BX29" s="13"/>
      <c r="BY29" s="11"/>
      <c r="BZ29" s="14" t="s">
        <v>160</v>
      </c>
      <c r="CA29" s="12"/>
      <c r="CB29" s="12"/>
      <c r="CC29" s="12"/>
      <c r="CD29" s="12"/>
      <c r="CE29" s="12"/>
      <c r="CF29" s="12"/>
      <c r="CG29" s="12"/>
      <c r="CH29" s="12"/>
      <c r="CI29" s="12"/>
      <c r="CJ29" s="12"/>
      <c r="CK29" s="12"/>
      <c r="CL29" s="12"/>
      <c r="CM29" s="12"/>
      <c r="CN29" s="12"/>
      <c r="CO29" s="12"/>
      <c r="CP29" s="12"/>
      <c r="CQ29" s="13"/>
    </row>
    <row r="30" spans="1:95">
      <c r="A30" s="11"/>
      <c r="B30" s="14" t="s">
        <v>161</v>
      </c>
      <c r="C30" s="12"/>
      <c r="D30" s="12"/>
      <c r="E30" s="12"/>
      <c r="F30" s="12"/>
      <c r="G30" s="12"/>
      <c r="H30" s="12"/>
      <c r="I30" s="12"/>
      <c r="J30" s="12"/>
      <c r="K30" s="12"/>
      <c r="L30" s="12"/>
      <c r="M30" s="12"/>
      <c r="N30" s="12"/>
      <c r="O30" s="12"/>
      <c r="P30" s="12"/>
      <c r="Q30" s="12"/>
      <c r="R30" s="12"/>
      <c r="S30" s="13"/>
      <c r="T30" s="11"/>
      <c r="U30" s="14" t="s">
        <v>161</v>
      </c>
      <c r="V30" s="12"/>
      <c r="W30" s="12"/>
      <c r="X30" s="12"/>
      <c r="Y30" s="12"/>
      <c r="Z30" s="12"/>
      <c r="AA30" s="12"/>
      <c r="AB30" s="12"/>
      <c r="AC30" s="12"/>
      <c r="AD30" s="12"/>
      <c r="AE30" s="12"/>
      <c r="AF30" s="12"/>
      <c r="AG30" s="12"/>
      <c r="AH30" s="12"/>
      <c r="AI30" s="12"/>
      <c r="AJ30" s="12"/>
      <c r="AK30" s="12"/>
      <c r="AL30" s="13"/>
      <c r="AM30" s="11"/>
      <c r="AN30" s="14" t="s">
        <v>161</v>
      </c>
      <c r="AO30" s="12"/>
      <c r="AP30" s="12"/>
      <c r="AQ30" s="12"/>
      <c r="AR30" s="12"/>
      <c r="AS30" s="12"/>
      <c r="AT30" s="12"/>
      <c r="AU30" s="12"/>
      <c r="AV30" s="12"/>
      <c r="AW30" s="12"/>
      <c r="AX30" s="12"/>
      <c r="AY30" s="12"/>
      <c r="AZ30" s="12"/>
      <c r="BA30" s="12"/>
      <c r="BB30" s="12"/>
      <c r="BC30" s="12"/>
      <c r="BD30" s="12"/>
      <c r="BE30" s="13"/>
      <c r="BF30" s="11"/>
      <c r="BG30" s="14" t="s">
        <v>161</v>
      </c>
      <c r="BH30" s="12"/>
      <c r="BI30" s="12"/>
      <c r="BJ30" s="12"/>
      <c r="BK30" s="12"/>
      <c r="BL30" s="12"/>
      <c r="BM30" s="12"/>
      <c r="BN30" s="12"/>
      <c r="BO30" s="12"/>
      <c r="BP30" s="12"/>
      <c r="BQ30" s="12"/>
      <c r="BR30" s="12"/>
      <c r="BS30" s="12"/>
      <c r="BT30" s="12"/>
      <c r="BU30" s="12"/>
      <c r="BV30" s="12"/>
      <c r="BW30" s="12"/>
      <c r="BX30" s="13"/>
      <c r="BY30" s="11"/>
      <c r="BZ30" s="14" t="s">
        <v>161</v>
      </c>
      <c r="CA30" s="12"/>
      <c r="CB30" s="12"/>
      <c r="CC30" s="12"/>
      <c r="CD30" s="12"/>
      <c r="CE30" s="12"/>
      <c r="CF30" s="12"/>
      <c r="CG30" s="12"/>
      <c r="CH30" s="12"/>
      <c r="CI30" s="12"/>
      <c r="CJ30" s="12"/>
      <c r="CK30" s="12"/>
      <c r="CL30" s="12"/>
      <c r="CM30" s="12"/>
      <c r="CN30" s="12"/>
      <c r="CO30" s="12"/>
      <c r="CP30" s="12"/>
      <c r="CQ30" s="13"/>
    </row>
    <row r="31" spans="1:95">
      <c r="A31" s="11"/>
      <c r="B31" s="12"/>
      <c r="C31" s="12"/>
      <c r="D31" s="12"/>
      <c r="E31" s="12"/>
      <c r="F31" s="12"/>
      <c r="G31" s="12"/>
      <c r="H31" s="12"/>
      <c r="I31" s="12"/>
      <c r="J31" s="12"/>
      <c r="K31" s="12"/>
      <c r="L31" s="12"/>
      <c r="M31" s="12"/>
      <c r="N31" s="12"/>
      <c r="O31" s="12"/>
      <c r="P31" s="12"/>
      <c r="Q31" s="12"/>
      <c r="R31" s="12"/>
      <c r="S31" s="13"/>
      <c r="T31" s="11"/>
      <c r="U31" s="12"/>
      <c r="V31" s="12"/>
      <c r="W31" s="12"/>
      <c r="X31" s="12"/>
      <c r="Y31" s="12"/>
      <c r="Z31" s="12"/>
      <c r="AA31" s="12"/>
      <c r="AB31" s="12"/>
      <c r="AC31" s="12"/>
      <c r="AD31" s="12"/>
      <c r="AE31" s="12"/>
      <c r="AF31" s="12"/>
      <c r="AG31" s="12"/>
      <c r="AH31" s="12"/>
      <c r="AI31" s="12"/>
      <c r="AJ31" s="12"/>
      <c r="AK31" s="12"/>
      <c r="AL31" s="13"/>
      <c r="AM31" s="11"/>
      <c r="AN31" s="12"/>
      <c r="AO31" s="12"/>
      <c r="AP31" s="12"/>
      <c r="AQ31" s="12"/>
      <c r="AR31" s="12"/>
      <c r="AS31" s="12"/>
      <c r="AT31" s="12"/>
      <c r="AU31" s="12"/>
      <c r="AV31" s="12"/>
      <c r="AW31" s="12"/>
      <c r="AX31" s="12"/>
      <c r="AY31" s="12"/>
      <c r="AZ31" s="12"/>
      <c r="BA31" s="12"/>
      <c r="BB31" s="12"/>
      <c r="BC31" s="12"/>
      <c r="BD31" s="12"/>
      <c r="BE31" s="13"/>
      <c r="BF31" s="11"/>
      <c r="BG31" s="12"/>
      <c r="BH31" s="12"/>
      <c r="BI31" s="12"/>
      <c r="BJ31" s="12"/>
      <c r="BK31" s="12"/>
      <c r="BL31" s="12"/>
      <c r="BM31" s="12"/>
      <c r="BN31" s="12"/>
      <c r="BO31" s="12"/>
      <c r="BP31" s="12"/>
      <c r="BQ31" s="12"/>
      <c r="BR31" s="12"/>
      <c r="BS31" s="12"/>
      <c r="BT31" s="12"/>
      <c r="BU31" s="12"/>
      <c r="BV31" s="12"/>
      <c r="BW31" s="12"/>
      <c r="BX31" s="13"/>
      <c r="BY31" s="11"/>
      <c r="BZ31" s="12"/>
      <c r="CA31" s="12"/>
      <c r="CB31" s="12"/>
      <c r="CC31" s="12"/>
      <c r="CD31" s="12"/>
      <c r="CE31" s="12"/>
      <c r="CF31" s="12"/>
      <c r="CG31" s="12"/>
      <c r="CH31" s="12"/>
      <c r="CI31" s="12"/>
      <c r="CJ31" s="12"/>
      <c r="CK31" s="12"/>
      <c r="CL31" s="12"/>
      <c r="CM31" s="12"/>
      <c r="CN31" s="12"/>
      <c r="CO31" s="12"/>
      <c r="CP31" s="12"/>
      <c r="CQ31" s="13"/>
    </row>
    <row r="32" spans="1:95">
      <c r="A32" s="11"/>
      <c r="B32" s="12"/>
      <c r="C32" s="12"/>
      <c r="D32" s="12"/>
      <c r="E32" s="12"/>
      <c r="F32" s="12"/>
      <c r="G32" s="14"/>
      <c r="H32" s="12"/>
      <c r="I32" s="12"/>
      <c r="J32" s="12"/>
      <c r="K32" s="12"/>
      <c r="L32" s="12"/>
      <c r="M32" s="12"/>
      <c r="N32" s="12"/>
      <c r="O32" s="12"/>
      <c r="P32" s="12"/>
      <c r="Q32" s="12"/>
      <c r="R32" s="12"/>
      <c r="S32" s="13"/>
      <c r="T32" s="11"/>
      <c r="U32" s="12"/>
      <c r="V32" s="12"/>
      <c r="W32" s="12"/>
      <c r="X32" s="12"/>
      <c r="Y32" s="12"/>
      <c r="Z32" s="14"/>
      <c r="AA32" s="12"/>
      <c r="AB32" s="12"/>
      <c r="AC32" s="12"/>
      <c r="AD32" s="12"/>
      <c r="AE32" s="12"/>
      <c r="AF32" s="12"/>
      <c r="AG32" s="12"/>
      <c r="AH32" s="12"/>
      <c r="AI32" s="12"/>
      <c r="AJ32" s="12"/>
      <c r="AK32" s="12"/>
      <c r="AL32" s="13"/>
      <c r="AM32" s="11"/>
      <c r="AN32" s="12"/>
      <c r="AO32" s="12"/>
      <c r="AP32" s="12"/>
      <c r="AQ32" s="12"/>
      <c r="AR32" s="12"/>
      <c r="AS32" s="14"/>
      <c r="AT32" s="12"/>
      <c r="AU32" s="12"/>
      <c r="AV32" s="12"/>
      <c r="AW32" s="12"/>
      <c r="AX32" s="12"/>
      <c r="AY32" s="12"/>
      <c r="AZ32" s="12"/>
      <c r="BA32" s="12"/>
      <c r="BB32" s="12"/>
      <c r="BC32" s="12"/>
      <c r="BD32" s="12"/>
      <c r="BE32" s="13"/>
      <c r="BF32" s="11"/>
      <c r="BG32" s="12"/>
      <c r="BH32" s="12"/>
      <c r="BI32" s="12"/>
      <c r="BJ32" s="12"/>
      <c r="BK32" s="12"/>
      <c r="BL32" s="14"/>
      <c r="BM32" s="12"/>
      <c r="BN32" s="12"/>
      <c r="BO32" s="12"/>
      <c r="BP32" s="12"/>
      <c r="BQ32" s="12"/>
      <c r="BR32" s="12"/>
      <c r="BS32" s="12"/>
      <c r="BT32" s="12"/>
      <c r="BU32" s="12"/>
      <c r="BV32" s="12"/>
      <c r="BW32" s="12"/>
      <c r="BX32" s="13"/>
      <c r="BY32" s="11"/>
      <c r="BZ32" s="12"/>
      <c r="CA32" s="12"/>
      <c r="CB32" s="12"/>
      <c r="CC32" s="12"/>
      <c r="CD32" s="12"/>
      <c r="CE32" s="14"/>
      <c r="CF32" s="12"/>
      <c r="CG32" s="12"/>
      <c r="CH32" s="12"/>
      <c r="CI32" s="12"/>
      <c r="CJ32" s="12"/>
      <c r="CK32" s="12"/>
      <c r="CL32" s="12"/>
      <c r="CM32" s="12"/>
      <c r="CN32" s="12"/>
      <c r="CO32" s="12"/>
      <c r="CP32" s="12"/>
      <c r="CQ32" s="13"/>
    </row>
    <row r="33" spans="1:95">
      <c r="A33" s="11"/>
      <c r="B33" s="12"/>
      <c r="C33" s="12"/>
      <c r="D33" s="14"/>
      <c r="E33" s="12"/>
      <c r="F33" s="12"/>
      <c r="G33" s="12"/>
      <c r="H33" s="12"/>
      <c r="I33" s="12"/>
      <c r="J33" s="12"/>
      <c r="K33" s="12"/>
      <c r="L33" s="12"/>
      <c r="M33" s="12"/>
      <c r="N33" s="12"/>
      <c r="O33" s="12"/>
      <c r="P33" s="12"/>
      <c r="Q33" s="12"/>
      <c r="R33" s="12"/>
      <c r="S33" s="13"/>
      <c r="T33" s="11"/>
      <c r="U33" s="12"/>
      <c r="V33" s="12"/>
      <c r="W33" s="14"/>
      <c r="X33" s="12"/>
      <c r="Y33" s="12"/>
      <c r="Z33" s="12"/>
      <c r="AA33" s="12"/>
      <c r="AB33" s="12"/>
      <c r="AC33" s="12"/>
      <c r="AD33" s="12"/>
      <c r="AE33" s="12"/>
      <c r="AF33" s="12"/>
      <c r="AG33" s="12"/>
      <c r="AH33" s="12"/>
      <c r="AI33" s="12"/>
      <c r="AJ33" s="12"/>
      <c r="AK33" s="12"/>
      <c r="AL33" s="13"/>
      <c r="AM33" s="11"/>
      <c r="AN33" s="12"/>
      <c r="AO33" s="12"/>
      <c r="AP33" s="14"/>
      <c r="AQ33" s="12"/>
      <c r="AR33" s="12"/>
      <c r="AS33" s="12"/>
      <c r="AT33" s="12"/>
      <c r="AU33" s="12"/>
      <c r="AV33" s="12"/>
      <c r="AW33" s="12"/>
      <c r="AX33" s="12"/>
      <c r="AY33" s="12"/>
      <c r="AZ33" s="12"/>
      <c r="BA33" s="12"/>
      <c r="BB33" s="12"/>
      <c r="BC33" s="12"/>
      <c r="BD33" s="12"/>
      <c r="BE33" s="13"/>
      <c r="BF33" s="11"/>
      <c r="BG33" s="12"/>
      <c r="BH33" s="12"/>
      <c r="BI33" s="14"/>
      <c r="BJ33" s="12"/>
      <c r="BK33" s="12"/>
      <c r="BL33" s="12"/>
      <c r="BM33" s="12"/>
      <c r="BN33" s="12"/>
      <c r="BO33" s="12"/>
      <c r="BP33" s="12"/>
      <c r="BQ33" s="12"/>
      <c r="BR33" s="12"/>
      <c r="BS33" s="12"/>
      <c r="BT33" s="12"/>
      <c r="BU33" s="12"/>
      <c r="BV33" s="12"/>
      <c r="BW33" s="12"/>
      <c r="BX33" s="13"/>
      <c r="BY33" s="11"/>
      <c r="BZ33" s="12"/>
      <c r="CA33" s="12"/>
      <c r="CB33" s="12"/>
      <c r="CC33" s="12"/>
      <c r="CD33" s="12"/>
      <c r="CE33" s="12"/>
      <c r="CF33" s="12"/>
      <c r="CG33" s="12"/>
      <c r="CH33" s="12"/>
      <c r="CI33" s="12"/>
      <c r="CJ33" s="12"/>
      <c r="CK33" s="12"/>
      <c r="CL33" s="12"/>
      <c r="CM33" s="12"/>
      <c r="CN33" s="12"/>
      <c r="CO33" s="12"/>
      <c r="CP33" s="12"/>
      <c r="CQ33" s="13"/>
    </row>
    <row r="34" spans="1:95">
      <c r="A34" s="11"/>
      <c r="B34" s="12"/>
      <c r="C34" s="12"/>
      <c r="D34" s="12"/>
      <c r="E34" s="12"/>
      <c r="F34" s="12"/>
      <c r="G34" s="14"/>
      <c r="H34" s="14"/>
      <c r="I34" s="12"/>
      <c r="J34" s="12"/>
      <c r="K34" s="12"/>
      <c r="L34" s="12"/>
      <c r="M34" s="12"/>
      <c r="N34" s="12"/>
      <c r="O34" s="12"/>
      <c r="P34" s="12"/>
      <c r="Q34" s="12"/>
      <c r="R34" s="12"/>
      <c r="S34" s="13"/>
      <c r="T34" s="11"/>
      <c r="U34" s="12"/>
      <c r="V34" s="12"/>
      <c r="W34" s="12"/>
      <c r="X34" s="12"/>
      <c r="Y34" s="12"/>
      <c r="Z34" s="14"/>
      <c r="AA34" s="14"/>
      <c r="AB34" s="12"/>
      <c r="AC34" s="12"/>
      <c r="AD34" s="12"/>
      <c r="AE34" s="12"/>
      <c r="AF34" s="12"/>
      <c r="AG34" s="12"/>
      <c r="AH34" s="12"/>
      <c r="AI34" s="12"/>
      <c r="AJ34" s="12"/>
      <c r="AK34" s="12"/>
      <c r="AL34" s="13"/>
      <c r="AM34" s="11"/>
      <c r="AN34" s="12"/>
      <c r="AO34" s="12"/>
      <c r="AP34" s="12"/>
      <c r="AQ34" s="12"/>
      <c r="AR34" s="12"/>
      <c r="AS34" s="14"/>
      <c r="AT34" s="14"/>
      <c r="AU34" s="12"/>
      <c r="AV34" s="12"/>
      <c r="AW34" s="12"/>
      <c r="AX34" s="12"/>
      <c r="AY34" s="12"/>
      <c r="AZ34" s="12"/>
      <c r="BA34" s="12"/>
      <c r="BB34" s="12"/>
      <c r="BC34" s="12"/>
      <c r="BD34" s="12"/>
      <c r="BE34" s="13"/>
      <c r="BF34" s="11"/>
      <c r="BG34" s="12"/>
      <c r="BH34" s="12"/>
      <c r="BI34" s="12"/>
      <c r="BJ34" s="12"/>
      <c r="BK34" s="12"/>
      <c r="BL34" s="14"/>
      <c r="BM34" s="14"/>
      <c r="BN34" s="12"/>
      <c r="BO34" s="12"/>
      <c r="BP34" s="12"/>
      <c r="BQ34" s="12"/>
      <c r="BR34" s="12"/>
      <c r="BS34" s="12"/>
      <c r="BT34" s="12"/>
      <c r="BU34" s="12"/>
      <c r="BV34" s="12"/>
      <c r="BW34" s="12"/>
      <c r="BX34" s="13"/>
      <c r="BY34" s="11"/>
      <c r="BZ34" s="12"/>
      <c r="CA34" s="12"/>
      <c r="CB34" s="12"/>
      <c r="CC34" s="12"/>
      <c r="CD34" s="12"/>
      <c r="CE34" s="14"/>
      <c r="CF34" s="12"/>
      <c r="CG34" s="12"/>
      <c r="CH34" s="12"/>
      <c r="CI34" s="12"/>
      <c r="CJ34" s="12"/>
      <c r="CK34" s="12"/>
      <c r="CL34" s="12"/>
      <c r="CM34" s="12"/>
      <c r="CN34" s="12"/>
      <c r="CO34" s="12"/>
      <c r="CP34" s="12"/>
      <c r="CQ34" s="13"/>
    </row>
    <row r="35" spans="1:95">
      <c r="A35" s="11"/>
      <c r="B35" s="12"/>
      <c r="C35" s="12"/>
      <c r="D35" s="12"/>
      <c r="E35" s="12"/>
      <c r="F35" s="12"/>
      <c r="G35" s="12"/>
      <c r="H35" s="12"/>
      <c r="I35" s="12"/>
      <c r="J35" s="12"/>
      <c r="K35" s="12"/>
      <c r="L35" s="12"/>
      <c r="M35" s="12"/>
      <c r="N35" s="12"/>
      <c r="O35" s="12"/>
      <c r="P35" s="12"/>
      <c r="Q35" s="12"/>
      <c r="R35" s="12"/>
      <c r="S35" s="13"/>
      <c r="T35" s="11"/>
      <c r="U35" s="12"/>
      <c r="V35" s="12"/>
      <c r="W35" s="12"/>
      <c r="X35" s="12"/>
      <c r="Y35" s="12"/>
      <c r="Z35" s="12"/>
      <c r="AA35" s="12"/>
      <c r="AB35" s="12"/>
      <c r="AC35" s="12"/>
      <c r="AD35" s="12"/>
      <c r="AE35" s="12"/>
      <c r="AF35" s="12"/>
      <c r="AG35" s="12"/>
      <c r="AH35" s="12"/>
      <c r="AI35" s="12"/>
      <c r="AJ35" s="12"/>
      <c r="AK35" s="12"/>
      <c r="AL35" s="13"/>
      <c r="AM35" s="11"/>
      <c r="AN35" s="12"/>
      <c r="AO35" s="12"/>
      <c r="AP35" s="12"/>
      <c r="AQ35" s="12"/>
      <c r="AR35" s="12"/>
      <c r="AS35" s="12"/>
      <c r="AT35" s="12"/>
      <c r="AU35" s="12"/>
      <c r="AV35" s="12"/>
      <c r="AW35" s="12"/>
      <c r="AX35" s="12"/>
      <c r="AY35" s="12"/>
      <c r="AZ35" s="12"/>
      <c r="BA35" s="12"/>
      <c r="BB35" s="12"/>
      <c r="BC35" s="12"/>
      <c r="BD35" s="12"/>
      <c r="BE35" s="13"/>
      <c r="BF35" s="11"/>
      <c r="BG35" s="12"/>
      <c r="BH35" s="12"/>
      <c r="BI35" s="12"/>
      <c r="BJ35" s="12"/>
      <c r="BK35" s="12"/>
      <c r="BL35" s="12"/>
      <c r="BM35" s="12"/>
      <c r="BN35" s="12"/>
      <c r="BO35" s="12"/>
      <c r="BP35" s="12"/>
      <c r="BQ35" s="12"/>
      <c r="BR35" s="12"/>
      <c r="BS35" s="12"/>
      <c r="BT35" s="12"/>
      <c r="BU35" s="12"/>
      <c r="BV35" s="12"/>
      <c r="BW35" s="12"/>
      <c r="BX35" s="13"/>
      <c r="BY35" s="11"/>
      <c r="BZ35" s="12"/>
      <c r="CA35" s="12"/>
      <c r="CB35" s="12"/>
      <c r="CC35" s="12"/>
      <c r="CD35" s="12"/>
      <c r="CE35" s="12"/>
      <c r="CF35" s="12"/>
      <c r="CG35" s="12"/>
      <c r="CH35" s="12"/>
      <c r="CI35" s="12"/>
      <c r="CJ35" s="12"/>
      <c r="CK35" s="12"/>
      <c r="CL35" s="12"/>
      <c r="CM35" s="12"/>
      <c r="CN35" s="12"/>
      <c r="CO35" s="12"/>
      <c r="CP35" s="12"/>
      <c r="CQ35" s="13"/>
    </row>
    <row r="36" spans="1:95">
      <c r="A36" s="11"/>
      <c r="B36" s="12"/>
      <c r="C36" s="12"/>
      <c r="D36" s="12"/>
      <c r="E36" s="12"/>
      <c r="F36" s="12"/>
      <c r="G36" s="12"/>
      <c r="H36" s="12"/>
      <c r="I36" s="12"/>
      <c r="J36" s="12"/>
      <c r="K36" s="12"/>
      <c r="L36" s="12"/>
      <c r="M36" s="12"/>
      <c r="N36" s="12"/>
      <c r="O36" s="12"/>
      <c r="P36" s="12"/>
      <c r="Q36" s="12"/>
      <c r="R36" s="12"/>
      <c r="S36" s="13"/>
      <c r="T36" s="11"/>
      <c r="U36" s="12"/>
      <c r="V36" s="12"/>
      <c r="W36" s="12"/>
      <c r="X36" s="12"/>
      <c r="Y36" s="12"/>
      <c r="Z36" s="12"/>
      <c r="AA36" s="12"/>
      <c r="AB36" s="12"/>
      <c r="AC36" s="12"/>
      <c r="AD36" s="12"/>
      <c r="AE36" s="12"/>
      <c r="AF36" s="12"/>
      <c r="AG36" s="12"/>
      <c r="AH36" s="12"/>
      <c r="AI36" s="12"/>
      <c r="AJ36" s="12"/>
      <c r="AK36" s="12"/>
      <c r="AL36" s="13"/>
      <c r="AM36" s="11"/>
      <c r="AN36" s="12"/>
      <c r="AO36" s="12"/>
      <c r="AP36" s="12"/>
      <c r="AQ36" s="12"/>
      <c r="AR36" s="12"/>
      <c r="AS36" s="12"/>
      <c r="AT36" s="12"/>
      <c r="AU36" s="12"/>
      <c r="AV36" s="12"/>
      <c r="AW36" s="12"/>
      <c r="AX36" s="12"/>
      <c r="AY36" s="12"/>
      <c r="AZ36" s="12"/>
      <c r="BA36" s="12"/>
      <c r="BB36" s="12"/>
      <c r="BC36" s="12"/>
      <c r="BD36" s="12"/>
      <c r="BE36" s="13"/>
      <c r="BF36" s="11"/>
      <c r="BG36" s="12"/>
      <c r="BH36" s="12"/>
      <c r="BI36" s="12"/>
      <c r="BJ36" s="12"/>
      <c r="BK36" s="12"/>
      <c r="BL36" s="12"/>
      <c r="BM36" s="12"/>
      <c r="BN36" s="12"/>
      <c r="BO36" s="12"/>
      <c r="BP36" s="12"/>
      <c r="BQ36" s="12"/>
      <c r="BR36" s="12"/>
      <c r="BS36" s="12"/>
      <c r="BT36" s="12"/>
      <c r="BU36" s="12"/>
      <c r="BV36" s="12"/>
      <c r="BW36" s="12"/>
      <c r="BX36" s="13"/>
      <c r="BY36" s="11"/>
      <c r="BZ36" s="12"/>
      <c r="CA36" s="12"/>
      <c r="CB36" s="12"/>
      <c r="CC36" s="12"/>
      <c r="CD36" s="12"/>
      <c r="CE36" s="12"/>
      <c r="CF36" s="12"/>
      <c r="CG36" s="12"/>
      <c r="CH36" s="12"/>
      <c r="CI36" s="12"/>
      <c r="CJ36" s="12"/>
      <c r="CK36" s="12"/>
      <c r="CL36" s="12"/>
      <c r="CM36" s="12"/>
      <c r="CN36" s="12"/>
      <c r="CO36" s="12"/>
      <c r="CP36" s="12"/>
      <c r="CQ36" s="13"/>
    </row>
    <row r="37" spans="1:95">
      <c r="A37" s="11"/>
      <c r="B37" s="12"/>
      <c r="C37" s="12"/>
      <c r="D37" s="12"/>
      <c r="E37" s="12"/>
      <c r="F37" s="12"/>
      <c r="G37" s="12"/>
      <c r="H37" s="12"/>
      <c r="I37" s="12"/>
      <c r="J37" s="12"/>
      <c r="K37" s="12"/>
      <c r="L37" s="12"/>
      <c r="M37" s="12"/>
      <c r="N37" s="12"/>
      <c r="O37" s="12"/>
      <c r="P37" s="12"/>
      <c r="Q37" s="12"/>
      <c r="R37" s="12"/>
      <c r="S37" s="13"/>
      <c r="T37" s="11"/>
      <c r="U37" s="12"/>
      <c r="V37" s="12"/>
      <c r="W37" s="12"/>
      <c r="X37" s="12"/>
      <c r="Y37" s="12"/>
      <c r="Z37" s="12"/>
      <c r="AA37" s="12"/>
      <c r="AB37" s="12"/>
      <c r="AC37" s="12"/>
      <c r="AD37" s="12"/>
      <c r="AE37" s="12"/>
      <c r="AF37" s="12"/>
      <c r="AG37" s="12"/>
      <c r="AH37" s="12"/>
      <c r="AI37" s="12"/>
      <c r="AJ37" s="12"/>
      <c r="AK37" s="12"/>
      <c r="AL37" s="13"/>
      <c r="AM37" s="11"/>
      <c r="AN37" s="12"/>
      <c r="AO37" s="12"/>
      <c r="AP37" s="12"/>
      <c r="AQ37" s="12"/>
      <c r="AR37" s="12"/>
      <c r="AS37" s="12"/>
      <c r="AT37" s="12"/>
      <c r="AU37" s="12"/>
      <c r="AV37" s="12"/>
      <c r="AW37" s="12"/>
      <c r="AX37" s="12"/>
      <c r="AY37" s="12"/>
      <c r="AZ37" s="12"/>
      <c r="BA37" s="12"/>
      <c r="BB37" s="12"/>
      <c r="BC37" s="12"/>
      <c r="BD37" s="12"/>
      <c r="BE37" s="13"/>
      <c r="BF37" s="11"/>
      <c r="BG37" s="12"/>
      <c r="BH37" s="12"/>
      <c r="BI37" s="12"/>
      <c r="BJ37" s="12"/>
      <c r="BK37" s="12"/>
      <c r="BL37" s="12"/>
      <c r="BM37" s="12"/>
      <c r="BN37" s="12"/>
      <c r="BO37" s="12"/>
      <c r="BP37" s="12"/>
      <c r="BQ37" s="12"/>
      <c r="BR37" s="12"/>
      <c r="BS37" s="12"/>
      <c r="BT37" s="12"/>
      <c r="BU37" s="12"/>
      <c r="BV37" s="12"/>
      <c r="BW37" s="12"/>
      <c r="BX37" s="13"/>
      <c r="BY37" s="11"/>
      <c r="BZ37" s="12"/>
      <c r="CA37" s="12"/>
      <c r="CB37" s="12"/>
      <c r="CC37" s="12"/>
      <c r="CD37" s="12"/>
      <c r="CE37" s="12"/>
      <c r="CF37" s="12"/>
      <c r="CG37" s="12"/>
      <c r="CH37" s="12"/>
      <c r="CI37" s="12"/>
      <c r="CJ37" s="12"/>
      <c r="CK37" s="12"/>
      <c r="CL37" s="12"/>
      <c r="CM37" s="12"/>
      <c r="CN37" s="12"/>
      <c r="CO37" s="12"/>
      <c r="CP37" s="12"/>
      <c r="CQ37" s="13"/>
    </row>
    <row r="38" spans="1:95">
      <c r="A38" s="11"/>
      <c r="B38" s="12"/>
      <c r="C38" s="12"/>
      <c r="D38" s="12"/>
      <c r="E38" s="12"/>
      <c r="F38" s="12"/>
      <c r="G38" s="12"/>
      <c r="H38" s="12"/>
      <c r="I38" s="12"/>
      <c r="J38" s="12"/>
      <c r="K38" s="12"/>
      <c r="L38" s="12"/>
      <c r="M38" s="12"/>
      <c r="N38" s="12"/>
      <c r="O38" s="12"/>
      <c r="P38" s="12"/>
      <c r="Q38" s="12"/>
      <c r="R38" s="12"/>
      <c r="S38" s="13"/>
      <c r="T38" s="11"/>
      <c r="U38" s="12"/>
      <c r="V38" s="12"/>
      <c r="W38" s="12"/>
      <c r="X38" s="12"/>
      <c r="Y38" s="12"/>
      <c r="Z38" s="12"/>
      <c r="AA38" s="12"/>
      <c r="AB38" s="12"/>
      <c r="AC38" s="12"/>
      <c r="AD38" s="12"/>
      <c r="AE38" s="12"/>
      <c r="AF38" s="12"/>
      <c r="AG38" s="12"/>
      <c r="AH38" s="12"/>
      <c r="AI38" s="12"/>
      <c r="AJ38" s="12"/>
      <c r="AK38" s="12"/>
      <c r="AL38" s="13"/>
      <c r="AM38" s="11"/>
      <c r="AN38" s="12"/>
      <c r="AO38" s="12"/>
      <c r="AP38" s="12"/>
      <c r="AQ38" s="12"/>
      <c r="AR38" s="12"/>
      <c r="AS38" s="12"/>
      <c r="AT38" s="12"/>
      <c r="AU38" s="12"/>
      <c r="AV38" s="12"/>
      <c r="AW38" s="12"/>
      <c r="AX38" s="12"/>
      <c r="AY38" s="12"/>
      <c r="AZ38" s="12"/>
      <c r="BA38" s="12"/>
      <c r="BB38" s="12"/>
      <c r="BC38" s="12"/>
      <c r="BD38" s="12"/>
      <c r="BE38" s="13"/>
      <c r="BF38" s="11"/>
      <c r="BG38" s="12"/>
      <c r="BH38" s="12"/>
      <c r="BI38" s="12"/>
      <c r="BJ38" s="12"/>
      <c r="BK38" s="12"/>
      <c r="BL38" s="12"/>
      <c r="BM38" s="12"/>
      <c r="BN38" s="12"/>
      <c r="BO38" s="12"/>
      <c r="BP38" s="12"/>
      <c r="BQ38" s="12"/>
      <c r="BR38" s="12"/>
      <c r="BS38" s="12"/>
      <c r="BT38" s="12"/>
      <c r="BU38" s="12"/>
      <c r="BV38" s="12"/>
      <c r="BW38" s="12"/>
      <c r="BX38" s="13"/>
      <c r="BY38" s="11"/>
      <c r="BZ38" s="12"/>
      <c r="CA38" s="12"/>
      <c r="CB38" s="12"/>
      <c r="CC38" s="12"/>
      <c r="CD38" s="12"/>
      <c r="CE38" s="12"/>
      <c r="CF38" s="12"/>
      <c r="CG38" s="12"/>
      <c r="CH38" s="12"/>
      <c r="CI38" s="12"/>
      <c r="CJ38" s="12"/>
      <c r="CK38" s="12"/>
      <c r="CL38" s="12"/>
      <c r="CM38" s="12"/>
      <c r="CN38" s="12"/>
      <c r="CO38" s="12"/>
      <c r="CP38" s="12"/>
      <c r="CQ38" s="13"/>
    </row>
    <row r="39" spans="1:95">
      <c r="A39" s="11"/>
      <c r="B39" s="12"/>
      <c r="C39" s="12"/>
      <c r="D39" s="12"/>
      <c r="E39" s="12"/>
      <c r="F39" s="12"/>
      <c r="G39" s="12"/>
      <c r="H39" s="12"/>
      <c r="I39" s="12"/>
      <c r="J39" s="12"/>
      <c r="K39" s="12"/>
      <c r="L39" s="12"/>
      <c r="M39" s="12"/>
      <c r="N39" s="12"/>
      <c r="O39" s="12"/>
      <c r="P39" s="12"/>
      <c r="Q39" s="12"/>
      <c r="R39" s="12"/>
      <c r="S39" s="13"/>
      <c r="T39" s="11"/>
      <c r="U39" s="12"/>
      <c r="V39" s="12"/>
      <c r="W39" s="12"/>
      <c r="X39" s="12"/>
      <c r="Y39" s="12"/>
      <c r="Z39" s="12"/>
      <c r="AA39" s="12"/>
      <c r="AB39" s="12"/>
      <c r="AC39" s="12"/>
      <c r="AD39" s="12"/>
      <c r="AE39" s="12"/>
      <c r="AF39" s="12"/>
      <c r="AG39" s="12"/>
      <c r="AH39" s="12"/>
      <c r="AI39" s="12"/>
      <c r="AJ39" s="12"/>
      <c r="AK39" s="12"/>
      <c r="AL39" s="13"/>
      <c r="AM39" s="11"/>
      <c r="AN39" s="12"/>
      <c r="AO39" s="12"/>
      <c r="AP39" s="12"/>
      <c r="AQ39" s="12"/>
      <c r="AR39" s="12"/>
      <c r="AS39" s="12"/>
      <c r="AT39" s="12"/>
      <c r="AU39" s="12"/>
      <c r="AV39" s="12"/>
      <c r="AW39" s="12"/>
      <c r="AX39" s="12"/>
      <c r="AY39" s="12"/>
      <c r="AZ39" s="12"/>
      <c r="BA39" s="12"/>
      <c r="BB39" s="12"/>
      <c r="BC39" s="12"/>
      <c r="BD39" s="12"/>
      <c r="BE39" s="13"/>
      <c r="BF39" s="11"/>
      <c r="BG39" s="12"/>
      <c r="BH39" s="12"/>
      <c r="BI39" s="12"/>
      <c r="BJ39" s="12"/>
      <c r="BK39" s="12"/>
      <c r="BL39" s="12"/>
      <c r="BM39" s="12"/>
      <c r="BN39" s="12"/>
      <c r="BO39" s="12"/>
      <c r="BP39" s="12"/>
      <c r="BQ39" s="12"/>
      <c r="BR39" s="12"/>
      <c r="BS39" s="12"/>
      <c r="BT39" s="12"/>
      <c r="BU39" s="12"/>
      <c r="BV39" s="12"/>
      <c r="BW39" s="12"/>
      <c r="BX39" s="13"/>
      <c r="BY39" s="11"/>
      <c r="BZ39" s="12"/>
      <c r="CA39" s="12"/>
      <c r="CB39" s="12"/>
      <c r="CC39" s="12"/>
      <c r="CD39" s="12"/>
      <c r="CE39" s="12"/>
      <c r="CF39" s="12"/>
      <c r="CG39" s="12"/>
      <c r="CH39" s="12"/>
      <c r="CI39" s="12"/>
      <c r="CJ39" s="12"/>
      <c r="CK39" s="12"/>
      <c r="CL39" s="12"/>
      <c r="CM39" s="12"/>
      <c r="CN39" s="12"/>
      <c r="CO39" s="12"/>
      <c r="CP39" s="12"/>
      <c r="CQ39" s="13"/>
    </row>
    <row r="40" spans="1:95">
      <c r="A40" s="11"/>
      <c r="B40" s="12"/>
      <c r="C40" s="12"/>
      <c r="D40" s="12"/>
      <c r="E40" s="12"/>
      <c r="F40" s="12"/>
      <c r="G40" s="12"/>
      <c r="H40" s="12"/>
      <c r="I40" s="12"/>
      <c r="J40" s="12"/>
      <c r="K40" s="12"/>
      <c r="L40" s="12"/>
      <c r="M40" s="12"/>
      <c r="N40" s="12"/>
      <c r="O40" s="12"/>
      <c r="P40" s="12"/>
      <c r="Q40" s="12"/>
      <c r="R40" s="12"/>
      <c r="S40" s="13"/>
      <c r="T40" s="11"/>
      <c r="U40" s="12"/>
      <c r="V40" s="12"/>
      <c r="W40" s="12"/>
      <c r="X40" s="12"/>
      <c r="Y40" s="12"/>
      <c r="Z40" s="12"/>
      <c r="AA40" s="12"/>
      <c r="AB40" s="12"/>
      <c r="AC40" s="12"/>
      <c r="AD40" s="12"/>
      <c r="AE40" s="12"/>
      <c r="AF40" s="12"/>
      <c r="AG40" s="12"/>
      <c r="AH40" s="12"/>
      <c r="AI40" s="12"/>
      <c r="AJ40" s="12"/>
      <c r="AK40" s="12"/>
      <c r="AL40" s="13"/>
      <c r="AM40" s="11"/>
      <c r="AN40" s="12"/>
      <c r="AO40" s="12"/>
      <c r="AP40" s="12"/>
      <c r="AQ40" s="12"/>
      <c r="AR40" s="12"/>
      <c r="AS40" s="12"/>
      <c r="AT40" s="12"/>
      <c r="AU40" s="12"/>
      <c r="AV40" s="12"/>
      <c r="AW40" s="12"/>
      <c r="AX40" s="12"/>
      <c r="AY40" s="12"/>
      <c r="AZ40" s="12"/>
      <c r="BA40" s="12"/>
      <c r="BB40" s="12"/>
      <c r="BC40" s="12"/>
      <c r="BD40" s="12"/>
      <c r="BE40" s="13"/>
      <c r="BF40" s="11"/>
      <c r="BG40" s="12"/>
      <c r="BH40" s="12"/>
      <c r="BI40" s="12"/>
      <c r="BJ40" s="12"/>
      <c r="BK40" s="12"/>
      <c r="BL40" s="12"/>
      <c r="BM40" s="12"/>
      <c r="BN40" s="12"/>
      <c r="BO40" s="12"/>
      <c r="BP40" s="12"/>
      <c r="BQ40" s="12"/>
      <c r="BR40" s="12"/>
      <c r="BS40" s="12"/>
      <c r="BT40" s="12"/>
      <c r="BU40" s="12"/>
      <c r="BV40" s="12"/>
      <c r="BW40" s="12"/>
      <c r="BX40" s="13"/>
      <c r="BY40" s="11"/>
      <c r="BZ40" s="12"/>
      <c r="CA40" s="12"/>
      <c r="CB40" s="12"/>
      <c r="CC40" s="12"/>
      <c r="CD40" s="12"/>
      <c r="CE40" s="12"/>
      <c r="CF40" s="12"/>
      <c r="CG40" s="12"/>
      <c r="CH40" s="12"/>
      <c r="CI40" s="12"/>
      <c r="CJ40" s="12"/>
      <c r="CK40" s="12"/>
      <c r="CL40" s="12"/>
      <c r="CM40" s="12"/>
      <c r="CN40" s="12"/>
      <c r="CO40" s="12"/>
      <c r="CP40" s="12"/>
      <c r="CQ40" s="13"/>
    </row>
    <row r="41" spans="1:95">
      <c r="A41" s="11"/>
      <c r="B41" s="12"/>
      <c r="C41" s="12"/>
      <c r="D41" s="12"/>
      <c r="E41" s="12"/>
      <c r="F41" s="12"/>
      <c r="G41" s="12"/>
      <c r="H41" s="12"/>
      <c r="I41" s="12"/>
      <c r="J41" s="12"/>
      <c r="K41" s="12"/>
      <c r="L41" s="12"/>
      <c r="M41" s="12"/>
      <c r="N41" s="12"/>
      <c r="O41" s="12"/>
      <c r="P41" s="12"/>
      <c r="Q41" s="12"/>
      <c r="R41" s="12"/>
      <c r="S41" s="13"/>
      <c r="T41" s="11"/>
      <c r="U41" s="12"/>
      <c r="V41" s="12"/>
      <c r="W41" s="12"/>
      <c r="X41" s="12"/>
      <c r="Y41" s="12"/>
      <c r="Z41" s="12"/>
      <c r="AA41" s="12"/>
      <c r="AB41" s="12"/>
      <c r="AC41" s="12"/>
      <c r="AD41" s="12"/>
      <c r="AE41" s="12"/>
      <c r="AF41" s="12"/>
      <c r="AG41" s="12"/>
      <c r="AH41" s="12"/>
      <c r="AI41" s="12"/>
      <c r="AJ41" s="12"/>
      <c r="AK41" s="12"/>
      <c r="AL41" s="13"/>
      <c r="AM41" s="11"/>
      <c r="AN41" s="12"/>
      <c r="AO41" s="12"/>
      <c r="AP41" s="12"/>
      <c r="AQ41" s="12"/>
      <c r="AR41" s="12"/>
      <c r="AS41" s="12"/>
      <c r="AT41" s="12"/>
      <c r="AU41" s="12"/>
      <c r="AV41" s="12"/>
      <c r="AW41" s="12"/>
      <c r="AX41" s="12"/>
      <c r="AY41" s="12"/>
      <c r="AZ41" s="12"/>
      <c r="BA41" s="12"/>
      <c r="BB41" s="12"/>
      <c r="BC41" s="12"/>
      <c r="BD41" s="12"/>
      <c r="BE41" s="13"/>
      <c r="BF41" s="11"/>
      <c r="BG41" s="12"/>
      <c r="BH41" s="12"/>
      <c r="BI41" s="12"/>
      <c r="BJ41" s="12"/>
      <c r="BK41" s="12"/>
      <c r="BL41" s="12"/>
      <c r="BM41" s="12"/>
      <c r="BN41" s="12"/>
      <c r="BO41" s="12"/>
      <c r="BP41" s="12"/>
      <c r="BQ41" s="12"/>
      <c r="BR41" s="12"/>
      <c r="BS41" s="12"/>
      <c r="BT41" s="12"/>
      <c r="BU41" s="12"/>
      <c r="BV41" s="12"/>
      <c r="BW41" s="12"/>
      <c r="BX41" s="13"/>
      <c r="BY41" s="11"/>
      <c r="BZ41" s="12"/>
      <c r="CA41" s="12"/>
      <c r="CB41" s="12"/>
      <c r="CC41" s="12"/>
      <c r="CD41" s="12"/>
      <c r="CE41" s="12"/>
      <c r="CF41" s="12"/>
      <c r="CG41" s="12"/>
      <c r="CH41" s="12"/>
      <c r="CI41" s="12"/>
      <c r="CJ41" s="12"/>
      <c r="CK41" s="12"/>
      <c r="CL41" s="12"/>
      <c r="CM41" s="12"/>
      <c r="CN41" s="12"/>
      <c r="CO41" s="12"/>
      <c r="CP41" s="12"/>
      <c r="CQ41" s="13"/>
    </row>
    <row r="42" spans="1:95">
      <c r="A42" s="16"/>
      <c r="B42" s="15"/>
      <c r="C42" s="15"/>
      <c r="D42" s="15"/>
      <c r="E42" s="15"/>
      <c r="F42" s="15"/>
      <c r="G42" s="15"/>
      <c r="H42" s="15"/>
      <c r="I42" s="15"/>
      <c r="J42" s="15"/>
      <c r="K42" s="15"/>
      <c r="L42" s="15"/>
      <c r="M42" s="15"/>
      <c r="N42" s="15"/>
      <c r="O42" s="15"/>
      <c r="P42" s="15"/>
      <c r="Q42" s="15"/>
      <c r="R42" s="15"/>
      <c r="S42" s="17"/>
      <c r="T42" s="16"/>
      <c r="U42" s="15"/>
      <c r="V42" s="15"/>
      <c r="W42" s="15"/>
      <c r="X42" s="15"/>
      <c r="Y42" s="15"/>
      <c r="Z42" s="15"/>
      <c r="AA42" s="15"/>
      <c r="AB42" s="15"/>
      <c r="AC42" s="15"/>
      <c r="AD42" s="15"/>
      <c r="AE42" s="15"/>
      <c r="AF42" s="15"/>
      <c r="AG42" s="15"/>
      <c r="AH42" s="15"/>
      <c r="AI42" s="15"/>
      <c r="AJ42" s="15"/>
      <c r="AK42" s="15"/>
      <c r="AL42" s="17"/>
      <c r="AM42" s="16"/>
      <c r="AN42" s="15"/>
      <c r="AO42" s="15"/>
      <c r="AP42" s="15"/>
      <c r="AQ42" s="15"/>
      <c r="AR42" s="15"/>
      <c r="AS42" s="15"/>
      <c r="AT42" s="15"/>
      <c r="AU42" s="15"/>
      <c r="AV42" s="15"/>
      <c r="AW42" s="15"/>
      <c r="AX42" s="15"/>
      <c r="AY42" s="15"/>
      <c r="AZ42" s="15"/>
      <c r="BA42" s="15"/>
      <c r="BB42" s="15"/>
      <c r="BC42" s="15"/>
      <c r="BD42" s="15"/>
      <c r="BE42" s="17"/>
      <c r="BF42" s="16"/>
      <c r="BG42" s="15"/>
      <c r="BH42" s="15"/>
      <c r="BI42" s="15"/>
      <c r="BJ42" s="15"/>
      <c r="BK42" s="15"/>
      <c r="BL42" s="15"/>
      <c r="BM42" s="15"/>
      <c r="BN42" s="15"/>
      <c r="BO42" s="15"/>
      <c r="BP42" s="15"/>
      <c r="BQ42" s="15"/>
      <c r="BR42" s="15"/>
      <c r="BS42" s="15"/>
      <c r="BT42" s="15"/>
      <c r="BU42" s="15"/>
      <c r="BV42" s="15"/>
      <c r="BW42" s="15"/>
      <c r="BX42" s="17"/>
      <c r="BY42" s="16"/>
      <c r="BZ42" s="15"/>
      <c r="CA42" s="15"/>
      <c r="CB42" s="15"/>
      <c r="CC42" s="15"/>
      <c r="CD42" s="15"/>
      <c r="CE42" s="15"/>
      <c r="CF42" s="15"/>
      <c r="CG42" s="15"/>
      <c r="CH42" s="15"/>
      <c r="CI42" s="15"/>
      <c r="CJ42" s="15"/>
      <c r="CK42" s="15"/>
      <c r="CL42" s="15"/>
      <c r="CM42" s="15"/>
      <c r="CN42" s="15"/>
      <c r="CO42" s="15"/>
      <c r="CP42" s="15"/>
      <c r="CQ42" s="17"/>
    </row>
    <row r="43" spans="1:95">
      <c r="A43" s="293" t="s">
        <v>162</v>
      </c>
      <c r="B43" s="183"/>
      <c r="C43" s="183"/>
      <c r="D43" s="183"/>
      <c r="E43" s="183"/>
      <c r="F43" s="183"/>
      <c r="G43" s="183"/>
      <c r="H43" s="183"/>
      <c r="I43" s="183"/>
      <c r="J43" s="183"/>
      <c r="K43" s="183"/>
      <c r="L43" s="183"/>
      <c r="M43" s="183"/>
      <c r="N43" s="183"/>
      <c r="O43" s="183"/>
      <c r="P43" s="183"/>
      <c r="Q43" s="183"/>
      <c r="R43" s="183"/>
      <c r="S43" s="294"/>
      <c r="T43" s="293" t="s">
        <v>162</v>
      </c>
      <c r="U43" s="183"/>
      <c r="V43" s="183"/>
      <c r="W43" s="183"/>
      <c r="X43" s="183"/>
      <c r="Y43" s="183"/>
      <c r="Z43" s="183"/>
      <c r="AA43" s="183"/>
      <c r="AB43" s="183"/>
      <c r="AC43" s="183"/>
      <c r="AD43" s="183"/>
      <c r="AE43" s="183"/>
      <c r="AF43" s="183"/>
      <c r="AG43" s="183"/>
      <c r="AH43" s="183"/>
      <c r="AI43" s="183"/>
      <c r="AJ43" s="183"/>
      <c r="AK43" s="183"/>
      <c r="AL43" s="294"/>
      <c r="AM43" s="293" t="s">
        <v>162</v>
      </c>
      <c r="AN43" s="183"/>
      <c r="AO43" s="183"/>
      <c r="AP43" s="183"/>
      <c r="AQ43" s="183"/>
      <c r="AR43" s="183"/>
      <c r="AS43" s="183"/>
      <c r="AT43" s="183"/>
      <c r="AU43" s="183"/>
      <c r="AV43" s="183"/>
      <c r="AW43" s="183"/>
      <c r="AX43" s="183"/>
      <c r="AY43" s="183"/>
      <c r="AZ43" s="183"/>
      <c r="BA43" s="183"/>
      <c r="BB43" s="183"/>
      <c r="BC43" s="183"/>
      <c r="BD43" s="183"/>
      <c r="BE43" s="294"/>
      <c r="BF43" s="293" t="s">
        <v>162</v>
      </c>
      <c r="BG43" s="183"/>
      <c r="BH43" s="183"/>
      <c r="BI43" s="183"/>
      <c r="BJ43" s="183"/>
      <c r="BK43" s="183"/>
      <c r="BL43" s="183"/>
      <c r="BM43" s="183"/>
      <c r="BN43" s="183"/>
      <c r="BO43" s="183"/>
      <c r="BP43" s="183"/>
      <c r="BQ43" s="183"/>
      <c r="BR43" s="183"/>
      <c r="BS43" s="183"/>
      <c r="BT43" s="183"/>
      <c r="BU43" s="183"/>
      <c r="BV43" s="183"/>
      <c r="BW43" s="183"/>
      <c r="BX43" s="294"/>
      <c r="BY43" s="293" t="s">
        <v>163</v>
      </c>
      <c r="BZ43" s="296"/>
      <c r="CA43" s="296"/>
      <c r="CB43" s="296"/>
      <c r="CC43" s="296"/>
      <c r="CD43" s="296"/>
      <c r="CE43" s="296"/>
      <c r="CF43" s="296"/>
      <c r="CG43" s="296"/>
      <c r="CH43" s="296"/>
      <c r="CI43" s="296"/>
      <c r="CJ43" s="296"/>
      <c r="CK43" s="296"/>
      <c r="CL43" s="296"/>
      <c r="CM43" s="296"/>
      <c r="CN43" s="296"/>
      <c r="CO43" s="296"/>
      <c r="CP43" s="296"/>
      <c r="CQ43" s="297"/>
    </row>
    <row r="44" spans="1:95">
      <c r="A44" s="293"/>
      <c r="B44" s="183"/>
      <c r="C44" s="183"/>
      <c r="D44" s="183"/>
      <c r="E44" s="183"/>
      <c r="F44" s="183"/>
      <c r="G44" s="183"/>
      <c r="H44" s="183"/>
      <c r="I44" s="183"/>
      <c r="J44" s="183"/>
      <c r="K44" s="183"/>
      <c r="L44" s="183"/>
      <c r="M44" s="183"/>
      <c r="N44" s="183"/>
      <c r="O44" s="183"/>
      <c r="P44" s="183"/>
      <c r="Q44" s="183"/>
      <c r="R44" s="183"/>
      <c r="S44" s="294"/>
      <c r="T44" s="293"/>
      <c r="U44" s="183"/>
      <c r="V44" s="183"/>
      <c r="W44" s="183"/>
      <c r="X44" s="183"/>
      <c r="Y44" s="183"/>
      <c r="Z44" s="183"/>
      <c r="AA44" s="183"/>
      <c r="AB44" s="183"/>
      <c r="AC44" s="183"/>
      <c r="AD44" s="183"/>
      <c r="AE44" s="183"/>
      <c r="AF44" s="183"/>
      <c r="AG44" s="183"/>
      <c r="AH44" s="183"/>
      <c r="AI44" s="183"/>
      <c r="AJ44" s="183"/>
      <c r="AK44" s="183"/>
      <c r="AL44" s="294"/>
      <c r="AM44" s="293"/>
      <c r="AN44" s="183"/>
      <c r="AO44" s="183"/>
      <c r="AP44" s="183"/>
      <c r="AQ44" s="183"/>
      <c r="AR44" s="183"/>
      <c r="AS44" s="183"/>
      <c r="AT44" s="183"/>
      <c r="AU44" s="183"/>
      <c r="AV44" s="183"/>
      <c r="AW44" s="183"/>
      <c r="AX44" s="183"/>
      <c r="AY44" s="183"/>
      <c r="AZ44" s="183"/>
      <c r="BA44" s="183"/>
      <c r="BB44" s="183"/>
      <c r="BC44" s="183"/>
      <c r="BD44" s="183"/>
      <c r="BE44" s="294"/>
      <c r="BF44" s="293"/>
      <c r="BG44" s="183"/>
      <c r="BH44" s="183"/>
      <c r="BI44" s="183"/>
      <c r="BJ44" s="183"/>
      <c r="BK44" s="183"/>
      <c r="BL44" s="183"/>
      <c r="BM44" s="183"/>
      <c r="BN44" s="183"/>
      <c r="BO44" s="183"/>
      <c r="BP44" s="183"/>
      <c r="BQ44" s="183"/>
      <c r="BR44" s="183"/>
      <c r="BS44" s="183"/>
      <c r="BT44" s="183"/>
      <c r="BU44" s="183"/>
      <c r="BV44" s="183"/>
      <c r="BW44" s="183"/>
      <c r="BX44" s="294"/>
      <c r="BY44" s="293"/>
      <c r="BZ44" s="296"/>
      <c r="CA44" s="296"/>
      <c r="CB44" s="296"/>
      <c r="CC44" s="296"/>
      <c r="CD44" s="296"/>
      <c r="CE44" s="296"/>
      <c r="CF44" s="296"/>
      <c r="CG44" s="296"/>
      <c r="CH44" s="296"/>
      <c r="CI44" s="296"/>
      <c r="CJ44" s="296"/>
      <c r="CK44" s="296"/>
      <c r="CL44" s="296"/>
      <c r="CM44" s="296"/>
      <c r="CN44" s="296"/>
      <c r="CO44" s="296"/>
      <c r="CP44" s="296"/>
      <c r="CQ44" s="297"/>
    </row>
    <row r="45" spans="1:95">
      <c r="A45" s="298" t="s">
        <v>164</v>
      </c>
      <c r="B45" s="5"/>
      <c r="C45" s="5"/>
      <c r="D45" s="5"/>
      <c r="E45" s="5"/>
      <c r="F45" s="5"/>
      <c r="G45" s="5"/>
      <c r="H45" s="5"/>
      <c r="I45" s="5"/>
      <c r="J45" s="5"/>
      <c r="K45" s="5"/>
      <c r="L45" s="5"/>
      <c r="M45" s="5"/>
      <c r="N45" s="5"/>
      <c r="O45" s="5"/>
      <c r="P45" s="5"/>
      <c r="Q45" s="5"/>
      <c r="R45" s="5"/>
      <c r="S45" s="299"/>
      <c r="T45" s="298" t="s">
        <v>164</v>
      </c>
      <c r="U45" s="5"/>
      <c r="V45" s="5"/>
      <c r="W45" s="5"/>
      <c r="X45" s="5"/>
      <c r="Y45" s="5"/>
      <c r="Z45" s="5"/>
      <c r="AA45" s="5"/>
      <c r="AB45" s="5"/>
      <c r="AC45" s="5"/>
      <c r="AD45" s="5"/>
      <c r="AE45" s="5"/>
      <c r="AF45" s="5"/>
      <c r="AG45" s="5"/>
      <c r="AH45" s="5"/>
      <c r="AI45" s="5"/>
      <c r="AJ45" s="5"/>
      <c r="AK45" s="5"/>
      <c r="AL45" s="299"/>
      <c r="AM45" s="298" t="s">
        <v>164</v>
      </c>
      <c r="AN45" s="5"/>
      <c r="AO45" s="5"/>
      <c r="AP45" s="5"/>
      <c r="AQ45" s="5"/>
      <c r="AR45" s="5"/>
      <c r="AS45" s="5"/>
      <c r="AT45" s="5"/>
      <c r="AU45" s="5"/>
      <c r="AV45" s="5"/>
      <c r="AW45" s="5"/>
      <c r="AX45" s="5"/>
      <c r="AY45" s="5"/>
      <c r="AZ45" s="5"/>
      <c r="BA45" s="5"/>
      <c r="BB45" s="5"/>
      <c r="BC45" s="5"/>
      <c r="BD45" s="5"/>
      <c r="BE45" s="299"/>
      <c r="BF45" s="298" t="s">
        <v>164</v>
      </c>
      <c r="BG45" s="5"/>
      <c r="BH45" s="5"/>
      <c r="BI45" s="5"/>
      <c r="BJ45" s="5"/>
      <c r="BK45" s="5"/>
      <c r="BL45" s="5"/>
      <c r="BM45" s="5"/>
      <c r="BN45" s="5"/>
      <c r="BO45" s="5"/>
      <c r="BP45" s="5"/>
      <c r="BQ45" s="5"/>
      <c r="BR45" s="5"/>
      <c r="BS45" s="5"/>
      <c r="BT45" s="5"/>
      <c r="BU45" s="5"/>
      <c r="BV45" s="5"/>
      <c r="BW45" s="5"/>
      <c r="BX45" s="299"/>
      <c r="BY45" s="298" t="s">
        <v>164</v>
      </c>
      <c r="BZ45" s="5"/>
      <c r="CA45" s="5"/>
      <c r="CB45" s="5"/>
      <c r="CC45" s="5"/>
      <c r="CD45" s="5"/>
      <c r="CE45" s="5"/>
      <c r="CF45" s="5"/>
      <c r="CG45" s="5"/>
      <c r="CH45" s="5"/>
      <c r="CI45" s="5"/>
      <c r="CJ45" s="5"/>
      <c r="CK45" s="5"/>
      <c r="CL45" s="5"/>
      <c r="CM45" s="5"/>
      <c r="CN45" s="5"/>
      <c r="CO45" s="5"/>
      <c r="CP45" s="5"/>
      <c r="CQ45" s="299"/>
    </row>
    <row r="46" spans="1:95" ht="14.25" customHeight="1">
      <c r="A46" s="603" t="s">
        <v>165</v>
      </c>
      <c r="B46" s="604"/>
      <c r="C46" s="605">
        <v>0</v>
      </c>
      <c r="D46" s="606"/>
      <c r="E46" s="604" t="s">
        <v>166</v>
      </c>
      <c r="F46" s="604"/>
      <c r="G46" s="605">
        <v>0</v>
      </c>
      <c r="H46" s="606"/>
      <c r="I46" s="296"/>
      <c r="J46" s="5"/>
      <c r="K46" s="5"/>
      <c r="L46" s="5"/>
      <c r="M46" s="300" t="s">
        <v>167</v>
      </c>
      <c r="N46" s="609">
        <f>IF(C47&gt;0,(((G47-G46)/(C47-C46))^-1-IF(CL52&gt;0,CL52^-1,0))^-1,0)</f>
        <v>0</v>
      </c>
      <c r="O46" s="610"/>
      <c r="P46" s="607"/>
      <c r="Q46" s="608"/>
      <c r="R46" s="608"/>
      <c r="S46" s="299"/>
      <c r="T46" s="603" t="s">
        <v>165</v>
      </c>
      <c r="U46" s="604"/>
      <c r="V46" s="605">
        <v>0</v>
      </c>
      <c r="W46" s="606"/>
      <c r="X46" s="604" t="s">
        <v>166</v>
      </c>
      <c r="Y46" s="604"/>
      <c r="Z46" s="605">
        <v>0</v>
      </c>
      <c r="AA46" s="606"/>
      <c r="AB46" s="296"/>
      <c r="AC46" s="5"/>
      <c r="AD46" s="5"/>
      <c r="AE46" s="5"/>
      <c r="AF46" s="300" t="s">
        <v>167</v>
      </c>
      <c r="AG46" s="609">
        <f>IF(V47&gt;0,(((Z47-Z46)/(V47-V46))^-1-IF(CL52&gt;0,CL52^-1,0))^-1,0)</f>
        <v>0</v>
      </c>
      <c r="AH46" s="610"/>
      <c r="AI46" s="607"/>
      <c r="AJ46" s="608"/>
      <c r="AK46" s="608"/>
      <c r="AL46" s="299"/>
      <c r="AM46" s="603" t="s">
        <v>165</v>
      </c>
      <c r="AN46" s="604"/>
      <c r="AO46" s="605">
        <v>0</v>
      </c>
      <c r="AP46" s="606"/>
      <c r="AQ46" s="604" t="s">
        <v>166</v>
      </c>
      <c r="AR46" s="604"/>
      <c r="AS46" s="605">
        <v>0</v>
      </c>
      <c r="AT46" s="606"/>
      <c r="AU46" s="296"/>
      <c r="AV46" s="5"/>
      <c r="AW46" s="5"/>
      <c r="AX46" s="5"/>
      <c r="AY46" s="300" t="s">
        <v>167</v>
      </c>
      <c r="AZ46" s="609">
        <f>IF(AO47&gt;0,(((AS47-AS46)/(AO47-AO46))^-1-IF(CL52&gt;0,CL52^-1,0))^-1,0)</f>
        <v>0</v>
      </c>
      <c r="BA46" s="610"/>
      <c r="BB46" s="607"/>
      <c r="BC46" s="608"/>
      <c r="BD46" s="608"/>
      <c r="BE46" s="299"/>
      <c r="BF46" s="603" t="s">
        <v>165</v>
      </c>
      <c r="BG46" s="604"/>
      <c r="BH46" s="605">
        <v>0</v>
      </c>
      <c r="BI46" s="606"/>
      <c r="BJ46" s="604" t="s">
        <v>166</v>
      </c>
      <c r="BK46" s="604"/>
      <c r="BL46" s="605">
        <v>0</v>
      </c>
      <c r="BM46" s="606"/>
      <c r="BN46" s="296"/>
      <c r="BO46" s="5"/>
      <c r="BP46" s="5"/>
      <c r="BQ46" s="5"/>
      <c r="BR46" s="300" t="s">
        <v>167</v>
      </c>
      <c r="BS46" s="609">
        <f>IF(BH47&gt;0,(((BL47-BL46)/(BH47-BH46))^-1-IF(CL52&gt;0,CL52^-1,0))^-1,0)</f>
        <v>0</v>
      </c>
      <c r="BT46" s="610"/>
      <c r="BU46" s="607"/>
      <c r="BV46" s="608"/>
      <c r="BW46" s="608"/>
      <c r="BX46" s="299"/>
      <c r="BY46" s="603" t="s">
        <v>165</v>
      </c>
      <c r="BZ46" s="604"/>
      <c r="CA46" s="605">
        <v>0</v>
      </c>
      <c r="CB46" s="606"/>
      <c r="CC46" s="604" t="s">
        <v>166</v>
      </c>
      <c r="CD46" s="604"/>
      <c r="CE46" s="605">
        <v>0</v>
      </c>
      <c r="CF46" s="606"/>
      <c r="CG46" s="296"/>
      <c r="CH46" s="5"/>
      <c r="CI46" s="5"/>
      <c r="CJ46" s="5"/>
      <c r="CK46" s="300" t="s">
        <v>167</v>
      </c>
      <c r="CL46" s="594">
        <f>IF((CA47-CA46)&gt;0,(CE47-CE46)/(CA47-CA46),0)</f>
        <v>0</v>
      </c>
      <c r="CM46" s="595"/>
      <c r="CN46" s="5"/>
      <c r="CO46" s="5"/>
      <c r="CP46" s="5"/>
      <c r="CQ46" s="299"/>
    </row>
    <row r="47" spans="1:95" ht="14.25" customHeight="1">
      <c r="A47" s="603" t="s">
        <v>168</v>
      </c>
      <c r="B47" s="604"/>
      <c r="C47" s="605">
        <v>0</v>
      </c>
      <c r="D47" s="606"/>
      <c r="E47" s="604" t="s">
        <v>169</v>
      </c>
      <c r="F47" s="604"/>
      <c r="G47" s="605">
        <v>0</v>
      </c>
      <c r="H47" s="606"/>
      <c r="I47" s="296"/>
      <c r="P47" s="5"/>
      <c r="Q47" s="5"/>
      <c r="R47" s="5"/>
      <c r="S47" s="299"/>
      <c r="T47" s="603" t="s">
        <v>168</v>
      </c>
      <c r="U47" s="604"/>
      <c r="V47" s="605">
        <v>0</v>
      </c>
      <c r="W47" s="606"/>
      <c r="X47" s="604" t="s">
        <v>169</v>
      </c>
      <c r="Y47" s="604"/>
      <c r="Z47" s="605">
        <v>0</v>
      </c>
      <c r="AA47" s="606"/>
      <c r="AB47" s="296"/>
      <c r="AI47" s="5"/>
      <c r="AJ47" s="5"/>
      <c r="AK47" s="5"/>
      <c r="AL47" s="299"/>
      <c r="AM47" s="603" t="s">
        <v>168</v>
      </c>
      <c r="AN47" s="604"/>
      <c r="AO47" s="605">
        <v>0</v>
      </c>
      <c r="AP47" s="606"/>
      <c r="AQ47" s="604" t="s">
        <v>169</v>
      </c>
      <c r="AR47" s="604"/>
      <c r="AS47" s="605">
        <v>0</v>
      </c>
      <c r="AT47" s="606"/>
      <c r="AU47" s="296"/>
      <c r="BB47" s="5"/>
      <c r="BC47" s="5"/>
      <c r="BD47" s="5"/>
      <c r="BE47" s="299"/>
      <c r="BF47" s="603" t="s">
        <v>168</v>
      </c>
      <c r="BG47" s="604"/>
      <c r="BH47" s="605">
        <v>0</v>
      </c>
      <c r="BI47" s="606"/>
      <c r="BJ47" s="604" t="s">
        <v>169</v>
      </c>
      <c r="BK47" s="604"/>
      <c r="BL47" s="605">
        <v>0</v>
      </c>
      <c r="BM47" s="606"/>
      <c r="BN47" s="296"/>
      <c r="BU47" s="5"/>
      <c r="BV47" s="5"/>
      <c r="BW47" s="5"/>
      <c r="BX47" s="299"/>
      <c r="BY47" s="603" t="s">
        <v>168</v>
      </c>
      <c r="BZ47" s="604"/>
      <c r="CA47" s="605">
        <v>0</v>
      </c>
      <c r="CB47" s="606"/>
      <c r="CC47" s="604" t="s">
        <v>169</v>
      </c>
      <c r="CD47" s="604"/>
      <c r="CE47" s="605">
        <v>0</v>
      </c>
      <c r="CF47" s="606"/>
      <c r="CG47" s="296"/>
      <c r="CH47" s="296"/>
      <c r="CI47" s="296"/>
      <c r="CJ47" s="296"/>
      <c r="CK47" s="296"/>
      <c r="CL47" s="296"/>
      <c r="CM47" s="296"/>
      <c r="CN47" s="5"/>
      <c r="CO47" s="5"/>
      <c r="CP47" s="5"/>
      <c r="CQ47" s="299"/>
    </row>
    <row r="48" spans="1:95">
      <c r="A48" s="301"/>
      <c r="B48" s="5"/>
      <c r="C48" s="302" t="str">
        <f>IF(ABS(C47-C46)&lt;1,"Supporting points shall be at least 1 mm apart!","")</f>
        <v>Supporting points shall be at least 1 mm apart!</v>
      </c>
      <c r="D48" s="5"/>
      <c r="E48" s="5"/>
      <c r="F48" s="5"/>
      <c r="G48" s="5"/>
      <c r="H48" s="5"/>
      <c r="I48" s="5"/>
      <c r="J48" s="5"/>
      <c r="K48" s="5"/>
      <c r="L48" s="5"/>
      <c r="M48" s="5"/>
      <c r="N48" s="5"/>
      <c r="O48" s="5"/>
      <c r="P48" s="5"/>
      <c r="Q48" s="5"/>
      <c r="R48" s="5"/>
      <c r="S48" s="299"/>
      <c r="T48" s="301"/>
      <c r="U48" s="5"/>
      <c r="V48" s="302" t="str">
        <f>IF(ABS(V47-V46)&lt;1,"Supporting points shall be at least 1 mm apart!","")</f>
        <v>Supporting points shall be at least 1 mm apart!</v>
      </c>
      <c r="W48" s="5"/>
      <c r="X48" s="5"/>
      <c r="Y48" s="5"/>
      <c r="Z48" s="5"/>
      <c r="AA48" s="5"/>
      <c r="AB48" s="5"/>
      <c r="AC48" s="5"/>
      <c r="AD48" s="5"/>
      <c r="AE48" s="5"/>
      <c r="AF48" s="5"/>
      <c r="AG48" s="5"/>
      <c r="AH48" s="5"/>
      <c r="AI48" s="5"/>
      <c r="AJ48" s="5"/>
      <c r="AK48" s="5"/>
      <c r="AL48" s="299"/>
      <c r="AM48" s="301"/>
      <c r="AN48" s="5"/>
      <c r="AO48" s="302" t="str">
        <f>IF(ABS(AO47-AO46)&lt;1,"Supporting points shall be at least 1 mm apart!","")</f>
        <v>Supporting points shall be at least 1 mm apart!</v>
      </c>
      <c r="AP48" s="5"/>
      <c r="AQ48" s="5"/>
      <c r="AR48" s="5"/>
      <c r="AS48" s="5"/>
      <c r="AT48" s="5"/>
      <c r="AU48" s="5"/>
      <c r="AV48" s="5"/>
      <c r="AW48" s="5"/>
      <c r="AX48" s="5"/>
      <c r="AY48" s="5"/>
      <c r="AZ48" s="5"/>
      <c r="BA48" s="5"/>
      <c r="BB48" s="5"/>
      <c r="BC48" s="5"/>
      <c r="BD48" s="5"/>
      <c r="BE48" s="299"/>
      <c r="BF48" s="301"/>
      <c r="BG48" s="5"/>
      <c r="BH48" s="302" t="str">
        <f>IF(ABS(BH47-BH46)&lt;1,"Supporting points shall be at least 1 mm apart!","")</f>
        <v>Supporting points shall be at least 1 mm apart!</v>
      </c>
      <c r="BI48" s="5"/>
      <c r="BJ48" s="5"/>
      <c r="BK48" s="5"/>
      <c r="BL48" s="5"/>
      <c r="BM48" s="5"/>
      <c r="BN48" s="5"/>
      <c r="BO48" s="5"/>
      <c r="BP48" s="5"/>
      <c r="BQ48" s="5"/>
      <c r="BR48" s="5"/>
      <c r="BS48" s="5"/>
      <c r="BT48" s="5"/>
      <c r="BU48" s="5"/>
      <c r="BV48" s="5"/>
      <c r="BW48" s="5"/>
      <c r="BX48" s="299"/>
      <c r="BY48" s="293"/>
      <c r="BZ48" s="296"/>
      <c r="CA48" s="302" t="str">
        <f>IF(ABS(CA47-CA46)&lt;1,"Supporting points shall be at least 1 mm apart!","")</f>
        <v>Supporting points shall be at least 1 mm apart!</v>
      </c>
      <c r="CB48" s="296"/>
      <c r="CC48" s="296"/>
      <c r="CD48" s="296"/>
      <c r="CE48" s="296"/>
      <c r="CF48" s="296"/>
      <c r="CG48" s="296"/>
      <c r="CH48" s="296"/>
      <c r="CI48" s="296"/>
      <c r="CJ48" s="296"/>
      <c r="CK48" s="296"/>
      <c r="CL48" s="296"/>
      <c r="CM48" s="296"/>
      <c r="CN48" s="296"/>
      <c r="CO48" s="296"/>
      <c r="CP48" s="296"/>
      <c r="CQ48" s="297"/>
    </row>
    <row r="49" spans="1:95">
      <c r="A49" s="293" t="s">
        <v>170</v>
      </c>
      <c r="B49" s="5"/>
      <c r="C49" s="5"/>
      <c r="D49" s="5"/>
      <c r="E49" s="5"/>
      <c r="F49" s="5"/>
      <c r="G49" s="5"/>
      <c r="H49" s="5"/>
      <c r="I49" s="5"/>
      <c r="J49" s="5"/>
      <c r="K49" s="5"/>
      <c r="L49" s="5"/>
      <c r="M49" s="5"/>
      <c r="N49" s="5"/>
      <c r="O49" s="5"/>
      <c r="P49" s="5"/>
      <c r="Q49" s="5"/>
      <c r="R49" s="5"/>
      <c r="S49" s="299"/>
      <c r="T49" s="293" t="s">
        <v>170</v>
      </c>
      <c r="U49" s="5"/>
      <c r="V49" s="5"/>
      <c r="W49" s="5"/>
      <c r="X49" s="5"/>
      <c r="Y49" s="5"/>
      <c r="Z49" s="5"/>
      <c r="AA49" s="5"/>
      <c r="AB49" s="5"/>
      <c r="AC49" s="5"/>
      <c r="AD49" s="5"/>
      <c r="AE49" s="5"/>
      <c r="AF49" s="5"/>
      <c r="AG49" s="5"/>
      <c r="AH49" s="5"/>
      <c r="AI49" s="5"/>
      <c r="AJ49" s="5"/>
      <c r="AK49" s="5"/>
      <c r="AL49" s="299"/>
      <c r="AM49" s="293" t="s">
        <v>170</v>
      </c>
      <c r="AN49" s="5"/>
      <c r="AO49" s="5"/>
      <c r="AP49" s="5"/>
      <c r="AQ49" s="5"/>
      <c r="AR49" s="5"/>
      <c r="AS49" s="5"/>
      <c r="AT49" s="5"/>
      <c r="AU49" s="5"/>
      <c r="AV49" s="5"/>
      <c r="AW49" s="5"/>
      <c r="AX49" s="5"/>
      <c r="AY49" s="5"/>
      <c r="AZ49" s="5"/>
      <c r="BA49" s="5"/>
      <c r="BB49" s="5"/>
      <c r="BC49" s="5"/>
      <c r="BD49" s="5"/>
      <c r="BE49" s="299"/>
      <c r="BF49" s="293" t="s">
        <v>170</v>
      </c>
      <c r="BG49" s="5"/>
      <c r="BH49" s="5"/>
      <c r="BI49" s="5"/>
      <c r="BJ49" s="5"/>
      <c r="BK49" s="5"/>
      <c r="BL49" s="5"/>
      <c r="BM49" s="5"/>
      <c r="BN49" s="5"/>
      <c r="BO49" s="5"/>
      <c r="BP49" s="5"/>
      <c r="BQ49" s="5"/>
      <c r="BR49" s="5"/>
      <c r="BS49" s="5"/>
      <c r="BT49" s="5"/>
      <c r="BU49" s="5"/>
      <c r="BV49" s="5"/>
      <c r="BW49" s="5"/>
      <c r="BX49" s="299"/>
      <c r="BY49" s="293" t="s">
        <v>171</v>
      </c>
      <c r="BZ49" s="296"/>
      <c r="CA49" s="296"/>
      <c r="CB49" s="296"/>
      <c r="CC49" s="296"/>
      <c r="CD49" s="296"/>
      <c r="CE49" s="296"/>
      <c r="CF49" s="296"/>
      <c r="CG49" s="296"/>
      <c r="CH49" s="296"/>
      <c r="CI49" s="296"/>
      <c r="CJ49" s="296"/>
      <c r="CK49" s="296"/>
      <c r="CL49" s="296"/>
      <c r="CM49" s="296"/>
      <c r="CN49" s="296"/>
      <c r="CO49" s="296"/>
      <c r="CP49" s="296"/>
      <c r="CQ49" s="297"/>
    </row>
    <row r="50" spans="1:95" ht="15" customHeight="1">
      <c r="A50" s="603" t="s">
        <v>172</v>
      </c>
      <c r="B50" s="604"/>
      <c r="C50" s="611">
        <v>0</v>
      </c>
      <c r="D50" s="612"/>
      <c r="E50" s="296"/>
      <c r="F50" s="5"/>
      <c r="G50" s="5"/>
      <c r="H50" s="5"/>
      <c r="I50" s="5"/>
      <c r="J50" s="5"/>
      <c r="K50" s="5"/>
      <c r="L50" s="5"/>
      <c r="M50" s="5"/>
      <c r="N50" s="5"/>
      <c r="O50" s="5"/>
      <c r="P50" s="5"/>
      <c r="Q50" s="5"/>
      <c r="R50" s="5"/>
      <c r="S50" s="299"/>
      <c r="T50" s="603" t="s">
        <v>172</v>
      </c>
      <c r="U50" s="604"/>
      <c r="V50" s="611">
        <v>0</v>
      </c>
      <c r="W50" s="612"/>
      <c r="X50" s="296"/>
      <c r="Y50" s="5"/>
      <c r="Z50" s="5"/>
      <c r="AA50" s="5"/>
      <c r="AB50" s="5"/>
      <c r="AC50" s="5"/>
      <c r="AD50" s="5"/>
      <c r="AE50" s="5"/>
      <c r="AF50" s="5"/>
      <c r="AG50" s="5"/>
      <c r="AH50" s="5"/>
      <c r="AI50" s="5"/>
      <c r="AJ50" s="5"/>
      <c r="AK50" s="5"/>
      <c r="AL50" s="299"/>
      <c r="AM50" s="603" t="s">
        <v>172</v>
      </c>
      <c r="AN50" s="604"/>
      <c r="AO50" s="611">
        <v>0</v>
      </c>
      <c r="AP50" s="612"/>
      <c r="AQ50" s="296"/>
      <c r="AR50" s="5"/>
      <c r="AS50" s="5"/>
      <c r="AT50" s="5"/>
      <c r="AU50" s="5"/>
      <c r="AV50" s="5"/>
      <c r="AW50" s="5"/>
      <c r="AX50" s="5"/>
      <c r="AY50" s="5"/>
      <c r="AZ50" s="5"/>
      <c r="BA50" s="5"/>
      <c r="BB50" s="5"/>
      <c r="BC50" s="5"/>
      <c r="BD50" s="5"/>
      <c r="BE50" s="299"/>
      <c r="BF50" s="603" t="s">
        <v>172</v>
      </c>
      <c r="BG50" s="604"/>
      <c r="BH50" s="611">
        <v>0</v>
      </c>
      <c r="BI50" s="612"/>
      <c r="BJ50" s="296"/>
      <c r="BK50" s="5"/>
      <c r="BL50" s="5"/>
      <c r="BM50" s="5"/>
      <c r="BN50" s="5"/>
      <c r="BO50" s="5"/>
      <c r="BP50" s="5"/>
      <c r="BQ50" s="5"/>
      <c r="BR50" s="5"/>
      <c r="BS50" s="5"/>
      <c r="BT50" s="5"/>
      <c r="BU50" s="5"/>
      <c r="BV50" s="5"/>
      <c r="BW50" s="5"/>
      <c r="BX50" s="299"/>
      <c r="BY50" s="293"/>
      <c r="BZ50" s="300" t="s">
        <v>173</v>
      </c>
      <c r="CA50" s="631">
        <f>C53</f>
        <v>200</v>
      </c>
      <c r="CB50" s="632"/>
      <c r="CC50" s="296" t="s">
        <v>174</v>
      </c>
      <c r="CD50" s="296"/>
      <c r="CE50" s="296"/>
      <c r="CF50" s="296"/>
      <c r="CG50" s="296"/>
      <c r="CH50" s="296"/>
      <c r="CI50" s="296"/>
      <c r="CJ50" s="296"/>
      <c r="CK50" s="300" t="s">
        <v>175</v>
      </c>
      <c r="CL50" s="629">
        <f>CA51*(1/64)*PI()*(CA52^4-CA53^4)*200000</f>
        <v>1744439000.4490404</v>
      </c>
      <c r="CM50" s="630"/>
      <c r="CN50" s="303">
        <f>CL50*48/CA50^3</f>
        <v>10466.634002694242</v>
      </c>
      <c r="CO50" s="296"/>
      <c r="CP50" s="296"/>
      <c r="CQ50" s="297"/>
    </row>
    <row r="51" spans="1:95" ht="15">
      <c r="A51" s="301"/>
      <c r="B51" s="5"/>
      <c r="C51" s="628"/>
      <c r="D51" s="628"/>
      <c r="E51" s="5"/>
      <c r="F51" s="5"/>
      <c r="G51" s="5"/>
      <c r="H51" s="5"/>
      <c r="I51" s="5"/>
      <c r="J51" s="5"/>
      <c r="K51" s="5"/>
      <c r="L51" s="5"/>
      <c r="M51" s="5"/>
      <c r="N51" s="5"/>
      <c r="O51" s="5"/>
      <c r="P51" s="5"/>
      <c r="Q51" s="5"/>
      <c r="R51" s="5"/>
      <c r="S51" s="299"/>
      <c r="T51" s="301"/>
      <c r="U51" s="5"/>
      <c r="V51" s="628"/>
      <c r="W51" s="628"/>
      <c r="X51" s="5"/>
      <c r="Y51" s="5"/>
      <c r="Z51" s="5"/>
      <c r="AA51" s="5"/>
      <c r="AB51" s="5"/>
      <c r="AC51" s="5"/>
      <c r="AD51" s="5"/>
      <c r="AE51" s="5"/>
      <c r="AF51" s="5"/>
      <c r="AG51" s="5"/>
      <c r="AH51" s="5"/>
      <c r="AI51" s="5"/>
      <c r="AJ51" s="5"/>
      <c r="AK51" s="5"/>
      <c r="AL51" s="299"/>
      <c r="AM51" s="301"/>
      <c r="AN51" s="5"/>
      <c r="AO51" s="628"/>
      <c r="AP51" s="628"/>
      <c r="AQ51" s="5"/>
      <c r="AR51" s="5"/>
      <c r="AS51" s="5"/>
      <c r="AT51" s="5"/>
      <c r="AU51" s="5"/>
      <c r="AV51" s="5"/>
      <c r="AW51" s="5"/>
      <c r="AX51" s="5"/>
      <c r="AY51" s="5"/>
      <c r="AZ51" s="5"/>
      <c r="BA51" s="5"/>
      <c r="BB51" s="5"/>
      <c r="BC51" s="5"/>
      <c r="BD51" s="5"/>
      <c r="BE51" s="299"/>
      <c r="BF51" s="301"/>
      <c r="BG51" s="5"/>
      <c r="BH51" s="628"/>
      <c r="BI51" s="628"/>
      <c r="BJ51" s="5"/>
      <c r="BK51" s="5"/>
      <c r="BL51" s="5"/>
      <c r="BM51" s="5"/>
      <c r="BN51" s="5"/>
      <c r="BO51" s="5"/>
      <c r="BP51" s="5"/>
      <c r="BQ51" s="5"/>
      <c r="BR51" s="5"/>
      <c r="BS51" s="5"/>
      <c r="BT51" s="5"/>
      <c r="BU51" s="5"/>
      <c r="BV51" s="5"/>
      <c r="BW51" s="5"/>
      <c r="BX51" s="299"/>
      <c r="BY51" s="293"/>
      <c r="BZ51" s="300" t="s">
        <v>176</v>
      </c>
      <c r="CA51" s="598">
        <v>1</v>
      </c>
      <c r="CB51" s="599"/>
      <c r="CC51" s="296" t="s">
        <v>177</v>
      </c>
      <c r="CD51" s="296"/>
      <c r="CE51" s="296"/>
      <c r="CF51" s="296"/>
      <c r="CG51" s="296"/>
      <c r="CH51" s="296"/>
      <c r="CI51" s="296"/>
      <c r="CJ51" s="296"/>
      <c r="CK51" s="300" t="s">
        <v>178</v>
      </c>
      <c r="CL51" s="629">
        <f>IF(CL46&gt;0,(CL46*CA50^3)/48,CL50)</f>
        <v>1744439000.4490404</v>
      </c>
      <c r="CM51" s="630"/>
      <c r="CN51" s="303">
        <f>CL51*48/CA50^3</f>
        <v>10466.634002694242</v>
      </c>
      <c r="CO51" s="296"/>
      <c r="CP51" s="296"/>
      <c r="CQ51" s="297"/>
    </row>
    <row r="52" spans="1:95" ht="14.25">
      <c r="A52" s="298" t="s">
        <v>179</v>
      </c>
      <c r="B52" s="5"/>
      <c r="C52" s="5"/>
      <c r="D52" s="5"/>
      <c r="E52" s="5"/>
      <c r="F52" s="5"/>
      <c r="G52" s="5"/>
      <c r="H52" s="5"/>
      <c r="I52" s="5"/>
      <c r="J52" s="5"/>
      <c r="K52" s="5"/>
      <c r="L52" s="5"/>
      <c r="M52" s="5"/>
      <c r="N52" s="5"/>
      <c r="O52" s="5"/>
      <c r="P52" s="5"/>
      <c r="Q52" s="5"/>
      <c r="R52" s="5"/>
      <c r="S52" s="299"/>
      <c r="T52" s="298" t="s">
        <v>179</v>
      </c>
      <c r="U52" s="5"/>
      <c r="V52" s="5"/>
      <c r="W52" s="5"/>
      <c r="X52" s="5"/>
      <c r="Y52" s="5"/>
      <c r="Z52" s="5"/>
      <c r="AA52" s="5"/>
      <c r="AB52" s="5"/>
      <c r="AC52" s="5"/>
      <c r="AD52" s="5"/>
      <c r="AE52" s="5"/>
      <c r="AF52" s="5"/>
      <c r="AG52" s="5"/>
      <c r="AH52" s="5"/>
      <c r="AI52" s="5"/>
      <c r="AJ52" s="5"/>
      <c r="AK52" s="5"/>
      <c r="AL52" s="299"/>
      <c r="AM52" s="298" t="s">
        <v>179</v>
      </c>
      <c r="AN52" s="5"/>
      <c r="AO52" s="5"/>
      <c r="AP52" s="5"/>
      <c r="AQ52" s="5"/>
      <c r="AR52" s="5"/>
      <c r="AS52" s="5"/>
      <c r="AT52" s="5"/>
      <c r="AU52" s="5"/>
      <c r="AV52" s="5"/>
      <c r="AW52" s="5"/>
      <c r="AX52" s="5"/>
      <c r="AY52" s="5"/>
      <c r="AZ52" s="5"/>
      <c r="BA52" s="5"/>
      <c r="BB52" s="5"/>
      <c r="BC52" s="5"/>
      <c r="BD52" s="5"/>
      <c r="BE52" s="299"/>
      <c r="BF52" s="298" t="s">
        <v>179</v>
      </c>
      <c r="BG52" s="5"/>
      <c r="BH52" s="5"/>
      <c r="BI52" s="5"/>
      <c r="BJ52" s="5"/>
      <c r="BK52" s="5"/>
      <c r="BL52" s="5"/>
      <c r="BM52" s="5"/>
      <c r="BN52" s="5"/>
      <c r="BO52" s="5"/>
      <c r="BP52" s="5"/>
      <c r="BQ52" s="5"/>
      <c r="BR52" s="5"/>
      <c r="BS52" s="5"/>
      <c r="BT52" s="5"/>
      <c r="BU52" s="5"/>
      <c r="BV52" s="5"/>
      <c r="BW52" s="5"/>
      <c r="BX52" s="299"/>
      <c r="BY52" s="293"/>
      <c r="BZ52" s="300" t="s">
        <v>180</v>
      </c>
      <c r="CA52" s="598">
        <v>25.4</v>
      </c>
      <c r="CB52" s="599"/>
      <c r="CC52" s="296" t="s">
        <v>181</v>
      </c>
      <c r="CD52" s="296"/>
      <c r="CE52" s="296"/>
      <c r="CF52" s="296"/>
      <c r="CG52" s="296"/>
      <c r="CH52" s="296"/>
      <c r="CI52" s="296"/>
      <c r="CJ52" s="296"/>
      <c r="CK52" s="300" t="s">
        <v>182</v>
      </c>
      <c r="CL52" s="613">
        <f>IF(CL51&gt;=CL50,0,(CN51^-1-CN50^-1)^-1)</f>
        <v>0</v>
      </c>
      <c r="CM52" s="614"/>
      <c r="CN52" s="296"/>
      <c r="CO52" s="296"/>
      <c r="CP52" s="296"/>
      <c r="CQ52" s="297"/>
    </row>
    <row r="53" spans="1:95" ht="12.75" customHeight="1">
      <c r="A53" s="293"/>
      <c r="B53" s="304" t="s">
        <v>173</v>
      </c>
      <c r="C53" s="624">
        <v>200</v>
      </c>
      <c r="D53" s="625"/>
      <c r="E53" s="296" t="s">
        <v>183</v>
      </c>
      <c r="F53" s="5"/>
      <c r="G53" s="5"/>
      <c r="H53" s="5"/>
      <c r="I53" s="5"/>
      <c r="J53" s="5"/>
      <c r="K53" s="5"/>
      <c r="L53" s="5"/>
      <c r="M53" s="5"/>
      <c r="N53" s="5"/>
      <c r="O53" s="5"/>
      <c r="P53" s="5"/>
      <c r="Q53" s="5"/>
      <c r="R53" s="5"/>
      <c r="S53" s="299"/>
      <c r="T53" s="293"/>
      <c r="U53" s="304" t="s">
        <v>173</v>
      </c>
      <c r="V53" s="624">
        <v>200</v>
      </c>
      <c r="W53" s="625"/>
      <c r="X53" s="296" t="s">
        <v>183</v>
      </c>
      <c r="Y53" s="5"/>
      <c r="Z53" s="5"/>
      <c r="AA53" s="5"/>
      <c r="AB53" s="5"/>
      <c r="AC53" s="5"/>
      <c r="AD53" s="5"/>
      <c r="AE53" s="5"/>
      <c r="AF53" s="5"/>
      <c r="AG53" s="5"/>
      <c r="AH53" s="5"/>
      <c r="AI53" s="5"/>
      <c r="AJ53" s="5"/>
      <c r="AK53" s="5"/>
      <c r="AL53" s="299"/>
      <c r="AM53" s="293"/>
      <c r="AN53" s="304" t="s">
        <v>173</v>
      </c>
      <c r="AO53" s="624">
        <v>200</v>
      </c>
      <c r="AP53" s="625"/>
      <c r="AQ53" s="296" t="s">
        <v>183</v>
      </c>
      <c r="AR53" s="5"/>
      <c r="AS53" s="5"/>
      <c r="AT53" s="5"/>
      <c r="AU53" s="5"/>
      <c r="AV53" s="5"/>
      <c r="AW53" s="5"/>
      <c r="AX53" s="5"/>
      <c r="AY53" s="5"/>
      <c r="AZ53" s="5"/>
      <c r="BA53" s="5"/>
      <c r="BB53" s="5"/>
      <c r="BC53" s="5"/>
      <c r="BD53" s="5"/>
      <c r="BE53" s="299"/>
      <c r="BF53" s="293"/>
      <c r="BG53" s="304" t="s">
        <v>173</v>
      </c>
      <c r="BH53" s="624">
        <v>200</v>
      </c>
      <c r="BI53" s="625"/>
      <c r="BJ53" s="296" t="s">
        <v>183</v>
      </c>
      <c r="BK53" s="5"/>
      <c r="BL53" s="5"/>
      <c r="BM53" s="5"/>
      <c r="BN53" s="5"/>
      <c r="BO53" s="5"/>
      <c r="BP53" s="5"/>
      <c r="BQ53" s="5"/>
      <c r="BR53" s="5"/>
      <c r="BS53" s="5"/>
      <c r="BT53" s="5"/>
      <c r="BU53" s="5"/>
      <c r="BV53" s="5"/>
      <c r="BW53" s="5"/>
      <c r="BX53" s="299"/>
      <c r="BY53" s="293"/>
      <c r="BZ53" s="300" t="s">
        <v>184</v>
      </c>
      <c r="CA53" s="598">
        <v>22.1</v>
      </c>
      <c r="CB53" s="599"/>
      <c r="CC53" s="296" t="s">
        <v>185</v>
      </c>
      <c r="CD53" s="296"/>
      <c r="CE53" s="296"/>
      <c r="CF53" s="296"/>
      <c r="CG53" s="296"/>
      <c r="CH53" s="296"/>
      <c r="CI53" s="296"/>
      <c r="CJ53" s="296"/>
      <c r="CK53" s="296"/>
      <c r="CL53" s="296"/>
      <c r="CM53" s="296"/>
      <c r="CN53" s="296"/>
      <c r="CO53" s="296"/>
      <c r="CP53" s="296"/>
      <c r="CQ53" s="297"/>
    </row>
    <row r="54" spans="1:95">
      <c r="A54" s="596" t="s">
        <v>186</v>
      </c>
      <c r="B54" s="597"/>
      <c r="C54" s="626">
        <v>150</v>
      </c>
      <c r="D54" s="627"/>
      <c r="E54" s="296" t="s">
        <v>26</v>
      </c>
      <c r="F54" s="5"/>
      <c r="G54" s="5"/>
      <c r="H54" s="5"/>
      <c r="I54" s="5"/>
      <c r="J54" s="5"/>
      <c r="K54" s="5"/>
      <c r="L54" s="5"/>
      <c r="M54" s="5"/>
      <c r="N54" s="5"/>
      <c r="O54" s="5"/>
      <c r="P54" s="5"/>
      <c r="Q54" s="5"/>
      <c r="R54" s="5"/>
      <c r="S54" s="299"/>
      <c r="T54" s="596" t="s">
        <v>186</v>
      </c>
      <c r="U54" s="597"/>
      <c r="V54" s="626">
        <v>150</v>
      </c>
      <c r="W54" s="627"/>
      <c r="X54" s="296" t="s">
        <v>26</v>
      </c>
      <c r="Y54" s="5"/>
      <c r="Z54" s="5"/>
      <c r="AA54" s="5"/>
      <c r="AB54" s="5"/>
      <c r="AC54" s="5"/>
      <c r="AD54" s="5"/>
      <c r="AE54" s="5"/>
      <c r="AF54" s="5"/>
      <c r="AG54" s="5"/>
      <c r="AH54" s="5"/>
      <c r="AI54" s="5"/>
      <c r="AJ54" s="5"/>
      <c r="AK54" s="5"/>
      <c r="AL54" s="299"/>
      <c r="AM54" s="596" t="s">
        <v>186</v>
      </c>
      <c r="AN54" s="597"/>
      <c r="AO54" s="626">
        <v>150</v>
      </c>
      <c r="AP54" s="627"/>
      <c r="AQ54" s="296" t="s">
        <v>26</v>
      </c>
      <c r="AR54" s="5"/>
      <c r="AS54" s="5"/>
      <c r="AT54" s="5"/>
      <c r="AU54" s="5"/>
      <c r="AV54" s="5"/>
      <c r="AW54" s="5"/>
      <c r="AX54" s="5"/>
      <c r="AY54" s="5"/>
      <c r="AZ54" s="5"/>
      <c r="BA54" s="5"/>
      <c r="BB54" s="5"/>
      <c r="BC54" s="5"/>
      <c r="BD54" s="5"/>
      <c r="BE54" s="299"/>
      <c r="BF54" s="596" t="s">
        <v>186</v>
      </c>
      <c r="BG54" s="597"/>
      <c r="BH54" s="626">
        <v>150</v>
      </c>
      <c r="BI54" s="627"/>
      <c r="BJ54" s="296" t="s">
        <v>26</v>
      </c>
      <c r="BK54" s="5"/>
      <c r="BL54" s="5"/>
      <c r="BM54" s="5"/>
      <c r="BN54" s="5"/>
      <c r="BO54" s="5"/>
      <c r="BP54" s="5"/>
      <c r="BQ54" s="5"/>
      <c r="BR54" s="5"/>
      <c r="BS54" s="5"/>
      <c r="BT54" s="5"/>
      <c r="BU54" s="5"/>
      <c r="BV54" s="5"/>
      <c r="BW54" s="5"/>
      <c r="BX54" s="299"/>
      <c r="BY54" s="293"/>
      <c r="BZ54" s="296"/>
      <c r="CA54" s="296"/>
      <c r="CB54" s="296"/>
      <c r="CC54" s="296"/>
      <c r="CD54" s="296"/>
      <c r="CE54" s="296"/>
      <c r="CF54" s="296"/>
      <c r="CG54" s="296"/>
      <c r="CH54" s="296"/>
      <c r="CI54" s="296"/>
      <c r="CJ54" s="296"/>
      <c r="CK54" s="296"/>
      <c r="CL54" s="296"/>
      <c r="CM54" s="296"/>
      <c r="CN54" s="296"/>
      <c r="CO54" s="296"/>
      <c r="CP54" s="296"/>
      <c r="CQ54" s="297"/>
    </row>
    <row r="55" spans="1:95">
      <c r="A55" s="596" t="s">
        <v>187</v>
      </c>
      <c r="B55" s="597"/>
      <c r="C55" s="598">
        <v>0</v>
      </c>
      <c r="D55" s="599"/>
      <c r="E55" s="296" t="s">
        <v>188</v>
      </c>
      <c r="F55" s="296"/>
      <c r="G55" s="296"/>
      <c r="H55" s="296"/>
      <c r="I55" s="296"/>
      <c r="J55" s="296"/>
      <c r="K55" s="296"/>
      <c r="L55" s="296"/>
      <c r="M55" s="296"/>
      <c r="N55" s="296"/>
      <c r="O55" s="5"/>
      <c r="P55" s="5"/>
      <c r="Q55" s="5"/>
      <c r="R55" s="5"/>
      <c r="S55" s="299"/>
      <c r="T55" s="596" t="s">
        <v>187</v>
      </c>
      <c r="U55" s="597"/>
      <c r="V55" s="598">
        <v>0</v>
      </c>
      <c r="W55" s="599"/>
      <c r="X55" s="296" t="s">
        <v>188</v>
      </c>
      <c r="Y55" s="296"/>
      <c r="Z55" s="296"/>
      <c r="AA55" s="296"/>
      <c r="AB55" s="296"/>
      <c r="AC55" s="296"/>
      <c r="AD55" s="296"/>
      <c r="AE55" s="296"/>
      <c r="AF55" s="296"/>
      <c r="AG55" s="296"/>
      <c r="AH55" s="5"/>
      <c r="AI55" s="5"/>
      <c r="AJ55" s="5"/>
      <c r="AK55" s="5"/>
      <c r="AL55" s="299"/>
      <c r="AM55" s="596" t="s">
        <v>187</v>
      </c>
      <c r="AN55" s="597"/>
      <c r="AO55" s="598">
        <v>0</v>
      </c>
      <c r="AP55" s="599"/>
      <c r="AQ55" s="296" t="s">
        <v>188</v>
      </c>
      <c r="AR55" s="296"/>
      <c r="AS55" s="296"/>
      <c r="AT55" s="296"/>
      <c r="AU55" s="296"/>
      <c r="AV55" s="296"/>
      <c r="AW55" s="296"/>
      <c r="AX55" s="296"/>
      <c r="AY55" s="296"/>
      <c r="AZ55" s="296"/>
      <c r="BA55" s="5"/>
      <c r="BB55" s="5"/>
      <c r="BC55" s="5"/>
      <c r="BD55" s="5"/>
      <c r="BE55" s="299"/>
      <c r="BF55" s="596" t="s">
        <v>187</v>
      </c>
      <c r="BG55" s="597"/>
      <c r="BH55" s="598">
        <v>0</v>
      </c>
      <c r="BI55" s="599"/>
      <c r="BJ55" s="296" t="s">
        <v>188</v>
      </c>
      <c r="BK55" s="296"/>
      <c r="BL55" s="296"/>
      <c r="BM55" s="296"/>
      <c r="BN55" s="296"/>
      <c r="BO55" s="296"/>
      <c r="BP55" s="296"/>
      <c r="BQ55" s="296"/>
      <c r="BR55" s="296"/>
      <c r="BS55" s="296"/>
      <c r="BT55" s="5"/>
      <c r="BU55" s="5"/>
      <c r="BV55" s="5"/>
      <c r="BW55" s="5"/>
      <c r="BX55" s="299"/>
      <c r="BY55" s="293"/>
      <c r="BZ55" s="296"/>
      <c r="CA55" s="296"/>
      <c r="CB55" s="296"/>
      <c r="CC55" s="296"/>
      <c r="CD55" s="296"/>
      <c r="CE55" s="296"/>
      <c r="CF55" s="296"/>
      <c r="CG55" s="296"/>
      <c r="CH55" s="296"/>
      <c r="CI55" s="296"/>
      <c r="CJ55" s="296"/>
      <c r="CK55" s="296"/>
      <c r="CL55" s="296"/>
      <c r="CM55" s="296"/>
      <c r="CN55" s="296"/>
      <c r="CO55" s="296"/>
      <c r="CP55" s="296"/>
      <c r="CQ55" s="297"/>
    </row>
    <row r="56" spans="1:95" ht="15.75" customHeight="1">
      <c r="A56" s="596" t="s">
        <v>189</v>
      </c>
      <c r="B56" s="597"/>
      <c r="C56" s="598">
        <v>1</v>
      </c>
      <c r="D56" s="599"/>
      <c r="E56" s="296" t="s">
        <v>24</v>
      </c>
      <c r="F56" s="296"/>
      <c r="G56" s="296"/>
      <c r="H56" s="296"/>
      <c r="I56" s="296"/>
      <c r="J56" s="305" t="str">
        <f>IF(C56&lt;0.4*C57,"Asymmetrical lay-up: skin too thin in comparison, see T3.4.4.","")</f>
        <v/>
      </c>
      <c r="K56" s="296"/>
      <c r="L56" s="296"/>
      <c r="M56" s="296"/>
      <c r="N56" s="296"/>
      <c r="O56" s="5"/>
      <c r="P56" s="5"/>
      <c r="Q56" s="5"/>
      <c r="R56" s="5"/>
      <c r="S56" s="299"/>
      <c r="T56" s="596" t="s">
        <v>189</v>
      </c>
      <c r="U56" s="597"/>
      <c r="V56" s="598">
        <v>1</v>
      </c>
      <c r="W56" s="599"/>
      <c r="X56" s="296" t="s">
        <v>24</v>
      </c>
      <c r="Y56" s="296"/>
      <c r="Z56" s="296"/>
      <c r="AA56" s="296"/>
      <c r="AB56" s="296"/>
      <c r="AC56" s="305" t="str">
        <f>IF(V56&lt;0.4*V57,"Asymmetrical lay-up: skin too thin in comparison, see T3.4.4.","")</f>
        <v/>
      </c>
      <c r="AD56" s="296"/>
      <c r="AE56" s="296"/>
      <c r="AF56" s="296"/>
      <c r="AG56" s="296"/>
      <c r="AH56" s="5"/>
      <c r="AI56" s="5"/>
      <c r="AJ56" s="5"/>
      <c r="AK56" s="5"/>
      <c r="AL56" s="299"/>
      <c r="AM56" s="596" t="s">
        <v>189</v>
      </c>
      <c r="AN56" s="597"/>
      <c r="AO56" s="598">
        <v>1</v>
      </c>
      <c r="AP56" s="599"/>
      <c r="AQ56" s="296" t="s">
        <v>24</v>
      </c>
      <c r="AR56" s="296"/>
      <c r="AS56" s="296"/>
      <c r="AT56" s="296"/>
      <c r="AU56" s="296"/>
      <c r="AV56" s="305" t="str">
        <f>IF(AO56&lt;0.4*AO57,"Asymmetrical lay-up: skin too thin in comparison, see T3.4.4.","")</f>
        <v/>
      </c>
      <c r="AW56" s="296"/>
      <c r="AX56" s="296"/>
      <c r="AY56" s="296"/>
      <c r="AZ56" s="296"/>
      <c r="BA56" s="5"/>
      <c r="BB56" s="5"/>
      <c r="BC56" s="5"/>
      <c r="BD56" s="5"/>
      <c r="BE56" s="299"/>
      <c r="BF56" s="596" t="s">
        <v>189</v>
      </c>
      <c r="BG56" s="597"/>
      <c r="BH56" s="598">
        <v>1</v>
      </c>
      <c r="BI56" s="599"/>
      <c r="BJ56" s="296" t="s">
        <v>24</v>
      </c>
      <c r="BK56" s="296"/>
      <c r="BL56" s="296"/>
      <c r="BM56" s="296"/>
      <c r="BN56" s="296"/>
      <c r="BO56" s="305" t="str">
        <f>IF(BH56&lt;0.4*BH57,"Asymmetrical lay-up: skin too thin in comparison, see T3.4.4.","")</f>
        <v/>
      </c>
      <c r="BP56" s="296"/>
      <c r="BQ56" s="296"/>
      <c r="BR56" s="296"/>
      <c r="BS56" s="296"/>
      <c r="BT56" s="5"/>
      <c r="BU56" s="5"/>
      <c r="BV56" s="5"/>
      <c r="BW56" s="5"/>
      <c r="BX56" s="299"/>
      <c r="BY56" s="293"/>
      <c r="BZ56" s="296"/>
      <c r="CA56" s="296"/>
      <c r="CB56" s="296"/>
      <c r="CC56" s="296"/>
      <c r="CD56" s="296"/>
      <c r="CE56" s="296"/>
      <c r="CF56" s="296"/>
      <c r="CG56" s="296"/>
      <c r="CH56" s="296"/>
      <c r="CI56" s="296"/>
      <c r="CJ56" s="306"/>
      <c r="CK56" s="296"/>
      <c r="CL56" s="296"/>
      <c r="CM56" s="296"/>
      <c r="CN56" s="296"/>
      <c r="CO56" s="296"/>
      <c r="CP56" s="296"/>
      <c r="CQ56" s="297"/>
    </row>
    <row r="57" spans="1:95" ht="15.75" customHeight="1">
      <c r="A57" s="596" t="s">
        <v>190</v>
      </c>
      <c r="B57" s="597"/>
      <c r="C57" s="598">
        <v>1</v>
      </c>
      <c r="D57" s="599"/>
      <c r="E57" s="296" t="s">
        <v>25</v>
      </c>
      <c r="F57" s="296"/>
      <c r="G57" s="296"/>
      <c r="H57" s="296"/>
      <c r="I57" s="296"/>
      <c r="J57" s="305" t="str">
        <f>IF(C57&lt;0.4*C56,"Asymmetrical lay-up: skin too thin in comparison, see T3.4.4.","")</f>
        <v/>
      </c>
      <c r="K57" s="296"/>
      <c r="L57" s="296"/>
      <c r="M57" s="296"/>
      <c r="N57" s="296"/>
      <c r="O57" s="5"/>
      <c r="P57" s="5"/>
      <c r="Q57" s="5"/>
      <c r="R57" s="5"/>
      <c r="S57" s="299"/>
      <c r="T57" s="596" t="s">
        <v>190</v>
      </c>
      <c r="U57" s="597"/>
      <c r="V57" s="598">
        <v>1</v>
      </c>
      <c r="W57" s="599"/>
      <c r="X57" s="296" t="s">
        <v>25</v>
      </c>
      <c r="Y57" s="296"/>
      <c r="Z57" s="296"/>
      <c r="AA57" s="296"/>
      <c r="AB57" s="296"/>
      <c r="AC57" s="305" t="str">
        <f>IF(V57&lt;0.4*V56,"Asymmetrical lay-up: skin too thin in comparison, see T3.4.4.","")</f>
        <v/>
      </c>
      <c r="AD57" s="296"/>
      <c r="AE57" s="296"/>
      <c r="AF57" s="296"/>
      <c r="AG57" s="296"/>
      <c r="AH57" s="5"/>
      <c r="AI57" s="5"/>
      <c r="AJ57" s="5"/>
      <c r="AK57" s="5"/>
      <c r="AL57" s="299"/>
      <c r="AM57" s="596" t="s">
        <v>190</v>
      </c>
      <c r="AN57" s="597"/>
      <c r="AO57" s="598">
        <v>1</v>
      </c>
      <c r="AP57" s="599"/>
      <c r="AQ57" s="296" t="s">
        <v>25</v>
      </c>
      <c r="AR57" s="296"/>
      <c r="AS57" s="296"/>
      <c r="AT57" s="296"/>
      <c r="AU57" s="296"/>
      <c r="AV57" s="305" t="str">
        <f>IF(AO57&lt;0.4*AO56,"Asymmetrical lay-up: skin too thin in comparison, see T3.4.4.","")</f>
        <v/>
      </c>
      <c r="AW57" s="296"/>
      <c r="AX57" s="296"/>
      <c r="AY57" s="296"/>
      <c r="AZ57" s="296"/>
      <c r="BA57" s="5"/>
      <c r="BB57" s="5"/>
      <c r="BC57" s="5"/>
      <c r="BD57" s="5"/>
      <c r="BE57" s="299"/>
      <c r="BF57" s="596" t="s">
        <v>190</v>
      </c>
      <c r="BG57" s="597"/>
      <c r="BH57" s="598">
        <v>1</v>
      </c>
      <c r="BI57" s="599"/>
      <c r="BJ57" s="296" t="s">
        <v>25</v>
      </c>
      <c r="BK57" s="296"/>
      <c r="BL57" s="296"/>
      <c r="BM57" s="296"/>
      <c r="BN57" s="296"/>
      <c r="BO57" s="305" t="str">
        <f>IF(BH57&lt;0.4*BH56,"Asymmetrical lay-up: skin too thin in comparison, see T3.4.4.","")</f>
        <v/>
      </c>
      <c r="BP57" s="296"/>
      <c r="BQ57" s="296"/>
      <c r="BR57" s="296"/>
      <c r="BS57" s="296"/>
      <c r="BT57" s="5"/>
      <c r="BU57" s="5"/>
      <c r="BV57" s="5"/>
      <c r="BW57" s="5"/>
      <c r="BX57" s="299"/>
      <c r="BY57" s="293"/>
      <c r="BZ57" s="296"/>
      <c r="CA57" s="296"/>
      <c r="CB57" s="296"/>
      <c r="CC57" s="296"/>
      <c r="CD57" s="296"/>
      <c r="CE57" s="296"/>
      <c r="CF57" s="296"/>
      <c r="CG57" s="296"/>
      <c r="CH57" s="296"/>
      <c r="CI57" s="296"/>
      <c r="CJ57" s="306"/>
      <c r="CK57" s="296"/>
      <c r="CL57" s="296"/>
      <c r="CM57" s="296"/>
      <c r="CN57" s="296"/>
      <c r="CO57" s="296"/>
      <c r="CP57" s="296"/>
      <c r="CQ57" s="297"/>
    </row>
    <row r="58" spans="1:95" ht="15">
      <c r="A58" s="307"/>
      <c r="B58" s="300" t="s">
        <v>191</v>
      </c>
      <c r="C58" s="615">
        <f>(C54*(((C55+C56+C57)^3)-(C55^3)))/12</f>
        <v>100</v>
      </c>
      <c r="D58" s="616"/>
      <c r="E58" s="296" t="s">
        <v>192</v>
      </c>
      <c r="F58" s="296"/>
      <c r="G58" s="296"/>
      <c r="H58" s="296"/>
      <c r="I58" s="296"/>
      <c r="J58" s="296"/>
      <c r="K58" s="296"/>
      <c r="L58" s="296"/>
      <c r="M58" s="296"/>
      <c r="N58" s="296"/>
      <c r="O58" s="5"/>
      <c r="P58" s="5"/>
      <c r="Q58" s="5"/>
      <c r="R58" s="5"/>
      <c r="S58" s="299"/>
      <c r="T58" s="307"/>
      <c r="U58" s="300" t="s">
        <v>191</v>
      </c>
      <c r="V58" s="615">
        <f>(V54*(((V55+V56+V57)^3)-(V55^3)))/12</f>
        <v>100</v>
      </c>
      <c r="W58" s="616"/>
      <c r="X58" s="296" t="s">
        <v>192</v>
      </c>
      <c r="Y58" s="296"/>
      <c r="Z58" s="296"/>
      <c r="AA58" s="296"/>
      <c r="AB58" s="296"/>
      <c r="AC58" s="296"/>
      <c r="AD58" s="296"/>
      <c r="AE58" s="296"/>
      <c r="AF58" s="296"/>
      <c r="AG58" s="296"/>
      <c r="AH58" s="5"/>
      <c r="AI58" s="5"/>
      <c r="AJ58" s="5"/>
      <c r="AK58" s="5"/>
      <c r="AL58" s="299"/>
      <c r="AM58" s="307"/>
      <c r="AN58" s="300" t="s">
        <v>191</v>
      </c>
      <c r="AO58" s="615">
        <f>(AO54*(((AO55+AO56+AO57)^3)-(AO55^3)))/12</f>
        <v>100</v>
      </c>
      <c r="AP58" s="616"/>
      <c r="AQ58" s="296" t="s">
        <v>192</v>
      </c>
      <c r="AR58" s="296"/>
      <c r="AS58" s="296"/>
      <c r="AT58" s="296"/>
      <c r="AU58" s="296"/>
      <c r="AV58" s="296"/>
      <c r="AW58" s="296"/>
      <c r="AX58" s="296"/>
      <c r="AY58" s="296"/>
      <c r="AZ58" s="296"/>
      <c r="BA58" s="5"/>
      <c r="BB58" s="5"/>
      <c r="BC58" s="5"/>
      <c r="BD58" s="5"/>
      <c r="BE58" s="299"/>
      <c r="BF58" s="307"/>
      <c r="BG58" s="300" t="s">
        <v>191</v>
      </c>
      <c r="BH58" s="615">
        <f>(BH54*(((BH55+BH56+BH57)^3)-(BH55^3)))/12</f>
        <v>100</v>
      </c>
      <c r="BI58" s="616"/>
      <c r="BJ58" s="296" t="s">
        <v>192</v>
      </c>
      <c r="BK58" s="296"/>
      <c r="BL58" s="296"/>
      <c r="BM58" s="296"/>
      <c r="BN58" s="296"/>
      <c r="BO58" s="296"/>
      <c r="BP58" s="296"/>
      <c r="BQ58" s="296"/>
      <c r="BR58" s="296"/>
      <c r="BS58" s="296"/>
      <c r="BT58" s="5"/>
      <c r="BU58" s="5"/>
      <c r="BV58" s="5"/>
      <c r="BW58" s="5"/>
      <c r="BX58" s="299"/>
      <c r="BY58" s="293"/>
      <c r="BZ58" s="296"/>
      <c r="CA58" s="296"/>
      <c r="CB58" s="296"/>
      <c r="CC58" s="296"/>
      <c r="CD58" s="296"/>
      <c r="CE58" s="296"/>
      <c r="CF58" s="296"/>
      <c r="CG58" s="296"/>
      <c r="CH58" s="296"/>
      <c r="CI58" s="296"/>
      <c r="CJ58" s="306"/>
      <c r="CK58" s="296"/>
      <c r="CL58" s="296"/>
      <c r="CM58" s="296"/>
      <c r="CN58" s="296"/>
      <c r="CO58" s="296"/>
      <c r="CP58" s="296"/>
      <c r="CQ58" s="297"/>
    </row>
    <row r="59" spans="1:95">
      <c r="A59" s="301"/>
      <c r="B59" s="300" t="s">
        <v>193</v>
      </c>
      <c r="C59" s="617">
        <f>IF(C47&gt;0,0.001*((N46*(C47-C46)*C53^3)/(48*C58*(C47-C46))),0)</f>
        <v>0</v>
      </c>
      <c r="D59" s="618"/>
      <c r="E59" s="296" t="s">
        <v>194</v>
      </c>
      <c r="F59" s="5"/>
      <c r="G59" s="5"/>
      <c r="H59" s="5"/>
      <c r="I59" s="5"/>
      <c r="J59" s="5"/>
      <c r="K59" s="5"/>
      <c r="L59" s="5"/>
      <c r="M59" s="5"/>
      <c r="N59" s="5"/>
      <c r="O59" s="5"/>
      <c r="P59" s="5"/>
      <c r="Q59" s="5"/>
      <c r="R59" s="5"/>
      <c r="S59" s="299"/>
      <c r="T59" s="301"/>
      <c r="U59" s="300" t="s">
        <v>193</v>
      </c>
      <c r="V59" s="617">
        <f>IF(V47&gt;0,0.001*((AG46*(V47-V46)*V53^3)/(48*V58*(V47-V46))),0)</f>
        <v>0</v>
      </c>
      <c r="W59" s="618"/>
      <c r="X59" s="296" t="s">
        <v>194</v>
      </c>
      <c r="Y59" s="5"/>
      <c r="Z59" s="5"/>
      <c r="AA59" s="5"/>
      <c r="AB59" s="5"/>
      <c r="AC59" s="5"/>
      <c r="AD59" s="5"/>
      <c r="AE59" s="5"/>
      <c r="AF59" s="5"/>
      <c r="AG59" s="5"/>
      <c r="AH59" s="5"/>
      <c r="AI59" s="5"/>
      <c r="AJ59" s="5"/>
      <c r="AK59" s="5"/>
      <c r="AL59" s="299"/>
      <c r="AM59" s="301"/>
      <c r="AN59" s="300" t="s">
        <v>193</v>
      </c>
      <c r="AO59" s="617">
        <f>IF(AO47&gt;0,0.001*((AZ46*(AO47-AO46)*AO53^3)/(48*AO58*(AO47-AO46))),0)</f>
        <v>0</v>
      </c>
      <c r="AP59" s="618"/>
      <c r="AQ59" s="296" t="s">
        <v>194</v>
      </c>
      <c r="AR59" s="5"/>
      <c r="AS59" s="5"/>
      <c r="AT59" s="5"/>
      <c r="AU59" s="5"/>
      <c r="AV59" s="5"/>
      <c r="AW59" s="5"/>
      <c r="AX59" s="5"/>
      <c r="AY59" s="5"/>
      <c r="AZ59" s="5"/>
      <c r="BA59" s="5"/>
      <c r="BB59" s="5"/>
      <c r="BC59" s="5"/>
      <c r="BD59" s="5"/>
      <c r="BE59" s="299"/>
      <c r="BF59" s="301"/>
      <c r="BG59" s="300" t="s">
        <v>193</v>
      </c>
      <c r="BH59" s="617">
        <f>IF(BH47&gt;0,0.001*((BS46*(BH47-BH46)*BH53^3)/(48*BH58*(BH47-BH46))),0)</f>
        <v>0</v>
      </c>
      <c r="BI59" s="618"/>
      <c r="BJ59" s="296" t="s">
        <v>194</v>
      </c>
      <c r="BK59" s="5"/>
      <c r="BL59" s="5"/>
      <c r="BM59" s="5"/>
      <c r="BN59" s="5"/>
      <c r="BO59" s="5"/>
      <c r="BP59" s="5"/>
      <c r="BQ59" s="5"/>
      <c r="BR59" s="5"/>
      <c r="BS59" s="5"/>
      <c r="BT59" s="5"/>
      <c r="BU59" s="5"/>
      <c r="BV59" s="5"/>
      <c r="BW59" s="5"/>
      <c r="BX59" s="299"/>
      <c r="BY59" s="293"/>
      <c r="BZ59" s="296"/>
      <c r="CA59" s="296"/>
      <c r="CB59" s="296"/>
      <c r="CC59" s="296"/>
      <c r="CD59" s="296"/>
      <c r="CE59" s="296"/>
      <c r="CF59" s="296"/>
      <c r="CG59" s="296"/>
      <c r="CH59" s="296"/>
      <c r="CI59" s="296"/>
      <c r="CJ59" s="296"/>
      <c r="CK59" s="296"/>
      <c r="CL59" s="296"/>
      <c r="CM59" s="296"/>
      <c r="CN59" s="296"/>
      <c r="CO59" s="296"/>
      <c r="CP59" s="296"/>
      <c r="CQ59" s="297"/>
    </row>
    <row r="60" spans="1:95">
      <c r="A60" s="308"/>
      <c r="B60" s="309" t="s">
        <v>195</v>
      </c>
      <c r="C60" s="594">
        <f>C50*C53*0.5*SUM(C55:D57)/(4*C58)</f>
        <v>0</v>
      </c>
      <c r="D60" s="595"/>
      <c r="E60" s="310" t="s">
        <v>196</v>
      </c>
      <c r="F60" s="311"/>
      <c r="G60" s="311"/>
      <c r="H60" s="311"/>
      <c r="I60" s="311"/>
      <c r="J60" s="311"/>
      <c r="K60" s="311"/>
      <c r="L60" s="311"/>
      <c r="M60" s="311"/>
      <c r="N60" s="311"/>
      <c r="O60" s="311"/>
      <c r="P60" s="311"/>
      <c r="Q60" s="311"/>
      <c r="R60" s="311"/>
      <c r="S60" s="312"/>
      <c r="T60" s="308"/>
      <c r="U60" s="309" t="s">
        <v>195</v>
      </c>
      <c r="V60" s="594">
        <f>V50*V53*0.5*SUM(V55:W57)/(4*V58)</f>
        <v>0</v>
      </c>
      <c r="W60" s="595"/>
      <c r="X60" s="310" t="s">
        <v>196</v>
      </c>
      <c r="Y60" s="311"/>
      <c r="Z60" s="311"/>
      <c r="AA60" s="311"/>
      <c r="AB60" s="311"/>
      <c r="AC60" s="311"/>
      <c r="AD60" s="311"/>
      <c r="AE60" s="311"/>
      <c r="AF60" s="311"/>
      <c r="AG60" s="311"/>
      <c r="AH60" s="311"/>
      <c r="AI60" s="311"/>
      <c r="AJ60" s="311"/>
      <c r="AK60" s="311"/>
      <c r="AL60" s="312"/>
      <c r="AM60" s="308"/>
      <c r="AN60" s="309" t="s">
        <v>195</v>
      </c>
      <c r="AO60" s="594">
        <f>AO50*AO53*0.5*SUM(AO55:AP57)/(4*AO58)</f>
        <v>0</v>
      </c>
      <c r="AP60" s="595"/>
      <c r="AQ60" s="310" t="s">
        <v>196</v>
      </c>
      <c r="AR60" s="311"/>
      <c r="AS60" s="311"/>
      <c r="AT60" s="311"/>
      <c r="AU60" s="311"/>
      <c r="AV60" s="311"/>
      <c r="AW60" s="311"/>
      <c r="AX60" s="311"/>
      <c r="AY60" s="311"/>
      <c r="AZ60" s="311"/>
      <c r="BA60" s="311"/>
      <c r="BB60" s="311"/>
      <c r="BC60" s="311"/>
      <c r="BD60" s="311"/>
      <c r="BE60" s="312"/>
      <c r="BF60" s="308"/>
      <c r="BG60" s="309" t="s">
        <v>195</v>
      </c>
      <c r="BH60" s="594">
        <f>BH50*BH53*0.5*SUM(BH55:BI57)/(4*BH58)</f>
        <v>0</v>
      </c>
      <c r="BI60" s="595"/>
      <c r="BJ60" s="310" t="s">
        <v>196</v>
      </c>
      <c r="BK60" s="311"/>
      <c r="BL60" s="311"/>
      <c r="BM60" s="311"/>
      <c r="BN60" s="311"/>
      <c r="BO60" s="311"/>
      <c r="BP60" s="311"/>
      <c r="BQ60" s="311"/>
      <c r="BR60" s="311"/>
      <c r="BS60" s="311"/>
      <c r="BT60" s="311"/>
      <c r="BU60" s="311"/>
      <c r="BV60" s="311"/>
      <c r="BW60" s="311"/>
      <c r="BX60" s="312"/>
      <c r="BY60" s="313"/>
      <c r="BZ60" s="310"/>
      <c r="CA60" s="310"/>
      <c r="CB60" s="310"/>
      <c r="CC60" s="310"/>
      <c r="CD60" s="310"/>
      <c r="CE60" s="310"/>
      <c r="CF60" s="310"/>
      <c r="CG60" s="310"/>
      <c r="CH60" s="310"/>
      <c r="CI60" s="310"/>
      <c r="CJ60" s="310"/>
      <c r="CK60" s="310"/>
      <c r="CL60" s="310"/>
      <c r="CM60" s="310"/>
      <c r="CN60" s="310"/>
      <c r="CO60" s="310"/>
      <c r="CP60" s="310"/>
      <c r="CQ60" s="314"/>
    </row>
    <row r="61" spans="1:95">
      <c r="A61" s="596" t="s">
        <v>197</v>
      </c>
      <c r="B61" s="597"/>
      <c r="C61" s="638"/>
      <c r="D61" s="639"/>
      <c r="E61" s="97" t="s">
        <v>198</v>
      </c>
      <c r="F61" s="5"/>
      <c r="G61" s="5"/>
      <c r="H61" s="5"/>
      <c r="I61" s="5"/>
      <c r="J61" s="5"/>
      <c r="K61" s="5"/>
      <c r="L61" s="5"/>
      <c r="M61" s="5"/>
      <c r="N61" s="5"/>
      <c r="O61" s="5"/>
      <c r="P61" s="5"/>
      <c r="Q61" s="5"/>
      <c r="R61" s="5"/>
      <c r="S61" s="299"/>
      <c r="T61" s="596" t="s">
        <v>197</v>
      </c>
      <c r="U61" s="597"/>
      <c r="V61" s="638"/>
      <c r="W61" s="639"/>
      <c r="X61" s="621" t="s">
        <v>198</v>
      </c>
      <c r="Y61" s="622"/>
      <c r="Z61" s="622"/>
      <c r="AA61" s="622"/>
      <c r="AB61" s="622"/>
      <c r="AC61" s="622"/>
      <c r="AD61" s="622"/>
      <c r="AE61" s="622"/>
      <c r="AF61" s="622"/>
      <c r="AG61" s="622"/>
      <c r="AH61" s="622"/>
      <c r="AI61" s="622"/>
      <c r="AJ61" s="622"/>
      <c r="AK61" s="622"/>
      <c r="AL61" s="623"/>
      <c r="AM61" s="596" t="s">
        <v>197</v>
      </c>
      <c r="AN61" s="597"/>
      <c r="AO61" s="638"/>
      <c r="AP61" s="639"/>
      <c r="AQ61" t="s">
        <v>198</v>
      </c>
      <c r="AR61" s="5"/>
      <c r="AS61" s="5"/>
      <c r="AT61" s="5"/>
      <c r="AU61" s="5"/>
      <c r="AV61" s="5"/>
      <c r="AW61" s="5"/>
      <c r="AX61" s="5"/>
      <c r="AY61" s="5"/>
      <c r="AZ61" s="5"/>
      <c r="BA61" s="5"/>
      <c r="BB61" s="5"/>
      <c r="BC61" s="5"/>
      <c r="BD61" s="5"/>
      <c r="BE61" s="299"/>
      <c r="BF61" s="596" t="s">
        <v>197</v>
      </c>
      <c r="BG61" s="597"/>
      <c r="BH61" s="619"/>
      <c r="BI61" s="620"/>
      <c r="BJ61" t="s">
        <v>198</v>
      </c>
      <c r="BK61" s="5"/>
      <c r="BL61" s="5"/>
      <c r="BM61" s="5"/>
      <c r="BN61" s="5"/>
      <c r="BO61" s="5"/>
      <c r="BP61" s="5"/>
      <c r="BQ61" s="5"/>
      <c r="BR61" s="5"/>
      <c r="BS61" s="5"/>
      <c r="BT61" s="5"/>
      <c r="BU61" s="5"/>
      <c r="BV61" s="5"/>
      <c r="BW61" s="5"/>
      <c r="BX61" s="299"/>
      <c r="BY61" s="296"/>
      <c r="BZ61" s="296"/>
      <c r="CA61" s="296"/>
      <c r="CB61" s="296"/>
      <c r="CC61" s="296"/>
      <c r="CD61" s="296"/>
      <c r="CE61" s="296"/>
      <c r="CF61" s="296"/>
      <c r="CG61" s="296"/>
      <c r="CH61" s="296"/>
      <c r="CI61" s="296"/>
      <c r="CJ61" s="296"/>
      <c r="CK61" s="296"/>
      <c r="CL61" s="296"/>
      <c r="CM61" s="296"/>
      <c r="CN61" s="296"/>
      <c r="CO61" s="296"/>
      <c r="CP61" s="296"/>
      <c r="CQ61" s="297"/>
    </row>
    <row r="62" spans="1:95">
      <c r="A62" s="301"/>
      <c r="B62" s="315"/>
      <c r="C62" s="589" t="str" cm="1">
        <f t="array" ref="C62">_xlfn.IFS(AND(NOT(C55=0),C56&gt;=C61,C57&gt;=C61,NOT(ISBLANK(C61)),NOT(C61=0)),"PASS",AND(C55=0,(C56+C57)&gt;=C61,NOT(ISBLANK(C61)),NOT(C61=0)),"PASS", AND(NOT(C55=0),OR(C56&lt;C61,C57&lt;C61,ISBLANK(C61),C61=0)),"FAIL",AND(C55=0,OR((C56+C57)&lt;C61,ISBLANK(C61),C61=0)),"FAIL")</f>
        <v>FAIL</v>
      </c>
      <c r="D62" s="590"/>
      <c r="E62" s="296"/>
      <c r="F62" s="5"/>
      <c r="G62" s="5"/>
      <c r="H62" s="5"/>
      <c r="I62" s="5"/>
      <c r="J62" s="5"/>
      <c r="K62" s="5"/>
      <c r="L62" s="5"/>
      <c r="M62" s="5"/>
      <c r="N62" s="5"/>
      <c r="O62" s="5"/>
      <c r="P62" s="5"/>
      <c r="Q62" s="5"/>
      <c r="R62" s="5"/>
      <c r="S62" s="299"/>
      <c r="T62" s="301"/>
      <c r="U62" s="315"/>
      <c r="V62" s="589" t="str" cm="1">
        <f t="array" ref="V62">_xlfn.IFS(AND(NOT(V55=0),V56&gt;=V61,V57&gt;=V61,NOT(ISBLANK(V61)),NOT(V61=0)),"PASS",AND(V55=0,(V56+V57)&gt;=V61,NOT(ISBLANK(V61)),NOT(V61=0)),"PASS", AND(NOT(V55=0),OR(V56&lt;V61,V57&lt;V61,ISBLANK(V61),V61=0)),"FAIL",AND(V55=0,OR((V56+V57)&lt;V61,ISBLANK(V61),V61=0)),"FAIL")</f>
        <v>FAIL</v>
      </c>
      <c r="W62" s="590"/>
      <c r="X62" s="296"/>
      <c r="Y62" s="5"/>
      <c r="Z62" s="5"/>
      <c r="AA62" s="5"/>
      <c r="AB62" s="5"/>
      <c r="AC62" s="5"/>
      <c r="AD62" s="5"/>
      <c r="AE62" s="5"/>
      <c r="AF62" s="5"/>
      <c r="AG62" s="5"/>
      <c r="AH62" s="5"/>
      <c r="AI62" s="5"/>
      <c r="AJ62" s="5"/>
      <c r="AK62" s="5"/>
      <c r="AL62" s="299"/>
      <c r="AM62" s="301"/>
      <c r="AN62" s="315"/>
      <c r="AO62" s="589" t="str">
        <f t="array" ref="AO62">_xlfn.IFS(AND(NOT(AO55=0),AO56&gt;=AO61,AO57&gt;=AO61,NOT(ISBLANK(AO61)),NOT(AO61=0)),"PASS",AND(AO55=0,(AO56+AO57)&gt;=AO61,NOT(ISBLANK(AO61)),NOT(AO61=0)),"PASS", AND(NOT(AO55=0),OR(AO56&lt;AO61,AO57&lt;AO61,ISBLANK(AO61),AO61=0)),"FAIL",AND(AO55=0,OR((AO56+AO57)&lt;AO61,ISBLANK(AO61),AO61=0)),"FAIL")</f>
        <v>FAIL</v>
      </c>
      <c r="AP62" s="590"/>
      <c r="AQ62" s="296"/>
      <c r="AR62" s="5"/>
      <c r="AS62" s="5"/>
      <c r="AT62" s="5"/>
      <c r="AU62" s="5"/>
      <c r="AV62" s="5"/>
      <c r="AW62" s="5"/>
      <c r="AX62" s="5"/>
      <c r="AY62" s="5"/>
      <c r="AZ62" s="5"/>
      <c r="BA62" s="5"/>
      <c r="BB62" s="5"/>
      <c r="BC62" s="5"/>
      <c r="BD62" s="5"/>
      <c r="BE62" s="299"/>
      <c r="BF62" s="301"/>
      <c r="BG62" s="315"/>
      <c r="BH62" s="589" t="str">
        <f t="array" ref="BH62">_xlfn.IFS(AND(NOT(BH55=0),BH56&gt;=BH61,BH57&gt;=BH61,NOT(ISBLANK(BH61)),NOT(BH61=0)),"PASS",AND(BH55=0,(BH56+BH57)&gt;=BH61,NOT(ISBLANK(BH61)),NOT(BH61=0)),"PASS", AND(NOT(BH55=0),OR(BH56&lt;BH61,BH57&lt;BH61,ISBLANK(BH61),BH61=0)),"FAIL",AND(BH55=0,OR((BH56+BH57)&lt;BH61,ISBLANK(BH61),BH61=0)),"FAIL")</f>
        <v>FAIL</v>
      </c>
      <c r="BI62" s="590"/>
      <c r="BJ62" s="296"/>
      <c r="BK62" s="5"/>
      <c r="BL62" s="5"/>
      <c r="BM62" s="5"/>
      <c r="BN62" s="5"/>
      <c r="BO62" s="5"/>
      <c r="BP62" s="5"/>
      <c r="BQ62" s="5"/>
      <c r="BR62" s="5"/>
      <c r="BS62" s="5"/>
      <c r="BT62" s="5"/>
      <c r="BU62" s="5"/>
      <c r="BV62" s="5"/>
      <c r="BW62" s="5"/>
      <c r="BX62" s="299"/>
      <c r="BY62" s="296"/>
      <c r="BZ62" s="296"/>
      <c r="CA62" s="296"/>
      <c r="CB62" s="296"/>
      <c r="CC62" s="296"/>
      <c r="CD62" s="296"/>
      <c r="CE62" s="296"/>
      <c r="CF62" s="296"/>
      <c r="CG62" s="296"/>
      <c r="CH62" s="296"/>
      <c r="CI62" s="296"/>
      <c r="CJ62" s="296"/>
      <c r="CK62" s="296"/>
      <c r="CL62" s="296"/>
      <c r="CM62" s="296"/>
      <c r="CN62" s="296"/>
      <c r="CO62" s="296"/>
      <c r="CP62" s="296"/>
      <c r="CQ62" s="297"/>
    </row>
    <row r="63" spans="1:95">
      <c r="A63" s="316" t="s">
        <v>199</v>
      </c>
      <c r="S63" s="6"/>
      <c r="T63" s="316" t="s">
        <v>199</v>
      </c>
      <c r="AL63" s="6"/>
      <c r="AM63" s="316" t="s">
        <v>199</v>
      </c>
      <c r="BE63" s="6"/>
      <c r="BF63" s="316" t="s">
        <v>199</v>
      </c>
      <c r="BX63" s="6"/>
      <c r="BY63" s="316" t="s">
        <v>199</v>
      </c>
      <c r="CQ63" s="6"/>
    </row>
    <row r="64" spans="1:95">
      <c r="A64" s="296" t="s">
        <v>200</v>
      </c>
      <c r="S64" s="6"/>
      <c r="T64" s="296" t="s">
        <v>200</v>
      </c>
      <c r="AL64" s="6"/>
      <c r="AM64" s="296" t="s">
        <v>200</v>
      </c>
      <c r="BE64" s="6"/>
      <c r="BF64" s="296" t="s">
        <v>200</v>
      </c>
      <c r="BX64" s="6"/>
      <c r="BY64" s="296" t="s">
        <v>200</v>
      </c>
      <c r="CQ64" s="6"/>
    </row>
    <row r="65" spans="1:95">
      <c r="A65" s="296" t="s">
        <v>201</v>
      </c>
      <c r="S65" s="6"/>
      <c r="T65" s="296" t="s">
        <v>201</v>
      </c>
      <c r="AL65" s="6"/>
      <c r="AM65" s="296" t="s">
        <v>201</v>
      </c>
      <c r="BE65" s="6"/>
      <c r="BF65" s="296" t="s">
        <v>201</v>
      </c>
      <c r="BX65" s="6"/>
      <c r="BY65" s="296" t="s">
        <v>201</v>
      </c>
      <c r="CQ65" s="6"/>
    </row>
    <row r="66" spans="1:95">
      <c r="A66" s="4"/>
      <c r="S66" s="6"/>
      <c r="T66" s="4"/>
      <c r="AL66" s="6"/>
      <c r="AM66" s="4"/>
      <c r="BE66" s="6"/>
      <c r="BF66" s="4"/>
      <c r="BX66" s="6"/>
      <c r="BY66" s="4"/>
      <c r="CQ66" s="6"/>
    </row>
    <row r="67" spans="1:95" ht="30" customHeight="1">
      <c r="A67" s="4"/>
      <c r="B67" s="317"/>
      <c r="C67" s="318" t="s">
        <v>202</v>
      </c>
      <c r="D67" s="319" t="s">
        <v>203</v>
      </c>
      <c r="F67" s="591" t="s">
        <v>204</v>
      </c>
      <c r="G67" s="592"/>
      <c r="H67" s="592"/>
      <c r="I67" s="592"/>
      <c r="J67" s="592"/>
      <c r="K67" s="592"/>
      <c r="L67" s="592"/>
      <c r="M67" s="592"/>
      <c r="N67" s="592"/>
      <c r="O67" s="592"/>
      <c r="P67" s="592"/>
      <c r="Q67" s="592"/>
      <c r="R67" s="593"/>
      <c r="S67" s="6"/>
      <c r="T67" s="4"/>
      <c r="U67" s="317"/>
      <c r="V67" s="318" t="s">
        <v>202</v>
      </c>
      <c r="W67" s="319" t="s">
        <v>203</v>
      </c>
      <c r="Y67" s="591" t="s">
        <v>204</v>
      </c>
      <c r="Z67" s="592"/>
      <c r="AA67" s="592"/>
      <c r="AB67" s="592"/>
      <c r="AC67" s="592"/>
      <c r="AD67" s="592"/>
      <c r="AE67" s="592"/>
      <c r="AF67" s="592"/>
      <c r="AG67" s="592"/>
      <c r="AH67" s="592"/>
      <c r="AI67" s="592"/>
      <c r="AJ67" s="592"/>
      <c r="AK67" s="593"/>
      <c r="AL67" s="6"/>
      <c r="AM67" s="4"/>
      <c r="AN67" s="317"/>
      <c r="AO67" s="318" t="s">
        <v>202</v>
      </c>
      <c r="AP67" s="319" t="s">
        <v>203</v>
      </c>
      <c r="AR67" s="591" t="s">
        <v>204</v>
      </c>
      <c r="AS67" s="592"/>
      <c r="AT67" s="592"/>
      <c r="AU67" s="592"/>
      <c r="AV67" s="592"/>
      <c r="AW67" s="592"/>
      <c r="AX67" s="592"/>
      <c r="AY67" s="592"/>
      <c r="AZ67" s="592"/>
      <c r="BA67" s="592"/>
      <c r="BB67" s="592"/>
      <c r="BC67" s="592"/>
      <c r="BD67" s="593"/>
      <c r="BE67" s="6"/>
      <c r="BF67" s="4"/>
      <c r="BG67" s="317"/>
      <c r="BH67" s="318" t="s">
        <v>202</v>
      </c>
      <c r="BI67" s="319" t="s">
        <v>203</v>
      </c>
      <c r="BK67" s="591" t="s">
        <v>204</v>
      </c>
      <c r="BL67" s="592"/>
      <c r="BM67" s="592"/>
      <c r="BN67" s="592"/>
      <c r="BO67" s="592"/>
      <c r="BP67" s="592"/>
      <c r="BQ67" s="592"/>
      <c r="BR67" s="592"/>
      <c r="BS67" s="592"/>
      <c r="BT67" s="592"/>
      <c r="BU67" s="592"/>
      <c r="BV67" s="592"/>
      <c r="BW67" s="593"/>
      <c r="BX67" s="6"/>
      <c r="BY67" s="4"/>
      <c r="BZ67" s="317"/>
      <c r="CA67" s="318" t="s">
        <v>202</v>
      </c>
      <c r="CB67" s="319" t="s">
        <v>203</v>
      </c>
      <c r="CD67" s="591" t="s">
        <v>204</v>
      </c>
      <c r="CE67" s="592"/>
      <c r="CF67" s="592"/>
      <c r="CG67" s="592"/>
      <c r="CH67" s="592"/>
      <c r="CI67" s="592"/>
      <c r="CJ67" s="592"/>
      <c r="CK67" s="592"/>
      <c r="CL67" s="592"/>
      <c r="CM67" s="592"/>
      <c r="CN67" s="592"/>
      <c r="CO67" s="592"/>
      <c r="CP67" s="593"/>
      <c r="CQ67" s="6"/>
    </row>
    <row r="68" spans="1:95" ht="15">
      <c r="A68" s="4"/>
      <c r="B68" s="320">
        <v>1</v>
      </c>
      <c r="C68" s="322"/>
      <c r="D68" s="323"/>
      <c r="F68" s="135"/>
      <c r="G68" s="101"/>
      <c r="H68" s="321"/>
      <c r="I68" s="321"/>
      <c r="J68" s="81"/>
      <c r="K68" s="81"/>
      <c r="L68" s="81"/>
      <c r="M68" s="81"/>
      <c r="N68" s="81"/>
      <c r="O68" s="81"/>
      <c r="P68" s="81"/>
      <c r="Q68" s="81"/>
      <c r="R68" s="136"/>
      <c r="S68" s="6"/>
      <c r="T68" s="4"/>
      <c r="U68" s="320">
        <v>1</v>
      </c>
      <c r="V68" s="322"/>
      <c r="W68" s="323"/>
      <c r="Y68" s="135"/>
      <c r="Z68" s="101"/>
      <c r="AA68" s="321"/>
      <c r="AB68" s="321"/>
      <c r="AC68" s="81"/>
      <c r="AD68" s="81"/>
      <c r="AE68" s="81"/>
      <c r="AF68" s="81"/>
      <c r="AG68" s="81"/>
      <c r="AH68" s="81"/>
      <c r="AI68" s="81"/>
      <c r="AJ68" s="81"/>
      <c r="AK68" s="136"/>
      <c r="AL68" s="6"/>
      <c r="AM68" s="4"/>
      <c r="AN68" s="320">
        <v>1</v>
      </c>
      <c r="AO68" s="322"/>
      <c r="AP68" s="323"/>
      <c r="AR68" s="135"/>
      <c r="AS68" s="101"/>
      <c r="AT68" s="321"/>
      <c r="AU68" s="321"/>
      <c r="AV68" s="81"/>
      <c r="AW68" s="81"/>
      <c r="AX68" s="81"/>
      <c r="AY68" s="81"/>
      <c r="AZ68" s="81"/>
      <c r="BA68" s="81"/>
      <c r="BB68" s="81"/>
      <c r="BC68" s="81"/>
      <c r="BD68" s="136"/>
      <c r="BE68" s="6"/>
      <c r="BF68" s="4"/>
      <c r="BG68" s="320">
        <v>1</v>
      </c>
      <c r="BH68" s="322"/>
      <c r="BI68" s="323"/>
      <c r="BK68" s="135"/>
      <c r="BL68" s="101"/>
      <c r="BM68" s="321"/>
      <c r="BN68" s="321"/>
      <c r="BO68" s="81"/>
      <c r="BP68" s="81"/>
      <c r="BQ68" s="81"/>
      <c r="BR68" s="81"/>
      <c r="BS68" s="81"/>
      <c r="BT68" s="81"/>
      <c r="BU68" s="81"/>
      <c r="BV68" s="81"/>
      <c r="BW68" s="136"/>
      <c r="BX68" s="6"/>
      <c r="BY68" s="4"/>
      <c r="BZ68" s="320">
        <v>1</v>
      </c>
      <c r="CA68" s="322"/>
      <c r="CB68" s="323"/>
      <c r="CD68" s="135"/>
      <c r="CE68" s="101"/>
      <c r="CF68" s="321"/>
      <c r="CG68" s="321"/>
      <c r="CH68" s="81"/>
      <c r="CI68" s="81"/>
      <c r="CJ68" s="81"/>
      <c r="CK68" s="81"/>
      <c r="CL68" s="81"/>
      <c r="CM68" s="81"/>
      <c r="CN68" s="81"/>
      <c r="CO68" s="81"/>
      <c r="CP68" s="136"/>
      <c r="CQ68" s="6"/>
    </row>
    <row r="69" spans="1:95">
      <c r="A69" s="4"/>
      <c r="B69" s="320">
        <v>2</v>
      </c>
      <c r="C69" s="324"/>
      <c r="D69" s="325"/>
      <c r="F69" s="135"/>
      <c r="G69" s="137"/>
      <c r="H69" s="81"/>
      <c r="I69" s="81"/>
      <c r="J69" s="81"/>
      <c r="K69" s="81"/>
      <c r="L69" s="81"/>
      <c r="M69" s="81"/>
      <c r="N69" s="81"/>
      <c r="O69" s="81"/>
      <c r="P69" s="81"/>
      <c r="Q69" s="81"/>
      <c r="R69" s="136"/>
      <c r="S69" s="6"/>
      <c r="T69" s="4"/>
      <c r="U69" s="320">
        <v>2</v>
      </c>
      <c r="V69" s="324"/>
      <c r="W69" s="325"/>
      <c r="Y69" s="135"/>
      <c r="Z69" s="137"/>
      <c r="AA69" s="81"/>
      <c r="AB69" s="81"/>
      <c r="AC69" s="81"/>
      <c r="AD69" s="81"/>
      <c r="AE69" s="81"/>
      <c r="AF69" s="81"/>
      <c r="AG69" s="81"/>
      <c r="AH69" s="81"/>
      <c r="AI69" s="81"/>
      <c r="AJ69" s="81"/>
      <c r="AK69" s="136"/>
      <c r="AL69" s="6"/>
      <c r="AM69" s="4"/>
      <c r="AN69" s="320">
        <v>2</v>
      </c>
      <c r="AO69" s="324"/>
      <c r="AP69" s="325"/>
      <c r="AR69" s="135"/>
      <c r="AS69" s="137"/>
      <c r="AT69" s="81"/>
      <c r="AU69" s="81"/>
      <c r="AV69" s="81"/>
      <c r="AW69" s="81"/>
      <c r="AX69" s="81"/>
      <c r="AY69" s="81"/>
      <c r="AZ69" s="81"/>
      <c r="BA69" s="81"/>
      <c r="BB69" s="81"/>
      <c r="BC69" s="81"/>
      <c r="BD69" s="136"/>
      <c r="BE69" s="6"/>
      <c r="BF69" s="4"/>
      <c r="BG69" s="320">
        <v>2</v>
      </c>
      <c r="BH69" s="324"/>
      <c r="BI69" s="325"/>
      <c r="BK69" s="135"/>
      <c r="BL69" s="137"/>
      <c r="BM69" s="81"/>
      <c r="BN69" s="81"/>
      <c r="BO69" s="81"/>
      <c r="BP69" s="81"/>
      <c r="BQ69" s="81"/>
      <c r="BR69" s="81"/>
      <c r="BS69" s="81"/>
      <c r="BT69" s="81"/>
      <c r="BU69" s="81"/>
      <c r="BV69" s="81"/>
      <c r="BW69" s="136"/>
      <c r="BX69" s="6"/>
      <c r="BY69" s="4"/>
      <c r="BZ69" s="320">
        <v>2</v>
      </c>
      <c r="CA69" s="324"/>
      <c r="CB69" s="325"/>
      <c r="CD69" s="135"/>
      <c r="CE69" s="137"/>
      <c r="CF69" s="81"/>
      <c r="CG69" s="81"/>
      <c r="CH69" s="81"/>
      <c r="CI69" s="81"/>
      <c r="CJ69" s="81"/>
      <c r="CK69" s="81"/>
      <c r="CL69" s="81"/>
      <c r="CM69" s="81"/>
      <c r="CN69" s="81"/>
      <c r="CO69" s="81"/>
      <c r="CP69" s="136"/>
      <c r="CQ69" s="6"/>
    </row>
    <row r="70" spans="1:95">
      <c r="A70" s="4"/>
      <c r="B70" s="320">
        <v>3</v>
      </c>
      <c r="C70" s="324"/>
      <c r="D70" s="325"/>
      <c r="F70" s="135" t="s">
        <v>205</v>
      </c>
      <c r="G70" s="137"/>
      <c r="H70" s="81"/>
      <c r="I70" s="81"/>
      <c r="J70" s="81"/>
      <c r="K70" s="81"/>
      <c r="L70" s="81"/>
      <c r="M70" s="81"/>
      <c r="N70" s="81"/>
      <c r="O70" s="81"/>
      <c r="P70" s="81"/>
      <c r="Q70" s="81"/>
      <c r="R70" s="136"/>
      <c r="S70" s="6"/>
      <c r="T70" s="4"/>
      <c r="U70" s="320">
        <v>3</v>
      </c>
      <c r="V70" s="324"/>
      <c r="W70" s="325"/>
      <c r="Y70" s="135" t="s">
        <v>205</v>
      </c>
      <c r="Z70" s="137"/>
      <c r="AA70" s="81"/>
      <c r="AB70" s="81"/>
      <c r="AC70" s="81"/>
      <c r="AD70" s="81"/>
      <c r="AE70" s="81"/>
      <c r="AF70" s="81"/>
      <c r="AG70" s="81"/>
      <c r="AH70" s="81"/>
      <c r="AI70" s="81"/>
      <c r="AJ70" s="81"/>
      <c r="AK70" s="136"/>
      <c r="AL70" s="6"/>
      <c r="AM70" s="4"/>
      <c r="AN70" s="320">
        <v>3</v>
      </c>
      <c r="AO70" s="324"/>
      <c r="AP70" s="325"/>
      <c r="AR70" s="135" t="s">
        <v>205</v>
      </c>
      <c r="AS70" s="137"/>
      <c r="AT70" s="81"/>
      <c r="AU70" s="81"/>
      <c r="AV70" s="81"/>
      <c r="AW70" s="81"/>
      <c r="AX70" s="81"/>
      <c r="AY70" s="81"/>
      <c r="AZ70" s="81"/>
      <c r="BA70" s="81"/>
      <c r="BB70" s="81"/>
      <c r="BC70" s="81"/>
      <c r="BD70" s="136"/>
      <c r="BE70" s="6"/>
      <c r="BF70" s="4"/>
      <c r="BG70" s="320">
        <v>3</v>
      </c>
      <c r="BH70" s="324"/>
      <c r="BI70" s="325"/>
      <c r="BK70" s="135" t="s">
        <v>205</v>
      </c>
      <c r="BL70" s="137"/>
      <c r="BM70" s="81"/>
      <c r="BN70" s="81"/>
      <c r="BO70" s="81"/>
      <c r="BP70" s="81"/>
      <c r="BQ70" s="81"/>
      <c r="BR70" s="81"/>
      <c r="BS70" s="81"/>
      <c r="BT70" s="81"/>
      <c r="BU70" s="81"/>
      <c r="BV70" s="81"/>
      <c r="BW70" s="136"/>
      <c r="BX70" s="6"/>
      <c r="BY70" s="4"/>
      <c r="BZ70" s="320">
        <v>3</v>
      </c>
      <c r="CA70" s="324"/>
      <c r="CB70" s="325"/>
      <c r="CD70" s="135" t="s">
        <v>205</v>
      </c>
      <c r="CE70" s="137"/>
      <c r="CF70" s="81"/>
      <c r="CG70" s="81"/>
      <c r="CH70" s="81"/>
      <c r="CI70" s="81"/>
      <c r="CJ70" s="81"/>
      <c r="CK70" s="81"/>
      <c r="CL70" s="81"/>
      <c r="CM70" s="81"/>
      <c r="CN70" s="81"/>
      <c r="CO70" s="81"/>
      <c r="CP70" s="136"/>
      <c r="CQ70" s="6"/>
    </row>
    <row r="71" spans="1:95">
      <c r="A71" s="4"/>
      <c r="B71" s="320">
        <v>4</v>
      </c>
      <c r="C71" s="324"/>
      <c r="D71" s="325"/>
      <c r="F71" s="135" t="s">
        <v>206</v>
      </c>
      <c r="G71" s="81"/>
      <c r="H71" s="81"/>
      <c r="I71" s="81"/>
      <c r="J71" s="81"/>
      <c r="K71" s="81"/>
      <c r="L71" s="81"/>
      <c r="M71" s="81"/>
      <c r="N71" s="81"/>
      <c r="O71" s="81"/>
      <c r="P71" s="81"/>
      <c r="Q71" s="81"/>
      <c r="R71" s="136"/>
      <c r="S71" s="6"/>
      <c r="T71" s="4"/>
      <c r="U71" s="320">
        <v>4</v>
      </c>
      <c r="V71" s="324"/>
      <c r="W71" s="325"/>
      <c r="Y71" s="135" t="s">
        <v>206</v>
      </c>
      <c r="Z71" s="81"/>
      <c r="AA71" s="81"/>
      <c r="AB71" s="81"/>
      <c r="AC71" s="81"/>
      <c r="AD71" s="81"/>
      <c r="AE71" s="81"/>
      <c r="AF71" s="81"/>
      <c r="AG71" s="81"/>
      <c r="AH71" s="81"/>
      <c r="AI71" s="81"/>
      <c r="AJ71" s="81"/>
      <c r="AK71" s="136"/>
      <c r="AL71" s="6"/>
      <c r="AM71" s="4"/>
      <c r="AN71" s="320">
        <v>4</v>
      </c>
      <c r="AO71" s="324"/>
      <c r="AP71" s="325"/>
      <c r="AR71" s="135" t="s">
        <v>206</v>
      </c>
      <c r="AS71" s="81"/>
      <c r="AT71" s="81"/>
      <c r="AU71" s="81"/>
      <c r="AV71" s="81"/>
      <c r="AW71" s="81"/>
      <c r="AX71" s="81"/>
      <c r="AY71" s="81"/>
      <c r="AZ71" s="81"/>
      <c r="BA71" s="81"/>
      <c r="BB71" s="81"/>
      <c r="BC71" s="81"/>
      <c r="BD71" s="136"/>
      <c r="BE71" s="6"/>
      <c r="BF71" s="4"/>
      <c r="BG71" s="320">
        <v>4</v>
      </c>
      <c r="BH71" s="324"/>
      <c r="BI71" s="325"/>
      <c r="BK71" s="135" t="s">
        <v>206</v>
      </c>
      <c r="BL71" s="81"/>
      <c r="BM71" s="81"/>
      <c r="BN71" s="81"/>
      <c r="BO71" s="81"/>
      <c r="BP71" s="81"/>
      <c r="BQ71" s="81"/>
      <c r="BR71" s="81"/>
      <c r="BS71" s="81"/>
      <c r="BT71" s="81"/>
      <c r="BU71" s="81"/>
      <c r="BV71" s="81"/>
      <c r="BW71" s="136"/>
      <c r="BX71" s="6"/>
      <c r="BY71" s="4"/>
      <c r="BZ71" s="320">
        <v>4</v>
      </c>
      <c r="CA71" s="324"/>
      <c r="CB71" s="325"/>
      <c r="CD71" s="135" t="s">
        <v>206</v>
      </c>
      <c r="CE71" s="81"/>
      <c r="CF71" s="81"/>
      <c r="CG71" s="81"/>
      <c r="CH71" s="81"/>
      <c r="CI71" s="81"/>
      <c r="CJ71" s="81"/>
      <c r="CK71" s="81"/>
      <c r="CL71" s="81"/>
      <c r="CM71" s="81"/>
      <c r="CN71" s="81"/>
      <c r="CO71" s="81"/>
      <c r="CP71" s="136"/>
      <c r="CQ71" s="6"/>
    </row>
    <row r="72" spans="1:95">
      <c r="A72" s="4"/>
      <c r="B72" s="320">
        <v>5</v>
      </c>
      <c r="C72" s="324"/>
      <c r="D72" s="325"/>
      <c r="F72" s="135"/>
      <c r="G72" s="81"/>
      <c r="H72" s="81"/>
      <c r="I72" s="81"/>
      <c r="J72" s="81"/>
      <c r="K72" s="81"/>
      <c r="L72" s="81"/>
      <c r="M72" s="81"/>
      <c r="N72" s="81"/>
      <c r="O72" s="81"/>
      <c r="P72" s="81"/>
      <c r="Q72" s="81"/>
      <c r="R72" s="136"/>
      <c r="S72" s="6"/>
      <c r="T72" s="4"/>
      <c r="U72" s="320">
        <v>5</v>
      </c>
      <c r="V72" s="324"/>
      <c r="W72" s="325"/>
      <c r="Y72" s="135"/>
      <c r="Z72" s="81"/>
      <c r="AA72" s="81"/>
      <c r="AB72" s="81"/>
      <c r="AC72" s="81"/>
      <c r="AD72" s="81"/>
      <c r="AE72" s="81"/>
      <c r="AF72" s="81"/>
      <c r="AG72" s="81"/>
      <c r="AH72" s="81"/>
      <c r="AI72" s="81"/>
      <c r="AJ72" s="81"/>
      <c r="AK72" s="136"/>
      <c r="AL72" s="6"/>
      <c r="AM72" s="4"/>
      <c r="AN72" s="320">
        <v>5</v>
      </c>
      <c r="AO72" s="324"/>
      <c r="AP72" s="325"/>
      <c r="AR72" s="135"/>
      <c r="AS72" s="81"/>
      <c r="AT72" s="81"/>
      <c r="AU72" s="81"/>
      <c r="AV72" s="81"/>
      <c r="AW72" s="81"/>
      <c r="AX72" s="81"/>
      <c r="AY72" s="81"/>
      <c r="AZ72" s="81"/>
      <c r="BA72" s="81"/>
      <c r="BB72" s="81"/>
      <c r="BC72" s="81"/>
      <c r="BD72" s="136"/>
      <c r="BE72" s="6"/>
      <c r="BF72" s="4"/>
      <c r="BG72" s="320">
        <v>5</v>
      </c>
      <c r="BH72" s="324"/>
      <c r="BI72" s="325"/>
      <c r="BK72" s="135"/>
      <c r="BL72" s="81"/>
      <c r="BM72" s="81"/>
      <c r="BN72" s="81"/>
      <c r="BO72" s="81"/>
      <c r="BP72" s="81"/>
      <c r="BQ72" s="81"/>
      <c r="BR72" s="81"/>
      <c r="BS72" s="81"/>
      <c r="BT72" s="81"/>
      <c r="BU72" s="81"/>
      <c r="BV72" s="81"/>
      <c r="BW72" s="136"/>
      <c r="BX72" s="6"/>
      <c r="BY72" s="4"/>
      <c r="BZ72" s="320">
        <v>5</v>
      </c>
      <c r="CA72" s="324"/>
      <c r="CB72" s="325"/>
      <c r="CD72" s="135"/>
      <c r="CE72" s="81"/>
      <c r="CF72" s="81"/>
      <c r="CG72" s="81"/>
      <c r="CH72" s="81"/>
      <c r="CI72" s="81"/>
      <c r="CJ72" s="81"/>
      <c r="CK72" s="81"/>
      <c r="CL72" s="81"/>
      <c r="CM72" s="81"/>
      <c r="CN72" s="81"/>
      <c r="CO72" s="81"/>
      <c r="CP72" s="136"/>
      <c r="CQ72" s="6"/>
    </row>
    <row r="73" spans="1:95">
      <c r="A73" s="4"/>
      <c r="B73" s="320">
        <v>6</v>
      </c>
      <c r="C73" s="324"/>
      <c r="D73" s="325"/>
      <c r="F73" s="135"/>
      <c r="G73" s="81"/>
      <c r="H73" s="81"/>
      <c r="I73" s="81"/>
      <c r="J73" s="81"/>
      <c r="K73" s="81"/>
      <c r="L73" s="81"/>
      <c r="M73" s="81"/>
      <c r="N73" s="81"/>
      <c r="O73" s="81"/>
      <c r="P73" s="81"/>
      <c r="Q73" s="81"/>
      <c r="R73" s="136"/>
      <c r="S73" s="6"/>
      <c r="T73" s="4"/>
      <c r="U73" s="320">
        <v>6</v>
      </c>
      <c r="V73" s="324"/>
      <c r="W73" s="325"/>
      <c r="Y73" s="135"/>
      <c r="Z73" s="81"/>
      <c r="AA73" s="81"/>
      <c r="AB73" s="81"/>
      <c r="AC73" s="81"/>
      <c r="AD73" s="81"/>
      <c r="AE73" s="81"/>
      <c r="AF73" s="81"/>
      <c r="AG73" s="81"/>
      <c r="AH73" s="81"/>
      <c r="AI73" s="81"/>
      <c r="AJ73" s="81"/>
      <c r="AK73" s="136"/>
      <c r="AL73" s="6"/>
      <c r="AM73" s="4"/>
      <c r="AN73" s="320">
        <v>6</v>
      </c>
      <c r="AO73" s="324"/>
      <c r="AP73" s="325"/>
      <c r="AR73" s="135"/>
      <c r="AS73" s="81"/>
      <c r="AT73" s="81"/>
      <c r="AU73" s="81"/>
      <c r="AV73" s="81"/>
      <c r="AW73" s="81"/>
      <c r="AX73" s="81"/>
      <c r="AY73" s="81"/>
      <c r="AZ73" s="81"/>
      <c r="BA73" s="81"/>
      <c r="BB73" s="81"/>
      <c r="BC73" s="81"/>
      <c r="BD73" s="136"/>
      <c r="BE73" s="6"/>
      <c r="BF73" s="4"/>
      <c r="BG73" s="320">
        <v>6</v>
      </c>
      <c r="BH73" s="324"/>
      <c r="BI73" s="325"/>
      <c r="BK73" s="135"/>
      <c r="BL73" s="81"/>
      <c r="BM73" s="81"/>
      <c r="BN73" s="81"/>
      <c r="BO73" s="81"/>
      <c r="BP73" s="81"/>
      <c r="BQ73" s="81"/>
      <c r="BR73" s="81"/>
      <c r="BS73" s="81"/>
      <c r="BT73" s="81"/>
      <c r="BU73" s="81"/>
      <c r="BV73" s="81"/>
      <c r="BW73" s="136"/>
      <c r="BX73" s="6"/>
      <c r="BY73" s="4"/>
      <c r="BZ73" s="320">
        <v>6</v>
      </c>
      <c r="CA73" s="324"/>
      <c r="CB73" s="325"/>
      <c r="CD73" s="135"/>
      <c r="CE73" s="81"/>
      <c r="CF73" s="81"/>
      <c r="CG73" s="81"/>
      <c r="CH73" s="81"/>
      <c r="CI73" s="81"/>
      <c r="CJ73" s="81"/>
      <c r="CK73" s="81"/>
      <c r="CL73" s="81"/>
      <c r="CM73" s="81"/>
      <c r="CN73" s="81"/>
      <c r="CO73" s="81"/>
      <c r="CP73" s="136"/>
      <c r="CQ73" s="6"/>
    </row>
    <row r="74" spans="1:95">
      <c r="A74" s="4"/>
      <c r="B74" s="320">
        <v>7</v>
      </c>
      <c r="C74" s="324"/>
      <c r="D74" s="325"/>
      <c r="F74" s="135"/>
      <c r="G74" s="81"/>
      <c r="H74" s="81"/>
      <c r="I74" s="81"/>
      <c r="J74" s="81"/>
      <c r="K74" s="81"/>
      <c r="L74" s="81"/>
      <c r="M74" s="81"/>
      <c r="N74" s="81"/>
      <c r="O74" s="81"/>
      <c r="P74" s="81"/>
      <c r="Q74" s="81"/>
      <c r="R74" s="136"/>
      <c r="S74" s="6"/>
      <c r="T74" s="4"/>
      <c r="U74" s="320">
        <v>7</v>
      </c>
      <c r="V74" s="324"/>
      <c r="W74" s="325"/>
      <c r="Y74" s="135"/>
      <c r="Z74" s="81"/>
      <c r="AA74" s="81"/>
      <c r="AB74" s="81"/>
      <c r="AC74" s="81"/>
      <c r="AD74" s="81"/>
      <c r="AE74" s="81"/>
      <c r="AF74" s="81"/>
      <c r="AG74" s="81"/>
      <c r="AH74" s="81"/>
      <c r="AI74" s="81"/>
      <c r="AJ74" s="81"/>
      <c r="AK74" s="136"/>
      <c r="AL74" s="6"/>
      <c r="AM74" s="4"/>
      <c r="AN74" s="320">
        <v>7</v>
      </c>
      <c r="AO74" s="324"/>
      <c r="AP74" s="325"/>
      <c r="AR74" s="135"/>
      <c r="AS74" s="81"/>
      <c r="AT74" s="81"/>
      <c r="AU74" s="81"/>
      <c r="AV74" s="81"/>
      <c r="AW74" s="81"/>
      <c r="AX74" s="81"/>
      <c r="AY74" s="81"/>
      <c r="AZ74" s="81"/>
      <c r="BA74" s="81"/>
      <c r="BB74" s="81"/>
      <c r="BC74" s="81"/>
      <c r="BD74" s="136"/>
      <c r="BE74" s="6"/>
      <c r="BF74" s="4"/>
      <c r="BG74" s="320">
        <v>7</v>
      </c>
      <c r="BH74" s="324"/>
      <c r="BI74" s="325"/>
      <c r="BK74" s="135"/>
      <c r="BL74" s="81"/>
      <c r="BM74" s="81"/>
      <c r="BN74" s="81"/>
      <c r="BO74" s="81"/>
      <c r="BP74" s="81"/>
      <c r="BQ74" s="81"/>
      <c r="BR74" s="81"/>
      <c r="BS74" s="81"/>
      <c r="BT74" s="81"/>
      <c r="BU74" s="81"/>
      <c r="BV74" s="81"/>
      <c r="BW74" s="136"/>
      <c r="BX74" s="6"/>
      <c r="BY74" s="4"/>
      <c r="BZ74" s="320">
        <v>7</v>
      </c>
      <c r="CA74" s="324"/>
      <c r="CB74" s="325"/>
      <c r="CD74" s="135"/>
      <c r="CE74" s="81"/>
      <c r="CF74" s="81"/>
      <c r="CG74" s="81"/>
      <c r="CH74" s="81"/>
      <c r="CI74" s="81"/>
      <c r="CJ74" s="81"/>
      <c r="CK74" s="81"/>
      <c r="CL74" s="81"/>
      <c r="CM74" s="81"/>
      <c r="CN74" s="81"/>
      <c r="CO74" s="81"/>
      <c r="CP74" s="136"/>
      <c r="CQ74" s="6"/>
    </row>
    <row r="75" spans="1:95">
      <c r="A75" s="4"/>
      <c r="B75" s="320">
        <v>8</v>
      </c>
      <c r="C75" s="324"/>
      <c r="D75" s="325"/>
      <c r="F75" s="135"/>
      <c r="G75" s="81"/>
      <c r="H75" s="81"/>
      <c r="I75" s="81"/>
      <c r="J75" s="81"/>
      <c r="K75" s="81"/>
      <c r="L75" s="81"/>
      <c r="M75" s="81"/>
      <c r="N75" s="81"/>
      <c r="O75" s="81"/>
      <c r="P75" s="81"/>
      <c r="Q75" s="81"/>
      <c r="R75" s="136"/>
      <c r="S75" s="6"/>
      <c r="T75" s="4"/>
      <c r="U75" s="320">
        <v>8</v>
      </c>
      <c r="V75" s="324"/>
      <c r="W75" s="325"/>
      <c r="Y75" s="135"/>
      <c r="Z75" s="81"/>
      <c r="AA75" s="81"/>
      <c r="AB75" s="81"/>
      <c r="AC75" s="81"/>
      <c r="AD75" s="81"/>
      <c r="AE75" s="81"/>
      <c r="AF75" s="81"/>
      <c r="AG75" s="81"/>
      <c r="AH75" s="81"/>
      <c r="AI75" s="81"/>
      <c r="AJ75" s="81"/>
      <c r="AK75" s="136"/>
      <c r="AL75" s="6"/>
      <c r="AM75" s="4"/>
      <c r="AN75" s="320">
        <v>8</v>
      </c>
      <c r="AO75" s="324"/>
      <c r="AP75" s="325"/>
      <c r="AR75" s="135"/>
      <c r="AS75" s="81"/>
      <c r="AT75" s="81"/>
      <c r="AU75" s="81"/>
      <c r="AV75" s="81"/>
      <c r="AW75" s="81"/>
      <c r="AX75" s="81"/>
      <c r="AY75" s="81"/>
      <c r="AZ75" s="81"/>
      <c r="BA75" s="81"/>
      <c r="BB75" s="81"/>
      <c r="BC75" s="81"/>
      <c r="BD75" s="136"/>
      <c r="BE75" s="6"/>
      <c r="BF75" s="4"/>
      <c r="BG75" s="320">
        <v>8</v>
      </c>
      <c r="BH75" s="324"/>
      <c r="BI75" s="325"/>
      <c r="BK75" s="135"/>
      <c r="BL75" s="81"/>
      <c r="BM75" s="81"/>
      <c r="BN75" s="81"/>
      <c r="BO75" s="81"/>
      <c r="BP75" s="81"/>
      <c r="BQ75" s="81"/>
      <c r="BR75" s="81"/>
      <c r="BS75" s="81"/>
      <c r="BT75" s="81"/>
      <c r="BU75" s="81"/>
      <c r="BV75" s="81"/>
      <c r="BW75" s="136"/>
      <c r="BX75" s="6"/>
      <c r="BY75" s="4"/>
      <c r="BZ75" s="320">
        <v>8</v>
      </c>
      <c r="CA75" s="324"/>
      <c r="CB75" s="325"/>
      <c r="CD75" s="135"/>
      <c r="CE75" s="81"/>
      <c r="CF75" s="81"/>
      <c r="CG75" s="81"/>
      <c r="CH75" s="81"/>
      <c r="CI75" s="81"/>
      <c r="CJ75" s="81"/>
      <c r="CK75" s="81"/>
      <c r="CL75" s="81"/>
      <c r="CM75" s="81"/>
      <c r="CN75" s="81"/>
      <c r="CO75" s="81"/>
      <c r="CP75" s="136"/>
      <c r="CQ75" s="6"/>
    </row>
    <row r="76" spans="1:95">
      <c r="A76" s="4"/>
      <c r="B76" s="320">
        <v>9</v>
      </c>
      <c r="C76" s="324"/>
      <c r="D76" s="325"/>
      <c r="F76" s="135"/>
      <c r="G76" s="81"/>
      <c r="H76" s="81"/>
      <c r="I76" s="81"/>
      <c r="J76" s="81"/>
      <c r="K76" s="81"/>
      <c r="L76" s="81"/>
      <c r="M76" s="81"/>
      <c r="N76" s="81"/>
      <c r="O76" s="81"/>
      <c r="P76" s="81"/>
      <c r="Q76" s="81"/>
      <c r="R76" s="136"/>
      <c r="S76" s="6"/>
      <c r="T76" s="4"/>
      <c r="U76" s="320">
        <v>9</v>
      </c>
      <c r="V76" s="324"/>
      <c r="W76" s="325"/>
      <c r="Y76" s="135"/>
      <c r="Z76" s="81"/>
      <c r="AA76" s="81"/>
      <c r="AB76" s="81"/>
      <c r="AC76" s="81"/>
      <c r="AD76" s="81"/>
      <c r="AE76" s="81"/>
      <c r="AF76" s="81"/>
      <c r="AG76" s="81"/>
      <c r="AH76" s="81"/>
      <c r="AI76" s="81"/>
      <c r="AJ76" s="81"/>
      <c r="AK76" s="136"/>
      <c r="AL76" s="6"/>
      <c r="AM76" s="4"/>
      <c r="AN76" s="320">
        <v>9</v>
      </c>
      <c r="AO76" s="324"/>
      <c r="AP76" s="325"/>
      <c r="AR76" s="135"/>
      <c r="AS76" s="81"/>
      <c r="AT76" s="81"/>
      <c r="AU76" s="81"/>
      <c r="AV76" s="81"/>
      <c r="AW76" s="81"/>
      <c r="AX76" s="81"/>
      <c r="AY76" s="81"/>
      <c r="AZ76" s="81"/>
      <c r="BA76" s="81"/>
      <c r="BB76" s="81"/>
      <c r="BC76" s="81"/>
      <c r="BD76" s="136"/>
      <c r="BE76" s="6"/>
      <c r="BF76" s="4"/>
      <c r="BG76" s="320">
        <v>9</v>
      </c>
      <c r="BH76" s="324"/>
      <c r="BI76" s="325"/>
      <c r="BK76" s="135"/>
      <c r="BL76" s="81"/>
      <c r="BM76" s="81"/>
      <c r="BN76" s="81"/>
      <c r="BO76" s="81"/>
      <c r="BP76" s="81"/>
      <c r="BQ76" s="81"/>
      <c r="BR76" s="81"/>
      <c r="BS76" s="81"/>
      <c r="BT76" s="81"/>
      <c r="BU76" s="81"/>
      <c r="BV76" s="81"/>
      <c r="BW76" s="136"/>
      <c r="BX76" s="6"/>
      <c r="BY76" s="4"/>
      <c r="BZ76" s="320">
        <v>9</v>
      </c>
      <c r="CA76" s="324"/>
      <c r="CB76" s="325"/>
      <c r="CD76" s="135"/>
      <c r="CE76" s="81"/>
      <c r="CF76" s="81"/>
      <c r="CG76" s="81"/>
      <c r="CH76" s="81"/>
      <c r="CI76" s="81"/>
      <c r="CJ76" s="81"/>
      <c r="CK76" s="81"/>
      <c r="CL76" s="81"/>
      <c r="CM76" s="81"/>
      <c r="CN76" s="81"/>
      <c r="CO76" s="81"/>
      <c r="CP76" s="136"/>
      <c r="CQ76" s="6"/>
    </row>
    <row r="77" spans="1:95">
      <c r="A77" s="4"/>
      <c r="B77" s="320">
        <v>10</v>
      </c>
      <c r="C77" s="324"/>
      <c r="D77" s="325"/>
      <c r="F77" s="135"/>
      <c r="G77" s="81"/>
      <c r="H77" s="81"/>
      <c r="I77" s="81"/>
      <c r="J77" s="81"/>
      <c r="K77" s="81"/>
      <c r="L77" s="81"/>
      <c r="M77" s="81"/>
      <c r="N77" s="81"/>
      <c r="O77" s="81"/>
      <c r="P77" s="81"/>
      <c r="Q77" s="81"/>
      <c r="R77" s="136"/>
      <c r="S77" s="6"/>
      <c r="T77" s="4"/>
      <c r="U77" s="320">
        <v>10</v>
      </c>
      <c r="V77" s="324"/>
      <c r="W77" s="325"/>
      <c r="Y77" s="135"/>
      <c r="Z77" s="81"/>
      <c r="AA77" s="81"/>
      <c r="AB77" s="81"/>
      <c r="AC77" s="81"/>
      <c r="AD77" s="81"/>
      <c r="AE77" s="81"/>
      <c r="AF77" s="81"/>
      <c r="AG77" s="81"/>
      <c r="AH77" s="81"/>
      <c r="AI77" s="81"/>
      <c r="AJ77" s="81"/>
      <c r="AK77" s="136"/>
      <c r="AL77" s="6"/>
      <c r="AM77" s="4"/>
      <c r="AN77" s="320">
        <v>10</v>
      </c>
      <c r="AO77" s="324"/>
      <c r="AP77" s="325"/>
      <c r="AR77" s="135"/>
      <c r="AS77" s="81"/>
      <c r="AT77" s="81"/>
      <c r="AU77" s="81"/>
      <c r="AV77" s="81"/>
      <c r="AW77" s="81"/>
      <c r="AX77" s="81"/>
      <c r="AY77" s="81"/>
      <c r="AZ77" s="81"/>
      <c r="BA77" s="81"/>
      <c r="BB77" s="81"/>
      <c r="BC77" s="81"/>
      <c r="BD77" s="136"/>
      <c r="BE77" s="6"/>
      <c r="BF77" s="4"/>
      <c r="BG77" s="320">
        <v>10</v>
      </c>
      <c r="BH77" s="324"/>
      <c r="BI77" s="325"/>
      <c r="BK77" s="135"/>
      <c r="BL77" s="81"/>
      <c r="BM77" s="81"/>
      <c r="BN77" s="81"/>
      <c r="BO77" s="81"/>
      <c r="BP77" s="81"/>
      <c r="BQ77" s="81"/>
      <c r="BR77" s="81"/>
      <c r="BS77" s="81"/>
      <c r="BT77" s="81"/>
      <c r="BU77" s="81"/>
      <c r="BV77" s="81"/>
      <c r="BW77" s="136"/>
      <c r="BX77" s="6"/>
      <c r="BY77" s="4"/>
      <c r="BZ77" s="320">
        <v>10</v>
      </c>
      <c r="CA77" s="324"/>
      <c r="CB77" s="325"/>
      <c r="CD77" s="135"/>
      <c r="CE77" s="81"/>
      <c r="CF77" s="81"/>
      <c r="CG77" s="81"/>
      <c r="CH77" s="81"/>
      <c r="CI77" s="81"/>
      <c r="CJ77" s="81"/>
      <c r="CK77" s="81"/>
      <c r="CL77" s="81"/>
      <c r="CM77" s="81"/>
      <c r="CN77" s="81"/>
      <c r="CO77" s="81"/>
      <c r="CP77" s="136"/>
      <c r="CQ77" s="6"/>
    </row>
    <row r="78" spans="1:95">
      <c r="A78" s="4"/>
      <c r="B78" s="320">
        <v>11</v>
      </c>
      <c r="C78" s="324"/>
      <c r="D78" s="325"/>
      <c r="F78" s="135"/>
      <c r="G78" s="81"/>
      <c r="H78" s="81"/>
      <c r="I78" s="81"/>
      <c r="J78" s="81"/>
      <c r="K78" s="81"/>
      <c r="L78" s="81"/>
      <c r="M78" s="81"/>
      <c r="N78" s="81"/>
      <c r="O78" s="81"/>
      <c r="P78" s="81"/>
      <c r="Q78" s="81"/>
      <c r="R78" s="136"/>
      <c r="S78" s="6"/>
      <c r="T78" s="4"/>
      <c r="U78" s="320">
        <v>11</v>
      </c>
      <c r="V78" s="324"/>
      <c r="W78" s="325"/>
      <c r="Y78" s="135"/>
      <c r="Z78" s="81"/>
      <c r="AA78" s="81"/>
      <c r="AB78" s="81"/>
      <c r="AC78" s="81"/>
      <c r="AD78" s="81"/>
      <c r="AE78" s="81"/>
      <c r="AF78" s="81"/>
      <c r="AG78" s="81"/>
      <c r="AH78" s="81"/>
      <c r="AI78" s="81"/>
      <c r="AJ78" s="81"/>
      <c r="AK78" s="136"/>
      <c r="AL78" s="6"/>
      <c r="AM78" s="4"/>
      <c r="AN78" s="320">
        <v>11</v>
      </c>
      <c r="AO78" s="324"/>
      <c r="AP78" s="325"/>
      <c r="AR78" s="135"/>
      <c r="AS78" s="81"/>
      <c r="AT78" s="81"/>
      <c r="AU78" s="81"/>
      <c r="AV78" s="81"/>
      <c r="AW78" s="81"/>
      <c r="AX78" s="81"/>
      <c r="AY78" s="81"/>
      <c r="AZ78" s="81"/>
      <c r="BA78" s="81"/>
      <c r="BB78" s="81"/>
      <c r="BC78" s="81"/>
      <c r="BD78" s="136"/>
      <c r="BE78" s="6"/>
      <c r="BF78" s="4"/>
      <c r="BG78" s="320">
        <v>11</v>
      </c>
      <c r="BH78" s="324"/>
      <c r="BI78" s="325"/>
      <c r="BK78" s="135"/>
      <c r="BL78" s="81"/>
      <c r="BM78" s="81"/>
      <c r="BN78" s="81"/>
      <c r="BO78" s="81"/>
      <c r="BP78" s="81"/>
      <c r="BQ78" s="81"/>
      <c r="BR78" s="81"/>
      <c r="BS78" s="81"/>
      <c r="BT78" s="81"/>
      <c r="BU78" s="81"/>
      <c r="BV78" s="81"/>
      <c r="BW78" s="136"/>
      <c r="BX78" s="6"/>
      <c r="BY78" s="4"/>
      <c r="BZ78" s="320">
        <v>11</v>
      </c>
      <c r="CA78" s="324"/>
      <c r="CB78" s="325"/>
      <c r="CD78" s="135"/>
      <c r="CE78" s="81"/>
      <c r="CF78" s="81"/>
      <c r="CG78" s="81"/>
      <c r="CH78" s="81"/>
      <c r="CI78" s="81"/>
      <c r="CJ78" s="81"/>
      <c r="CK78" s="81"/>
      <c r="CL78" s="81"/>
      <c r="CM78" s="81"/>
      <c r="CN78" s="81"/>
      <c r="CO78" s="81"/>
      <c r="CP78" s="136"/>
      <c r="CQ78" s="6"/>
    </row>
    <row r="79" spans="1:95">
      <c r="A79" s="4"/>
      <c r="B79" s="320">
        <v>12</v>
      </c>
      <c r="C79" s="324"/>
      <c r="D79" s="325"/>
      <c r="F79" s="135"/>
      <c r="G79" s="81"/>
      <c r="H79" s="81"/>
      <c r="I79" s="81"/>
      <c r="J79" s="81"/>
      <c r="K79" s="81"/>
      <c r="L79" s="81"/>
      <c r="M79" s="81"/>
      <c r="N79" s="81"/>
      <c r="O79" s="81"/>
      <c r="P79" s="81"/>
      <c r="Q79" s="81"/>
      <c r="R79" s="136"/>
      <c r="S79" s="6"/>
      <c r="T79" s="4"/>
      <c r="U79" s="320">
        <v>12</v>
      </c>
      <c r="V79" s="324"/>
      <c r="W79" s="325"/>
      <c r="Y79" s="135"/>
      <c r="Z79" s="81"/>
      <c r="AA79" s="81"/>
      <c r="AB79" s="81"/>
      <c r="AC79" s="81"/>
      <c r="AD79" s="81"/>
      <c r="AE79" s="81"/>
      <c r="AF79" s="81"/>
      <c r="AG79" s="81"/>
      <c r="AH79" s="81"/>
      <c r="AI79" s="81"/>
      <c r="AJ79" s="81"/>
      <c r="AK79" s="136"/>
      <c r="AL79" s="6"/>
      <c r="AM79" s="4"/>
      <c r="AN79" s="320">
        <v>12</v>
      </c>
      <c r="AO79" s="324"/>
      <c r="AP79" s="325"/>
      <c r="AR79" s="135"/>
      <c r="AS79" s="81"/>
      <c r="AT79" s="81"/>
      <c r="AU79" s="81"/>
      <c r="AV79" s="81"/>
      <c r="AW79" s="81"/>
      <c r="AX79" s="81"/>
      <c r="AY79" s="81"/>
      <c r="AZ79" s="81"/>
      <c r="BA79" s="81"/>
      <c r="BB79" s="81"/>
      <c r="BC79" s="81"/>
      <c r="BD79" s="136"/>
      <c r="BE79" s="6"/>
      <c r="BF79" s="4"/>
      <c r="BG79" s="320">
        <v>12</v>
      </c>
      <c r="BH79" s="324"/>
      <c r="BI79" s="325"/>
      <c r="BK79" s="135"/>
      <c r="BL79" s="81"/>
      <c r="BM79" s="81"/>
      <c r="BN79" s="81"/>
      <c r="BO79" s="81"/>
      <c r="BP79" s="81"/>
      <c r="BQ79" s="81"/>
      <c r="BR79" s="81"/>
      <c r="BS79" s="81"/>
      <c r="BT79" s="81"/>
      <c r="BU79" s="81"/>
      <c r="BV79" s="81"/>
      <c r="BW79" s="136"/>
      <c r="BX79" s="6"/>
      <c r="BY79" s="4"/>
      <c r="BZ79" s="320">
        <v>12</v>
      </c>
      <c r="CA79" s="324"/>
      <c r="CB79" s="325"/>
      <c r="CD79" s="135"/>
      <c r="CE79" s="81"/>
      <c r="CF79" s="81"/>
      <c r="CG79" s="81"/>
      <c r="CH79" s="81"/>
      <c r="CI79" s="81"/>
      <c r="CJ79" s="81"/>
      <c r="CK79" s="81"/>
      <c r="CL79" s="81"/>
      <c r="CM79" s="81"/>
      <c r="CN79" s="81"/>
      <c r="CO79" s="81"/>
      <c r="CP79" s="136"/>
      <c r="CQ79" s="6"/>
    </row>
    <row r="80" spans="1:95">
      <c r="A80" s="4"/>
      <c r="B80" s="320">
        <v>13</v>
      </c>
      <c r="C80" s="324"/>
      <c r="D80" s="325"/>
      <c r="F80" s="135"/>
      <c r="G80" s="81"/>
      <c r="H80" s="81"/>
      <c r="I80" s="81"/>
      <c r="J80" s="81"/>
      <c r="K80" s="81"/>
      <c r="L80" s="81"/>
      <c r="M80" s="81"/>
      <c r="N80" s="81"/>
      <c r="O80" s="81"/>
      <c r="P80" s="81"/>
      <c r="Q80" s="81"/>
      <c r="R80" s="136"/>
      <c r="S80" s="6"/>
      <c r="T80" s="4"/>
      <c r="U80" s="320">
        <v>13</v>
      </c>
      <c r="V80" s="324"/>
      <c r="W80" s="325"/>
      <c r="Y80" s="135"/>
      <c r="Z80" s="81"/>
      <c r="AA80" s="81"/>
      <c r="AB80" s="81"/>
      <c r="AC80" s="81"/>
      <c r="AD80" s="81"/>
      <c r="AE80" s="81"/>
      <c r="AF80" s="81"/>
      <c r="AG80" s="81"/>
      <c r="AH80" s="81"/>
      <c r="AI80" s="81"/>
      <c r="AJ80" s="81"/>
      <c r="AK80" s="136"/>
      <c r="AL80" s="6"/>
      <c r="AM80" s="4"/>
      <c r="AN80" s="320">
        <v>13</v>
      </c>
      <c r="AO80" s="324"/>
      <c r="AP80" s="325"/>
      <c r="AR80" s="135"/>
      <c r="AS80" s="81"/>
      <c r="AT80" s="81"/>
      <c r="AU80" s="81"/>
      <c r="AV80" s="81"/>
      <c r="AW80" s="81"/>
      <c r="AX80" s="81"/>
      <c r="AY80" s="81"/>
      <c r="AZ80" s="81"/>
      <c r="BA80" s="81"/>
      <c r="BB80" s="81"/>
      <c r="BC80" s="81"/>
      <c r="BD80" s="136"/>
      <c r="BE80" s="6"/>
      <c r="BF80" s="4"/>
      <c r="BG80" s="320">
        <v>13</v>
      </c>
      <c r="BH80" s="324"/>
      <c r="BI80" s="325"/>
      <c r="BK80" s="135"/>
      <c r="BL80" s="81"/>
      <c r="BM80" s="81"/>
      <c r="BN80" s="81"/>
      <c r="BO80" s="81"/>
      <c r="BP80" s="81"/>
      <c r="BQ80" s="81"/>
      <c r="BR80" s="81"/>
      <c r="BS80" s="81"/>
      <c r="BT80" s="81"/>
      <c r="BU80" s="81"/>
      <c r="BV80" s="81"/>
      <c r="BW80" s="136"/>
      <c r="BX80" s="6"/>
      <c r="BY80" s="4"/>
      <c r="BZ80" s="320">
        <v>13</v>
      </c>
      <c r="CA80" s="324"/>
      <c r="CB80" s="325"/>
      <c r="CD80" s="135"/>
      <c r="CE80" s="81"/>
      <c r="CF80" s="81"/>
      <c r="CG80" s="81"/>
      <c r="CH80" s="81"/>
      <c r="CI80" s="81"/>
      <c r="CJ80" s="81"/>
      <c r="CK80" s="81"/>
      <c r="CL80" s="81"/>
      <c r="CM80" s="81"/>
      <c r="CN80" s="81"/>
      <c r="CO80" s="81"/>
      <c r="CP80" s="136"/>
      <c r="CQ80" s="6"/>
    </row>
    <row r="81" spans="1:95">
      <c r="A81" s="4"/>
      <c r="B81" s="320">
        <v>14</v>
      </c>
      <c r="C81" s="324"/>
      <c r="D81" s="325"/>
      <c r="F81" s="135"/>
      <c r="G81" s="81"/>
      <c r="H81" s="81"/>
      <c r="I81" s="81"/>
      <c r="J81" s="81"/>
      <c r="K81" s="81"/>
      <c r="L81" s="81"/>
      <c r="M81" s="81"/>
      <c r="N81" s="81"/>
      <c r="O81" s="81"/>
      <c r="P81" s="81"/>
      <c r="Q81" s="81"/>
      <c r="R81" s="136"/>
      <c r="S81" s="6"/>
      <c r="T81" s="4"/>
      <c r="U81" s="320">
        <v>14</v>
      </c>
      <c r="V81" s="324"/>
      <c r="W81" s="325"/>
      <c r="Y81" s="135"/>
      <c r="Z81" s="81"/>
      <c r="AA81" s="81"/>
      <c r="AB81" s="81"/>
      <c r="AC81" s="81"/>
      <c r="AD81" s="81"/>
      <c r="AE81" s="81"/>
      <c r="AF81" s="81"/>
      <c r="AG81" s="81"/>
      <c r="AH81" s="81"/>
      <c r="AI81" s="81"/>
      <c r="AJ81" s="81"/>
      <c r="AK81" s="136"/>
      <c r="AL81" s="6"/>
      <c r="AM81" s="4"/>
      <c r="AN81" s="320">
        <v>14</v>
      </c>
      <c r="AO81" s="324"/>
      <c r="AP81" s="325"/>
      <c r="AR81" s="135"/>
      <c r="AS81" s="81"/>
      <c r="AT81" s="81"/>
      <c r="AU81" s="81"/>
      <c r="AV81" s="81"/>
      <c r="AW81" s="81"/>
      <c r="AX81" s="81"/>
      <c r="AY81" s="81"/>
      <c r="AZ81" s="81"/>
      <c r="BA81" s="81"/>
      <c r="BB81" s="81"/>
      <c r="BC81" s="81"/>
      <c r="BD81" s="136"/>
      <c r="BE81" s="6"/>
      <c r="BF81" s="4"/>
      <c r="BG81" s="320">
        <v>14</v>
      </c>
      <c r="BH81" s="324"/>
      <c r="BI81" s="325"/>
      <c r="BK81" s="135"/>
      <c r="BL81" s="81"/>
      <c r="BM81" s="81"/>
      <c r="BN81" s="81"/>
      <c r="BO81" s="81"/>
      <c r="BP81" s="81"/>
      <c r="BQ81" s="81"/>
      <c r="BR81" s="81"/>
      <c r="BS81" s="81"/>
      <c r="BT81" s="81"/>
      <c r="BU81" s="81"/>
      <c r="BV81" s="81"/>
      <c r="BW81" s="136"/>
      <c r="BX81" s="6"/>
      <c r="BY81" s="4"/>
      <c r="BZ81" s="320">
        <v>14</v>
      </c>
      <c r="CA81" s="324"/>
      <c r="CB81" s="325"/>
      <c r="CD81" s="135"/>
      <c r="CE81" s="81"/>
      <c r="CF81" s="81"/>
      <c r="CG81" s="81"/>
      <c r="CH81" s="81"/>
      <c r="CI81" s="81"/>
      <c r="CJ81" s="81"/>
      <c r="CK81" s="81"/>
      <c r="CL81" s="81"/>
      <c r="CM81" s="81"/>
      <c r="CN81" s="81"/>
      <c r="CO81" s="81"/>
      <c r="CP81" s="136"/>
      <c r="CQ81" s="6"/>
    </row>
    <row r="82" spans="1:95">
      <c r="A82" s="4"/>
      <c r="B82" s="320">
        <v>15</v>
      </c>
      <c r="C82" s="324"/>
      <c r="D82" s="325"/>
      <c r="F82" s="135"/>
      <c r="G82" s="81"/>
      <c r="H82" s="81"/>
      <c r="I82" s="81"/>
      <c r="J82" s="81"/>
      <c r="K82" s="81"/>
      <c r="L82" s="81"/>
      <c r="M82" s="81"/>
      <c r="N82" s="81"/>
      <c r="O82" s="81"/>
      <c r="P82" s="81"/>
      <c r="Q82" s="81"/>
      <c r="R82" s="136"/>
      <c r="S82" s="6"/>
      <c r="T82" s="4"/>
      <c r="U82" s="320">
        <v>15</v>
      </c>
      <c r="V82" s="324"/>
      <c r="W82" s="325"/>
      <c r="Y82" s="135"/>
      <c r="Z82" s="81"/>
      <c r="AA82" s="81"/>
      <c r="AB82" s="81"/>
      <c r="AC82" s="81"/>
      <c r="AD82" s="81"/>
      <c r="AE82" s="81"/>
      <c r="AF82" s="81"/>
      <c r="AG82" s="81"/>
      <c r="AH82" s="81"/>
      <c r="AI82" s="81"/>
      <c r="AJ82" s="81"/>
      <c r="AK82" s="136"/>
      <c r="AL82" s="6"/>
      <c r="AM82" s="4"/>
      <c r="AN82" s="320">
        <v>15</v>
      </c>
      <c r="AO82" s="324"/>
      <c r="AP82" s="325"/>
      <c r="AR82" s="135"/>
      <c r="AS82" s="81"/>
      <c r="AT82" s="81"/>
      <c r="AU82" s="81"/>
      <c r="AV82" s="81"/>
      <c r="AW82" s="81"/>
      <c r="AX82" s="81"/>
      <c r="AY82" s="81"/>
      <c r="AZ82" s="81"/>
      <c r="BA82" s="81"/>
      <c r="BB82" s="81"/>
      <c r="BC82" s="81"/>
      <c r="BD82" s="136"/>
      <c r="BE82" s="6"/>
      <c r="BF82" s="4"/>
      <c r="BG82" s="320">
        <v>15</v>
      </c>
      <c r="BH82" s="324"/>
      <c r="BI82" s="325"/>
      <c r="BK82" s="135"/>
      <c r="BL82" s="81"/>
      <c r="BM82" s="81"/>
      <c r="BN82" s="81"/>
      <c r="BO82" s="81"/>
      <c r="BP82" s="81"/>
      <c r="BQ82" s="81"/>
      <c r="BR82" s="81"/>
      <c r="BS82" s="81"/>
      <c r="BT82" s="81"/>
      <c r="BU82" s="81"/>
      <c r="BV82" s="81"/>
      <c r="BW82" s="136"/>
      <c r="BX82" s="6"/>
      <c r="BY82" s="4"/>
      <c r="BZ82" s="320">
        <v>15</v>
      </c>
      <c r="CA82" s="324"/>
      <c r="CB82" s="325"/>
      <c r="CD82" s="135"/>
      <c r="CE82" s="81"/>
      <c r="CF82" s="81"/>
      <c r="CG82" s="81"/>
      <c r="CH82" s="81"/>
      <c r="CI82" s="81"/>
      <c r="CJ82" s="81"/>
      <c r="CK82" s="81"/>
      <c r="CL82" s="81"/>
      <c r="CM82" s="81"/>
      <c r="CN82" s="81"/>
      <c r="CO82" s="81"/>
      <c r="CP82" s="136"/>
      <c r="CQ82" s="6"/>
    </row>
    <row r="83" spans="1:95">
      <c r="A83" s="4"/>
      <c r="B83" s="320">
        <v>16</v>
      </c>
      <c r="C83" s="324"/>
      <c r="D83" s="325"/>
      <c r="F83" s="138"/>
      <c r="G83" s="139"/>
      <c r="H83" s="139"/>
      <c r="I83" s="139"/>
      <c r="J83" s="139"/>
      <c r="K83" s="139"/>
      <c r="L83" s="139"/>
      <c r="M83" s="139"/>
      <c r="N83" s="139"/>
      <c r="O83" s="139"/>
      <c r="P83" s="139"/>
      <c r="Q83" s="139"/>
      <c r="R83" s="140"/>
      <c r="S83" s="6"/>
      <c r="T83" s="4"/>
      <c r="U83" s="320">
        <v>16</v>
      </c>
      <c r="V83" s="324"/>
      <c r="W83" s="325"/>
      <c r="Y83" s="138"/>
      <c r="Z83" s="139"/>
      <c r="AA83" s="139"/>
      <c r="AB83" s="139"/>
      <c r="AC83" s="139"/>
      <c r="AD83" s="139"/>
      <c r="AE83" s="139"/>
      <c r="AF83" s="139"/>
      <c r="AG83" s="139"/>
      <c r="AH83" s="139"/>
      <c r="AI83" s="139"/>
      <c r="AJ83" s="139"/>
      <c r="AK83" s="140"/>
      <c r="AL83" s="6"/>
      <c r="AM83" s="4"/>
      <c r="AN83" s="320">
        <v>16</v>
      </c>
      <c r="AO83" s="324"/>
      <c r="AP83" s="325"/>
      <c r="AR83" s="138"/>
      <c r="AS83" s="139"/>
      <c r="AT83" s="139"/>
      <c r="AU83" s="139"/>
      <c r="AV83" s="139"/>
      <c r="AW83" s="139"/>
      <c r="AX83" s="139"/>
      <c r="AY83" s="139"/>
      <c r="AZ83" s="139"/>
      <c r="BA83" s="139"/>
      <c r="BB83" s="139"/>
      <c r="BC83" s="139"/>
      <c r="BD83" s="140"/>
      <c r="BE83" s="6"/>
      <c r="BF83" s="4"/>
      <c r="BG83" s="320">
        <v>16</v>
      </c>
      <c r="BH83" s="324"/>
      <c r="BI83" s="325"/>
      <c r="BK83" s="138"/>
      <c r="BL83" s="139"/>
      <c r="BM83" s="139"/>
      <c r="BN83" s="139"/>
      <c r="BO83" s="139"/>
      <c r="BP83" s="139"/>
      <c r="BQ83" s="139"/>
      <c r="BR83" s="139"/>
      <c r="BS83" s="139"/>
      <c r="BT83" s="139"/>
      <c r="BU83" s="139"/>
      <c r="BV83" s="139"/>
      <c r="BW83" s="140"/>
      <c r="BX83" s="6"/>
      <c r="BY83" s="4"/>
      <c r="BZ83" s="320">
        <v>16</v>
      </c>
      <c r="CA83" s="324"/>
      <c r="CB83" s="325"/>
      <c r="CD83" s="138"/>
      <c r="CE83" s="139"/>
      <c r="CF83" s="139"/>
      <c r="CG83" s="139"/>
      <c r="CH83" s="139"/>
      <c r="CI83" s="139"/>
      <c r="CJ83" s="139"/>
      <c r="CK83" s="139"/>
      <c r="CL83" s="139"/>
      <c r="CM83" s="139"/>
      <c r="CN83" s="139"/>
      <c r="CO83" s="139"/>
      <c r="CP83" s="140"/>
      <c r="CQ83" s="6"/>
    </row>
    <row r="84" spans="1:95">
      <c r="A84" s="4"/>
      <c r="B84" s="320">
        <v>17</v>
      </c>
      <c r="C84" s="324"/>
      <c r="D84" s="325"/>
      <c r="S84" s="6"/>
      <c r="T84" s="4"/>
      <c r="U84" s="320">
        <v>17</v>
      </c>
      <c r="V84" s="324"/>
      <c r="W84" s="325"/>
      <c r="AL84" s="6"/>
      <c r="AM84" s="4"/>
      <c r="AN84" s="320">
        <v>17</v>
      </c>
      <c r="AO84" s="324"/>
      <c r="AP84" s="325"/>
      <c r="BE84" s="6"/>
      <c r="BF84" s="4"/>
      <c r="BG84" s="320">
        <v>17</v>
      </c>
      <c r="BH84" s="324"/>
      <c r="BI84" s="325"/>
      <c r="BX84" s="6"/>
      <c r="BY84" s="4"/>
      <c r="BZ84" s="320">
        <v>17</v>
      </c>
      <c r="CA84" s="324"/>
      <c r="CB84" s="325"/>
      <c r="CQ84" s="6"/>
    </row>
    <row r="85" spans="1:95">
      <c r="A85" s="4"/>
      <c r="B85" s="320">
        <v>18</v>
      </c>
      <c r="C85" s="324"/>
      <c r="D85" s="325"/>
      <c r="S85" s="6"/>
      <c r="T85" s="4"/>
      <c r="U85" s="320">
        <v>18</v>
      </c>
      <c r="V85" s="324"/>
      <c r="W85" s="325"/>
      <c r="AL85" s="6"/>
      <c r="AM85" s="4"/>
      <c r="AN85" s="320">
        <v>18</v>
      </c>
      <c r="AO85" s="324"/>
      <c r="AP85" s="325"/>
      <c r="BE85" s="6"/>
      <c r="BF85" s="4"/>
      <c r="BG85" s="320">
        <v>18</v>
      </c>
      <c r="BH85" s="324"/>
      <c r="BI85" s="325"/>
      <c r="BX85" s="6"/>
      <c r="BY85" s="4"/>
      <c r="BZ85" s="320">
        <v>18</v>
      </c>
      <c r="CA85" s="324"/>
      <c r="CB85" s="325"/>
      <c r="CQ85" s="6"/>
    </row>
    <row r="86" spans="1:95">
      <c r="A86" s="4"/>
      <c r="B86" s="320">
        <v>19</v>
      </c>
      <c r="C86" s="324"/>
      <c r="D86" s="325"/>
      <c r="S86" s="6"/>
      <c r="T86" s="4"/>
      <c r="U86" s="320">
        <v>19</v>
      </c>
      <c r="V86" s="324"/>
      <c r="W86" s="325"/>
      <c r="AL86" s="6"/>
      <c r="AM86" s="4"/>
      <c r="AN86" s="320">
        <v>19</v>
      </c>
      <c r="AO86" s="324"/>
      <c r="AP86" s="325"/>
      <c r="BE86" s="6"/>
      <c r="BF86" s="4"/>
      <c r="BG86" s="320">
        <v>19</v>
      </c>
      <c r="BH86" s="324"/>
      <c r="BI86" s="325"/>
      <c r="BX86" s="6"/>
      <c r="BY86" s="4"/>
      <c r="BZ86" s="320">
        <v>19</v>
      </c>
      <c r="CA86" s="324"/>
      <c r="CB86" s="325"/>
      <c r="CQ86" s="6"/>
    </row>
    <row r="87" spans="1:95">
      <c r="A87" s="4"/>
      <c r="B87" s="320">
        <v>20</v>
      </c>
      <c r="C87" s="324"/>
      <c r="D87" s="325"/>
      <c r="S87" s="6"/>
      <c r="T87" s="4"/>
      <c r="U87" s="320">
        <v>20</v>
      </c>
      <c r="V87" s="324"/>
      <c r="W87" s="325"/>
      <c r="AL87" s="6"/>
      <c r="AM87" s="4"/>
      <c r="AN87" s="320">
        <v>20</v>
      </c>
      <c r="AO87" s="324"/>
      <c r="AP87" s="325"/>
      <c r="BE87" s="6"/>
      <c r="BF87" s="4"/>
      <c r="BG87" s="320">
        <v>20</v>
      </c>
      <c r="BH87" s="324"/>
      <c r="BI87" s="325"/>
      <c r="BX87" s="6"/>
      <c r="BY87" s="4"/>
      <c r="BZ87" s="320">
        <v>20</v>
      </c>
      <c r="CA87" s="324"/>
      <c r="CB87" s="325"/>
      <c r="CQ87" s="6"/>
    </row>
    <row r="88" spans="1:95">
      <c r="A88" s="4"/>
      <c r="B88" s="320">
        <v>21</v>
      </c>
      <c r="C88" s="324"/>
      <c r="D88" s="325"/>
      <c r="S88" s="6"/>
      <c r="T88" s="4"/>
      <c r="U88" s="320">
        <v>21</v>
      </c>
      <c r="V88" s="324"/>
      <c r="W88" s="325"/>
      <c r="AL88" s="6"/>
      <c r="AM88" s="4"/>
      <c r="AN88" s="320">
        <v>21</v>
      </c>
      <c r="AO88" s="324"/>
      <c r="AP88" s="325"/>
      <c r="BE88" s="6"/>
      <c r="BF88" s="4"/>
      <c r="BG88" s="320">
        <v>21</v>
      </c>
      <c r="BH88" s="324"/>
      <c r="BI88" s="325"/>
      <c r="BX88" s="6"/>
      <c r="BY88" s="4"/>
      <c r="BZ88" s="320">
        <v>21</v>
      </c>
      <c r="CA88" s="324"/>
      <c r="CB88" s="325"/>
      <c r="CQ88" s="6"/>
    </row>
    <row r="89" spans="1:95">
      <c r="A89" s="4"/>
      <c r="B89" s="320">
        <v>22</v>
      </c>
      <c r="C89" s="324"/>
      <c r="D89" s="325"/>
      <c r="S89" s="6"/>
      <c r="T89" s="4"/>
      <c r="U89" s="320">
        <v>22</v>
      </c>
      <c r="V89" s="324"/>
      <c r="W89" s="325"/>
      <c r="AL89" s="6"/>
      <c r="AM89" s="4"/>
      <c r="AN89" s="320">
        <v>22</v>
      </c>
      <c r="AO89" s="324"/>
      <c r="AP89" s="325"/>
      <c r="BE89" s="6"/>
      <c r="BF89" s="4"/>
      <c r="BG89" s="320">
        <v>22</v>
      </c>
      <c r="BH89" s="324"/>
      <c r="BI89" s="325"/>
      <c r="BX89" s="6"/>
      <c r="BY89" s="4"/>
      <c r="BZ89" s="320">
        <v>22</v>
      </c>
      <c r="CA89" s="324"/>
      <c r="CB89" s="325"/>
      <c r="CQ89" s="6"/>
    </row>
    <row r="90" spans="1:95">
      <c r="A90" s="4"/>
      <c r="B90" s="320">
        <v>23</v>
      </c>
      <c r="C90" s="324"/>
      <c r="D90" s="325"/>
      <c r="S90" s="6"/>
      <c r="T90" s="4"/>
      <c r="U90" s="320">
        <v>23</v>
      </c>
      <c r="V90" s="324"/>
      <c r="W90" s="325"/>
      <c r="AL90" s="6"/>
      <c r="AM90" s="4"/>
      <c r="AN90" s="320">
        <v>23</v>
      </c>
      <c r="AO90" s="324"/>
      <c r="AP90" s="325"/>
      <c r="BE90" s="6"/>
      <c r="BF90" s="4"/>
      <c r="BG90" s="320">
        <v>23</v>
      </c>
      <c r="BH90" s="324"/>
      <c r="BI90" s="325"/>
      <c r="BX90" s="6"/>
      <c r="BY90" s="4"/>
      <c r="BZ90" s="320">
        <v>23</v>
      </c>
      <c r="CA90" s="324"/>
      <c r="CB90" s="325"/>
      <c r="CQ90" s="6"/>
    </row>
    <row r="91" spans="1:95">
      <c r="A91" s="4"/>
      <c r="B91" s="320">
        <v>24</v>
      </c>
      <c r="C91" s="324"/>
      <c r="D91" s="325"/>
      <c r="S91" s="6"/>
      <c r="T91" s="4"/>
      <c r="U91" s="320">
        <v>24</v>
      </c>
      <c r="V91" s="324"/>
      <c r="W91" s="325"/>
      <c r="AL91" s="6"/>
      <c r="AM91" s="4"/>
      <c r="AN91" s="320">
        <v>24</v>
      </c>
      <c r="AO91" s="324"/>
      <c r="AP91" s="325"/>
      <c r="BE91" s="6"/>
      <c r="BF91" s="4"/>
      <c r="BG91" s="320">
        <v>24</v>
      </c>
      <c r="BH91" s="324"/>
      <c r="BI91" s="325"/>
      <c r="BX91" s="6"/>
      <c r="BY91" s="4"/>
      <c r="BZ91" s="320">
        <v>24</v>
      </c>
      <c r="CA91" s="324"/>
      <c r="CB91" s="325"/>
      <c r="CQ91" s="6"/>
    </row>
    <row r="92" spans="1:95">
      <c r="A92" s="4"/>
      <c r="B92" s="320">
        <v>25</v>
      </c>
      <c r="C92" s="324"/>
      <c r="D92" s="325"/>
      <c r="S92" s="6"/>
      <c r="T92" s="4"/>
      <c r="U92" s="320">
        <v>25</v>
      </c>
      <c r="V92" s="324"/>
      <c r="W92" s="325"/>
      <c r="AL92" s="6"/>
      <c r="AM92" s="4"/>
      <c r="AN92" s="320">
        <v>25</v>
      </c>
      <c r="AO92" s="324"/>
      <c r="AP92" s="325"/>
      <c r="BE92" s="6"/>
      <c r="BF92" s="4"/>
      <c r="BG92" s="320">
        <v>25</v>
      </c>
      <c r="BH92" s="324"/>
      <c r="BI92" s="325"/>
      <c r="BX92" s="6"/>
      <c r="BY92" s="4"/>
      <c r="BZ92" s="320">
        <v>25</v>
      </c>
      <c r="CA92" s="324"/>
      <c r="CB92" s="325"/>
      <c r="CQ92" s="6"/>
    </row>
    <row r="93" spans="1:95">
      <c r="A93" s="4"/>
      <c r="B93" s="320">
        <v>26</v>
      </c>
      <c r="C93" s="324"/>
      <c r="D93" s="325"/>
      <c r="S93" s="6"/>
      <c r="T93" s="4"/>
      <c r="U93" s="320">
        <v>26</v>
      </c>
      <c r="V93" s="324"/>
      <c r="W93" s="325"/>
      <c r="AL93" s="6"/>
      <c r="AM93" s="4"/>
      <c r="AN93" s="320">
        <v>26</v>
      </c>
      <c r="AO93" s="324"/>
      <c r="AP93" s="325"/>
      <c r="BE93" s="6"/>
      <c r="BF93" s="4"/>
      <c r="BG93" s="320">
        <v>26</v>
      </c>
      <c r="BH93" s="324"/>
      <c r="BI93" s="325"/>
      <c r="BX93" s="6"/>
      <c r="BY93" s="4"/>
      <c r="BZ93" s="320">
        <v>26</v>
      </c>
      <c r="CA93" s="324"/>
      <c r="CB93" s="325"/>
      <c r="CQ93" s="6"/>
    </row>
    <row r="94" spans="1:95">
      <c r="A94" s="4"/>
      <c r="B94" s="320">
        <v>27</v>
      </c>
      <c r="C94" s="324"/>
      <c r="D94" s="325"/>
      <c r="S94" s="6"/>
      <c r="T94" s="4"/>
      <c r="U94" s="320">
        <v>27</v>
      </c>
      <c r="V94" s="324"/>
      <c r="W94" s="325"/>
      <c r="AL94" s="6"/>
      <c r="AM94" s="4"/>
      <c r="AN94" s="320">
        <v>27</v>
      </c>
      <c r="AO94" s="324"/>
      <c r="AP94" s="325"/>
      <c r="BE94" s="6"/>
      <c r="BF94" s="4"/>
      <c r="BG94" s="320">
        <v>27</v>
      </c>
      <c r="BH94" s="324"/>
      <c r="BI94" s="325"/>
      <c r="BX94" s="6"/>
      <c r="BY94" s="4"/>
      <c r="BZ94" s="320">
        <v>27</v>
      </c>
      <c r="CA94" s="324"/>
      <c r="CB94" s="325"/>
      <c r="CQ94" s="6"/>
    </row>
    <row r="95" spans="1:95">
      <c r="A95" s="4"/>
      <c r="B95" s="320">
        <v>28</v>
      </c>
      <c r="C95" s="324"/>
      <c r="D95" s="325"/>
      <c r="S95" s="6"/>
      <c r="T95" s="4"/>
      <c r="U95" s="320">
        <v>28</v>
      </c>
      <c r="V95" s="324"/>
      <c r="W95" s="325"/>
      <c r="AL95" s="6"/>
      <c r="AM95" s="4"/>
      <c r="AN95" s="320">
        <v>28</v>
      </c>
      <c r="AO95" s="324"/>
      <c r="AP95" s="325"/>
      <c r="BE95" s="6"/>
      <c r="BF95" s="4"/>
      <c r="BG95" s="320">
        <v>28</v>
      </c>
      <c r="BH95" s="324"/>
      <c r="BI95" s="325"/>
      <c r="BX95" s="6"/>
      <c r="BY95" s="4"/>
      <c r="BZ95" s="320">
        <v>28</v>
      </c>
      <c r="CA95" s="324"/>
      <c r="CB95" s="325"/>
      <c r="CQ95" s="6"/>
    </row>
    <row r="96" spans="1:95">
      <c r="A96" s="4"/>
      <c r="B96" s="320">
        <v>29</v>
      </c>
      <c r="C96" s="324"/>
      <c r="D96" s="325"/>
      <c r="S96" s="6"/>
      <c r="T96" s="4"/>
      <c r="U96" s="320">
        <v>29</v>
      </c>
      <c r="V96" s="324"/>
      <c r="W96" s="325"/>
      <c r="AL96" s="6"/>
      <c r="AM96" s="4"/>
      <c r="AN96" s="320">
        <v>29</v>
      </c>
      <c r="AO96" s="324"/>
      <c r="AP96" s="325"/>
      <c r="BE96" s="6"/>
      <c r="BF96" s="4"/>
      <c r="BG96" s="320">
        <v>29</v>
      </c>
      <c r="BH96" s="324"/>
      <c r="BI96" s="325"/>
      <c r="BX96" s="6"/>
      <c r="BY96" s="4"/>
      <c r="BZ96" s="320">
        <v>29</v>
      </c>
      <c r="CA96" s="324"/>
      <c r="CB96" s="325"/>
      <c r="CQ96" s="6"/>
    </row>
    <row r="97" spans="1:95">
      <c r="A97" s="4"/>
      <c r="B97" s="320">
        <v>30</v>
      </c>
      <c r="C97" s="324"/>
      <c r="D97" s="325"/>
      <c r="S97" s="6"/>
      <c r="T97" s="4"/>
      <c r="U97" s="320">
        <v>30</v>
      </c>
      <c r="V97" s="324"/>
      <c r="W97" s="325"/>
      <c r="AL97" s="6"/>
      <c r="AM97" s="4"/>
      <c r="AN97" s="320">
        <v>30</v>
      </c>
      <c r="AO97" s="324"/>
      <c r="AP97" s="325"/>
      <c r="BE97" s="6"/>
      <c r="BF97" s="4"/>
      <c r="BG97" s="320">
        <v>30</v>
      </c>
      <c r="BH97" s="324"/>
      <c r="BI97" s="325"/>
      <c r="BX97" s="6"/>
      <c r="BY97" s="4"/>
      <c r="BZ97" s="320">
        <v>30</v>
      </c>
      <c r="CA97" s="324"/>
      <c r="CB97" s="325"/>
      <c r="CQ97" s="6"/>
    </row>
    <row r="98" spans="1:95">
      <c r="A98" s="4"/>
      <c r="B98" s="320">
        <v>31</v>
      </c>
      <c r="C98" s="324"/>
      <c r="D98" s="325"/>
      <c r="S98" s="6"/>
      <c r="T98" s="4"/>
      <c r="U98" s="320">
        <v>31</v>
      </c>
      <c r="V98" s="324"/>
      <c r="W98" s="325"/>
      <c r="AL98" s="6"/>
      <c r="AM98" s="4"/>
      <c r="AN98" s="320">
        <v>31</v>
      </c>
      <c r="AO98" s="324"/>
      <c r="AP98" s="325"/>
      <c r="BE98" s="6"/>
      <c r="BF98" s="4"/>
      <c r="BG98" s="320">
        <v>31</v>
      </c>
      <c r="BH98" s="324"/>
      <c r="BI98" s="325"/>
      <c r="BX98" s="6"/>
      <c r="BY98" s="4"/>
      <c r="BZ98" s="320">
        <v>31</v>
      </c>
      <c r="CA98" s="324"/>
      <c r="CB98" s="325"/>
      <c r="CQ98" s="6"/>
    </row>
    <row r="99" spans="1:95">
      <c r="A99" s="4"/>
      <c r="B99" s="320">
        <v>32</v>
      </c>
      <c r="C99" s="324"/>
      <c r="D99" s="325"/>
      <c r="S99" s="6"/>
      <c r="T99" s="4"/>
      <c r="U99" s="320">
        <v>32</v>
      </c>
      <c r="V99" s="324"/>
      <c r="W99" s="325"/>
      <c r="AL99" s="6"/>
      <c r="AM99" s="4"/>
      <c r="AN99" s="320">
        <v>32</v>
      </c>
      <c r="AO99" s="324"/>
      <c r="AP99" s="325"/>
      <c r="BE99" s="6"/>
      <c r="BF99" s="4"/>
      <c r="BG99" s="320">
        <v>32</v>
      </c>
      <c r="BH99" s="324"/>
      <c r="BI99" s="325"/>
      <c r="BX99" s="6"/>
      <c r="BY99" s="4"/>
      <c r="BZ99" s="320">
        <v>32</v>
      </c>
      <c r="CA99" s="324"/>
      <c r="CB99" s="325"/>
      <c r="CQ99" s="6"/>
    </row>
    <row r="100" spans="1:95">
      <c r="A100" s="4"/>
      <c r="B100" s="320">
        <v>33</v>
      </c>
      <c r="C100" s="324"/>
      <c r="D100" s="325"/>
      <c r="S100" s="6"/>
      <c r="T100" s="4"/>
      <c r="U100" s="320">
        <v>33</v>
      </c>
      <c r="V100" s="324"/>
      <c r="W100" s="325"/>
      <c r="AL100" s="6"/>
      <c r="AM100" s="4"/>
      <c r="AN100" s="320">
        <v>33</v>
      </c>
      <c r="AO100" s="324"/>
      <c r="AP100" s="325"/>
      <c r="BE100" s="6"/>
      <c r="BF100" s="4"/>
      <c r="BG100" s="320">
        <v>33</v>
      </c>
      <c r="BH100" s="324"/>
      <c r="BI100" s="325"/>
      <c r="BX100" s="6"/>
      <c r="BY100" s="4"/>
      <c r="BZ100" s="320">
        <v>33</v>
      </c>
      <c r="CA100" s="324"/>
      <c r="CB100" s="325"/>
      <c r="CQ100" s="6"/>
    </row>
    <row r="101" spans="1:95">
      <c r="A101" s="4"/>
      <c r="B101" s="320">
        <v>34</v>
      </c>
      <c r="C101" s="324"/>
      <c r="D101" s="325"/>
      <c r="S101" s="6"/>
      <c r="T101" s="4"/>
      <c r="U101" s="320">
        <v>34</v>
      </c>
      <c r="V101" s="324"/>
      <c r="W101" s="325"/>
      <c r="AL101" s="6"/>
      <c r="AM101" s="4"/>
      <c r="AN101" s="320">
        <v>34</v>
      </c>
      <c r="AO101" s="324"/>
      <c r="AP101" s="325"/>
      <c r="BE101" s="6"/>
      <c r="BF101" s="4"/>
      <c r="BG101" s="320">
        <v>34</v>
      </c>
      <c r="BH101" s="324"/>
      <c r="BI101" s="325"/>
      <c r="BX101" s="6"/>
      <c r="BY101" s="4"/>
      <c r="BZ101" s="320">
        <v>34</v>
      </c>
      <c r="CA101" s="324"/>
      <c r="CB101" s="325"/>
      <c r="CQ101" s="6"/>
    </row>
    <row r="102" spans="1:95">
      <c r="A102" s="4"/>
      <c r="B102" s="320">
        <v>35</v>
      </c>
      <c r="C102" s="324"/>
      <c r="D102" s="325"/>
      <c r="S102" s="6"/>
      <c r="T102" s="4"/>
      <c r="U102" s="320">
        <v>35</v>
      </c>
      <c r="V102" s="324"/>
      <c r="W102" s="325"/>
      <c r="AL102" s="6"/>
      <c r="AM102" s="4"/>
      <c r="AN102" s="320">
        <v>35</v>
      </c>
      <c r="AO102" s="324"/>
      <c r="AP102" s="325"/>
      <c r="BE102" s="6"/>
      <c r="BF102" s="4"/>
      <c r="BG102" s="320">
        <v>35</v>
      </c>
      <c r="BH102" s="324"/>
      <c r="BI102" s="325"/>
      <c r="BX102" s="6"/>
      <c r="BY102" s="4"/>
      <c r="BZ102" s="320">
        <v>35</v>
      </c>
      <c r="CA102" s="324"/>
      <c r="CB102" s="325"/>
      <c r="CQ102" s="6"/>
    </row>
    <row r="103" spans="1:95">
      <c r="A103" s="4"/>
      <c r="B103" s="320">
        <v>36</v>
      </c>
      <c r="C103" s="324"/>
      <c r="D103" s="325"/>
      <c r="S103" s="6"/>
      <c r="T103" s="4"/>
      <c r="U103" s="320">
        <v>36</v>
      </c>
      <c r="V103" s="324"/>
      <c r="W103" s="325"/>
      <c r="AL103" s="6"/>
      <c r="AM103" s="4"/>
      <c r="AN103" s="320">
        <v>36</v>
      </c>
      <c r="AO103" s="324"/>
      <c r="AP103" s="325"/>
      <c r="BE103" s="6"/>
      <c r="BF103" s="4"/>
      <c r="BG103" s="320">
        <v>36</v>
      </c>
      <c r="BH103" s="324"/>
      <c r="BI103" s="325"/>
      <c r="BX103" s="6"/>
      <c r="BY103" s="4"/>
      <c r="BZ103" s="320">
        <v>36</v>
      </c>
      <c r="CA103" s="324"/>
      <c r="CB103" s="325"/>
      <c r="CQ103" s="6"/>
    </row>
    <row r="104" spans="1:95">
      <c r="A104" s="4"/>
      <c r="B104" s="320">
        <v>37</v>
      </c>
      <c r="C104" s="324"/>
      <c r="D104" s="325"/>
      <c r="S104" s="6"/>
      <c r="T104" s="4"/>
      <c r="U104" s="320">
        <v>37</v>
      </c>
      <c r="V104" s="324"/>
      <c r="W104" s="325"/>
      <c r="AL104" s="6"/>
      <c r="AM104" s="4"/>
      <c r="AN104" s="320">
        <v>37</v>
      </c>
      <c r="AO104" s="324"/>
      <c r="AP104" s="325"/>
      <c r="BE104" s="6"/>
      <c r="BF104" s="4"/>
      <c r="BG104" s="320">
        <v>37</v>
      </c>
      <c r="BH104" s="324"/>
      <c r="BI104" s="325"/>
      <c r="BX104" s="6"/>
      <c r="BY104" s="4"/>
      <c r="BZ104" s="320">
        <v>37</v>
      </c>
      <c r="CA104" s="324"/>
      <c r="CB104" s="325"/>
      <c r="CQ104" s="6"/>
    </row>
    <row r="105" spans="1:95">
      <c r="A105" s="4"/>
      <c r="B105" s="320">
        <v>38</v>
      </c>
      <c r="C105" s="324"/>
      <c r="D105" s="325"/>
      <c r="S105" s="6"/>
      <c r="T105" s="4"/>
      <c r="U105" s="320">
        <v>38</v>
      </c>
      <c r="V105" s="324"/>
      <c r="W105" s="325"/>
      <c r="AL105" s="6"/>
      <c r="AM105" s="4"/>
      <c r="AN105" s="320">
        <v>38</v>
      </c>
      <c r="AO105" s="324"/>
      <c r="AP105" s="325"/>
      <c r="BE105" s="6"/>
      <c r="BF105" s="4"/>
      <c r="BG105" s="320">
        <v>38</v>
      </c>
      <c r="BH105" s="324"/>
      <c r="BI105" s="325"/>
      <c r="BX105" s="6"/>
      <c r="BY105" s="4"/>
      <c r="BZ105" s="320">
        <v>38</v>
      </c>
      <c r="CA105" s="324"/>
      <c r="CB105" s="325"/>
      <c r="CQ105" s="6"/>
    </row>
    <row r="106" spans="1:95">
      <c r="A106" s="4"/>
      <c r="B106" s="320">
        <v>39</v>
      </c>
      <c r="C106" s="324"/>
      <c r="D106" s="325"/>
      <c r="S106" s="6"/>
      <c r="T106" s="4"/>
      <c r="U106" s="320">
        <v>39</v>
      </c>
      <c r="V106" s="324"/>
      <c r="W106" s="325"/>
      <c r="AL106" s="6"/>
      <c r="AM106" s="4"/>
      <c r="AN106" s="320">
        <v>39</v>
      </c>
      <c r="AO106" s="324"/>
      <c r="AP106" s="325"/>
      <c r="BE106" s="6"/>
      <c r="BF106" s="4"/>
      <c r="BG106" s="320">
        <v>39</v>
      </c>
      <c r="BH106" s="324"/>
      <c r="BI106" s="325"/>
      <c r="BX106" s="6"/>
      <c r="BY106" s="4"/>
      <c r="BZ106" s="320">
        <v>39</v>
      </c>
      <c r="CA106" s="324"/>
      <c r="CB106" s="325"/>
      <c r="CQ106" s="6"/>
    </row>
    <row r="107" spans="1:95">
      <c r="A107" s="4"/>
      <c r="B107" s="320">
        <v>40</v>
      </c>
      <c r="C107" s="324"/>
      <c r="D107" s="325"/>
      <c r="S107" s="6"/>
      <c r="T107" s="4"/>
      <c r="U107" s="320">
        <v>40</v>
      </c>
      <c r="V107" s="324"/>
      <c r="W107" s="325"/>
      <c r="AL107" s="6"/>
      <c r="AM107" s="4"/>
      <c r="AN107" s="320">
        <v>40</v>
      </c>
      <c r="AO107" s="324"/>
      <c r="AP107" s="325"/>
      <c r="BE107" s="6"/>
      <c r="BF107" s="4"/>
      <c r="BG107" s="320">
        <v>40</v>
      </c>
      <c r="BH107" s="324"/>
      <c r="BI107" s="325"/>
      <c r="BX107" s="6"/>
      <c r="BY107" s="4"/>
      <c r="BZ107" s="320">
        <v>40</v>
      </c>
      <c r="CA107" s="324"/>
      <c r="CB107" s="325"/>
      <c r="CQ107" s="6"/>
    </row>
    <row r="108" spans="1:95">
      <c r="A108" s="4"/>
      <c r="B108" s="320">
        <v>41</v>
      </c>
      <c r="C108" s="324"/>
      <c r="D108" s="325"/>
      <c r="S108" s="6"/>
      <c r="T108" s="4"/>
      <c r="U108" s="320">
        <v>41</v>
      </c>
      <c r="V108" s="324"/>
      <c r="W108" s="325"/>
      <c r="AL108" s="6"/>
      <c r="AM108" s="4"/>
      <c r="AN108" s="320">
        <v>41</v>
      </c>
      <c r="AO108" s="324"/>
      <c r="AP108" s="325"/>
      <c r="BE108" s="6"/>
      <c r="BF108" s="4"/>
      <c r="BG108" s="320">
        <v>41</v>
      </c>
      <c r="BH108" s="324"/>
      <c r="BI108" s="325"/>
      <c r="BX108" s="6"/>
      <c r="BY108" s="4"/>
      <c r="BZ108" s="320">
        <v>41</v>
      </c>
      <c r="CA108" s="324"/>
      <c r="CB108" s="325"/>
      <c r="CQ108" s="6"/>
    </row>
    <row r="109" spans="1:95">
      <c r="A109" s="4"/>
      <c r="B109" s="320">
        <v>42</v>
      </c>
      <c r="C109" s="324"/>
      <c r="D109" s="325"/>
      <c r="S109" s="6"/>
      <c r="T109" s="4"/>
      <c r="U109" s="320">
        <v>42</v>
      </c>
      <c r="V109" s="324"/>
      <c r="W109" s="325"/>
      <c r="AL109" s="6"/>
      <c r="AM109" s="4"/>
      <c r="AN109" s="320">
        <v>42</v>
      </c>
      <c r="AO109" s="324"/>
      <c r="AP109" s="325"/>
      <c r="BE109" s="6"/>
      <c r="BF109" s="4"/>
      <c r="BG109" s="320">
        <v>42</v>
      </c>
      <c r="BH109" s="324"/>
      <c r="BI109" s="325"/>
      <c r="BX109" s="6"/>
      <c r="BY109" s="4"/>
      <c r="BZ109" s="320">
        <v>42</v>
      </c>
      <c r="CA109" s="324"/>
      <c r="CB109" s="325"/>
      <c r="CQ109" s="6"/>
    </row>
    <row r="110" spans="1:95">
      <c r="A110" s="4"/>
      <c r="B110" s="320">
        <v>43</v>
      </c>
      <c r="C110" s="324"/>
      <c r="D110" s="325"/>
      <c r="S110" s="6"/>
      <c r="T110" s="4"/>
      <c r="U110" s="320">
        <v>43</v>
      </c>
      <c r="V110" s="324"/>
      <c r="W110" s="325"/>
      <c r="AL110" s="6"/>
      <c r="AM110" s="4"/>
      <c r="AN110" s="320">
        <v>43</v>
      </c>
      <c r="AO110" s="324"/>
      <c r="AP110" s="325"/>
      <c r="BE110" s="6"/>
      <c r="BF110" s="4"/>
      <c r="BG110" s="320">
        <v>43</v>
      </c>
      <c r="BH110" s="324"/>
      <c r="BI110" s="325"/>
      <c r="BX110" s="6"/>
      <c r="BY110" s="4"/>
      <c r="BZ110" s="320">
        <v>43</v>
      </c>
      <c r="CA110" s="324"/>
      <c r="CB110" s="325"/>
      <c r="CQ110" s="6"/>
    </row>
    <row r="111" spans="1:95">
      <c r="A111" s="4"/>
      <c r="B111" s="320">
        <v>44</v>
      </c>
      <c r="C111" s="324"/>
      <c r="D111" s="325"/>
      <c r="S111" s="6"/>
      <c r="T111" s="4"/>
      <c r="U111" s="320">
        <v>44</v>
      </c>
      <c r="V111" s="324"/>
      <c r="W111" s="325"/>
      <c r="AL111" s="6"/>
      <c r="AM111" s="4"/>
      <c r="AN111" s="320">
        <v>44</v>
      </c>
      <c r="AO111" s="324"/>
      <c r="AP111" s="325"/>
      <c r="BE111" s="6"/>
      <c r="BF111" s="4"/>
      <c r="BG111" s="320">
        <v>44</v>
      </c>
      <c r="BH111" s="324"/>
      <c r="BI111" s="325"/>
      <c r="BX111" s="6"/>
      <c r="BY111" s="4"/>
      <c r="BZ111" s="320">
        <v>44</v>
      </c>
      <c r="CA111" s="324"/>
      <c r="CB111" s="325"/>
      <c r="CQ111" s="6"/>
    </row>
    <row r="112" spans="1:95">
      <c r="A112" s="4"/>
      <c r="B112" s="320">
        <v>45</v>
      </c>
      <c r="C112" s="324"/>
      <c r="D112" s="325"/>
      <c r="S112" s="6"/>
      <c r="T112" s="4"/>
      <c r="U112" s="320">
        <v>45</v>
      </c>
      <c r="V112" s="324"/>
      <c r="W112" s="325"/>
      <c r="AL112" s="6"/>
      <c r="AM112" s="4"/>
      <c r="AN112" s="320">
        <v>45</v>
      </c>
      <c r="AO112" s="324"/>
      <c r="AP112" s="325"/>
      <c r="BE112" s="6"/>
      <c r="BF112" s="4"/>
      <c r="BG112" s="320">
        <v>45</v>
      </c>
      <c r="BH112" s="324"/>
      <c r="BI112" s="325"/>
      <c r="BX112" s="6"/>
      <c r="BY112" s="4"/>
      <c r="BZ112" s="320">
        <v>45</v>
      </c>
      <c r="CA112" s="324"/>
      <c r="CB112" s="325"/>
      <c r="CQ112" s="6"/>
    </row>
    <row r="113" spans="1:95">
      <c r="A113" s="4"/>
      <c r="B113" s="320">
        <v>46</v>
      </c>
      <c r="C113" s="324"/>
      <c r="D113" s="325"/>
      <c r="S113" s="6"/>
      <c r="T113" s="4"/>
      <c r="U113" s="320">
        <v>46</v>
      </c>
      <c r="V113" s="324"/>
      <c r="W113" s="325"/>
      <c r="AL113" s="6"/>
      <c r="AM113" s="4"/>
      <c r="AN113" s="320">
        <v>46</v>
      </c>
      <c r="AO113" s="324"/>
      <c r="AP113" s="325"/>
      <c r="BE113" s="6"/>
      <c r="BF113" s="4"/>
      <c r="BG113" s="320">
        <v>46</v>
      </c>
      <c r="BH113" s="324"/>
      <c r="BI113" s="325"/>
      <c r="BX113" s="6"/>
      <c r="BY113" s="4"/>
      <c r="BZ113" s="320">
        <v>46</v>
      </c>
      <c r="CA113" s="324"/>
      <c r="CB113" s="325"/>
      <c r="CQ113" s="6"/>
    </row>
    <row r="114" spans="1:95">
      <c r="A114" s="4"/>
      <c r="B114" s="320">
        <v>47</v>
      </c>
      <c r="C114" s="324"/>
      <c r="D114" s="325"/>
      <c r="S114" s="6"/>
      <c r="T114" s="4"/>
      <c r="U114" s="320">
        <v>47</v>
      </c>
      <c r="V114" s="324"/>
      <c r="W114" s="325"/>
      <c r="AL114" s="6"/>
      <c r="AM114" s="4"/>
      <c r="AN114" s="320">
        <v>47</v>
      </c>
      <c r="AO114" s="324"/>
      <c r="AP114" s="325"/>
      <c r="BE114" s="6"/>
      <c r="BF114" s="4"/>
      <c r="BG114" s="320">
        <v>47</v>
      </c>
      <c r="BH114" s="324"/>
      <c r="BI114" s="325"/>
      <c r="BX114" s="6"/>
      <c r="BY114" s="4"/>
      <c r="BZ114" s="320">
        <v>47</v>
      </c>
      <c r="CA114" s="324"/>
      <c r="CB114" s="325"/>
      <c r="CQ114" s="6"/>
    </row>
    <row r="115" spans="1:95">
      <c r="A115" s="4"/>
      <c r="B115" s="320">
        <v>48</v>
      </c>
      <c r="C115" s="324"/>
      <c r="D115" s="325"/>
      <c r="S115" s="6"/>
      <c r="T115" s="4"/>
      <c r="U115" s="320">
        <v>48</v>
      </c>
      <c r="V115" s="324"/>
      <c r="W115" s="325"/>
      <c r="AL115" s="6"/>
      <c r="AM115" s="4"/>
      <c r="AN115" s="320">
        <v>48</v>
      </c>
      <c r="AO115" s="324"/>
      <c r="AP115" s="325"/>
      <c r="BE115" s="6"/>
      <c r="BF115" s="4"/>
      <c r="BG115" s="320">
        <v>48</v>
      </c>
      <c r="BH115" s="324"/>
      <c r="BI115" s="325"/>
      <c r="BX115" s="6"/>
      <c r="BY115" s="4"/>
      <c r="BZ115" s="320">
        <v>48</v>
      </c>
      <c r="CA115" s="324"/>
      <c r="CB115" s="325"/>
      <c r="CQ115" s="6"/>
    </row>
    <row r="116" spans="1:95">
      <c r="A116" s="4"/>
      <c r="B116" s="320">
        <v>49</v>
      </c>
      <c r="C116" s="324"/>
      <c r="D116" s="325"/>
      <c r="S116" s="6"/>
      <c r="T116" s="4"/>
      <c r="U116" s="320">
        <v>49</v>
      </c>
      <c r="V116" s="324"/>
      <c r="W116" s="325"/>
      <c r="AL116" s="6"/>
      <c r="AM116" s="4"/>
      <c r="AN116" s="320">
        <v>49</v>
      </c>
      <c r="AO116" s="324"/>
      <c r="AP116" s="325"/>
      <c r="BE116" s="6"/>
      <c r="BF116" s="4"/>
      <c r="BG116" s="320">
        <v>49</v>
      </c>
      <c r="BH116" s="324"/>
      <c r="BI116" s="325"/>
      <c r="BX116" s="6"/>
      <c r="BY116" s="4"/>
      <c r="BZ116" s="320">
        <v>49</v>
      </c>
      <c r="CA116" s="324"/>
      <c r="CB116" s="325"/>
      <c r="CQ116" s="6"/>
    </row>
    <row r="117" spans="1:95">
      <c r="A117" s="4"/>
      <c r="B117" s="320">
        <v>50</v>
      </c>
      <c r="C117" s="324"/>
      <c r="D117" s="325"/>
      <c r="S117" s="6"/>
      <c r="T117" s="4"/>
      <c r="U117" s="320">
        <v>50</v>
      </c>
      <c r="V117" s="324"/>
      <c r="W117" s="325"/>
      <c r="AL117" s="6"/>
      <c r="AM117" s="4"/>
      <c r="AN117" s="320">
        <v>50</v>
      </c>
      <c r="AO117" s="324"/>
      <c r="AP117" s="325"/>
      <c r="BE117" s="6"/>
      <c r="BF117" s="4"/>
      <c r="BG117" s="320">
        <v>50</v>
      </c>
      <c r="BH117" s="324"/>
      <c r="BI117" s="325"/>
      <c r="BX117" s="6"/>
      <c r="BY117" s="4"/>
      <c r="BZ117" s="320">
        <v>50</v>
      </c>
      <c r="CA117" s="324"/>
      <c r="CB117" s="325"/>
      <c r="CQ117" s="6"/>
    </row>
    <row r="118" spans="1:95">
      <c r="A118" s="4"/>
      <c r="B118" s="320">
        <v>51</v>
      </c>
      <c r="C118" s="324"/>
      <c r="D118" s="325"/>
      <c r="S118" s="6"/>
      <c r="T118" s="4"/>
      <c r="U118" s="320">
        <v>51</v>
      </c>
      <c r="V118" s="324"/>
      <c r="W118" s="325"/>
      <c r="AL118" s="6"/>
      <c r="AM118" s="4"/>
      <c r="AN118" s="320">
        <v>51</v>
      </c>
      <c r="AO118" s="324"/>
      <c r="AP118" s="325"/>
      <c r="BE118" s="6"/>
      <c r="BF118" s="4"/>
      <c r="BG118" s="320">
        <v>51</v>
      </c>
      <c r="BH118" s="324"/>
      <c r="BI118" s="325"/>
      <c r="BX118" s="6"/>
      <c r="BY118" s="4"/>
      <c r="BZ118" s="320">
        <v>51</v>
      </c>
      <c r="CA118" s="324"/>
      <c r="CB118" s="325"/>
      <c r="CQ118" s="6"/>
    </row>
    <row r="119" spans="1:95">
      <c r="A119" s="4"/>
      <c r="B119" s="320">
        <v>52</v>
      </c>
      <c r="C119" s="324"/>
      <c r="D119" s="325"/>
      <c r="S119" s="6"/>
      <c r="T119" s="4"/>
      <c r="U119" s="320">
        <v>52</v>
      </c>
      <c r="V119" s="324"/>
      <c r="W119" s="325"/>
      <c r="AL119" s="6"/>
      <c r="AM119" s="4"/>
      <c r="AN119" s="320">
        <v>52</v>
      </c>
      <c r="AO119" s="324"/>
      <c r="AP119" s="325"/>
      <c r="BE119" s="6"/>
      <c r="BF119" s="4"/>
      <c r="BG119" s="320">
        <v>52</v>
      </c>
      <c r="BH119" s="324"/>
      <c r="BI119" s="325"/>
      <c r="BX119" s="6"/>
      <c r="BY119" s="4"/>
      <c r="BZ119" s="320">
        <v>52</v>
      </c>
      <c r="CA119" s="324"/>
      <c r="CB119" s="325"/>
      <c r="CQ119" s="6"/>
    </row>
    <row r="120" spans="1:95">
      <c r="A120" s="4"/>
      <c r="B120" s="320">
        <v>53</v>
      </c>
      <c r="C120" s="324"/>
      <c r="D120" s="325"/>
      <c r="S120" s="6"/>
      <c r="T120" s="4"/>
      <c r="U120" s="320">
        <v>53</v>
      </c>
      <c r="V120" s="324"/>
      <c r="W120" s="325"/>
      <c r="AL120" s="6"/>
      <c r="AM120" s="4"/>
      <c r="AN120" s="320">
        <v>53</v>
      </c>
      <c r="AO120" s="324"/>
      <c r="AP120" s="325"/>
      <c r="BE120" s="6"/>
      <c r="BF120" s="4"/>
      <c r="BG120" s="320">
        <v>53</v>
      </c>
      <c r="BH120" s="324"/>
      <c r="BI120" s="325"/>
      <c r="BX120" s="6"/>
      <c r="BY120" s="4"/>
      <c r="BZ120" s="320">
        <v>53</v>
      </c>
      <c r="CA120" s="324"/>
      <c r="CB120" s="325"/>
      <c r="CQ120" s="6"/>
    </row>
    <row r="121" spans="1:95">
      <c r="A121" s="4"/>
      <c r="B121" s="320">
        <v>54</v>
      </c>
      <c r="C121" s="324"/>
      <c r="D121" s="325"/>
      <c r="S121" s="6"/>
      <c r="T121" s="4"/>
      <c r="U121" s="320">
        <v>54</v>
      </c>
      <c r="V121" s="324"/>
      <c r="W121" s="325"/>
      <c r="AL121" s="6"/>
      <c r="AM121" s="4"/>
      <c r="AN121" s="320">
        <v>54</v>
      </c>
      <c r="AO121" s="324"/>
      <c r="AP121" s="325"/>
      <c r="BE121" s="6"/>
      <c r="BF121" s="4"/>
      <c r="BG121" s="320">
        <v>54</v>
      </c>
      <c r="BH121" s="324"/>
      <c r="BI121" s="325"/>
      <c r="BX121" s="6"/>
      <c r="BY121" s="4"/>
      <c r="BZ121" s="320">
        <v>54</v>
      </c>
      <c r="CA121" s="324"/>
      <c r="CB121" s="325"/>
      <c r="CQ121" s="6"/>
    </row>
    <row r="122" spans="1:95">
      <c r="A122" s="4"/>
      <c r="B122" s="320">
        <v>55</v>
      </c>
      <c r="C122" s="324"/>
      <c r="D122" s="325"/>
      <c r="S122" s="6"/>
      <c r="T122" s="4"/>
      <c r="U122" s="320">
        <v>55</v>
      </c>
      <c r="V122" s="324"/>
      <c r="W122" s="325"/>
      <c r="AL122" s="6"/>
      <c r="AM122" s="4"/>
      <c r="AN122" s="320">
        <v>55</v>
      </c>
      <c r="AO122" s="324"/>
      <c r="AP122" s="325"/>
      <c r="BE122" s="6"/>
      <c r="BF122" s="4"/>
      <c r="BG122" s="320">
        <v>55</v>
      </c>
      <c r="BH122" s="324"/>
      <c r="BI122" s="325"/>
      <c r="BX122" s="6"/>
      <c r="BY122" s="4"/>
      <c r="BZ122" s="320">
        <v>55</v>
      </c>
      <c r="CA122" s="324"/>
      <c r="CB122" s="325"/>
      <c r="CQ122" s="6"/>
    </row>
    <row r="123" spans="1:95">
      <c r="A123" s="4"/>
      <c r="B123" s="320">
        <v>56</v>
      </c>
      <c r="C123" s="324"/>
      <c r="D123" s="325"/>
      <c r="S123" s="6"/>
      <c r="T123" s="4"/>
      <c r="U123" s="320">
        <v>56</v>
      </c>
      <c r="V123" s="324"/>
      <c r="W123" s="325"/>
      <c r="AL123" s="6"/>
      <c r="AM123" s="4"/>
      <c r="AN123" s="320">
        <v>56</v>
      </c>
      <c r="AO123" s="324"/>
      <c r="AP123" s="325"/>
      <c r="BE123" s="6"/>
      <c r="BF123" s="4"/>
      <c r="BG123" s="320">
        <v>56</v>
      </c>
      <c r="BH123" s="324"/>
      <c r="BI123" s="325"/>
      <c r="BX123" s="6"/>
      <c r="BY123" s="4"/>
      <c r="BZ123" s="320">
        <v>56</v>
      </c>
      <c r="CA123" s="324"/>
      <c r="CB123" s="325"/>
      <c r="CQ123" s="6"/>
    </row>
    <row r="124" spans="1:95">
      <c r="A124" s="4"/>
      <c r="B124" s="320">
        <v>57</v>
      </c>
      <c r="C124" s="324"/>
      <c r="D124" s="325"/>
      <c r="S124" s="6"/>
      <c r="T124" s="4"/>
      <c r="U124" s="320">
        <v>57</v>
      </c>
      <c r="V124" s="324"/>
      <c r="W124" s="325"/>
      <c r="AL124" s="6"/>
      <c r="AM124" s="4"/>
      <c r="AN124" s="320">
        <v>57</v>
      </c>
      <c r="AO124" s="324"/>
      <c r="AP124" s="325"/>
      <c r="BE124" s="6"/>
      <c r="BF124" s="4"/>
      <c r="BG124" s="320">
        <v>57</v>
      </c>
      <c r="BH124" s="324"/>
      <c r="BI124" s="325"/>
      <c r="BX124" s="6"/>
      <c r="BY124" s="4"/>
      <c r="BZ124" s="320">
        <v>57</v>
      </c>
      <c r="CA124" s="324"/>
      <c r="CB124" s="325"/>
      <c r="CQ124" s="6"/>
    </row>
    <row r="125" spans="1:95">
      <c r="A125" s="4"/>
      <c r="B125" s="320">
        <v>58</v>
      </c>
      <c r="C125" s="324"/>
      <c r="D125" s="325"/>
      <c r="S125" s="6"/>
      <c r="T125" s="4"/>
      <c r="U125" s="320">
        <v>58</v>
      </c>
      <c r="V125" s="324"/>
      <c r="W125" s="325"/>
      <c r="AL125" s="6"/>
      <c r="AM125" s="4"/>
      <c r="AN125" s="320">
        <v>58</v>
      </c>
      <c r="AO125" s="324"/>
      <c r="AP125" s="325"/>
      <c r="BE125" s="6"/>
      <c r="BF125" s="4"/>
      <c r="BG125" s="320">
        <v>58</v>
      </c>
      <c r="BH125" s="324"/>
      <c r="BI125" s="325"/>
      <c r="BX125" s="6"/>
      <c r="BY125" s="4"/>
      <c r="BZ125" s="320">
        <v>58</v>
      </c>
      <c r="CA125" s="324"/>
      <c r="CB125" s="325"/>
      <c r="CQ125" s="6"/>
    </row>
    <row r="126" spans="1:95">
      <c r="A126" s="4"/>
      <c r="B126" s="320">
        <v>59</v>
      </c>
      <c r="C126" s="324"/>
      <c r="D126" s="325"/>
      <c r="S126" s="6"/>
      <c r="T126" s="4"/>
      <c r="U126" s="320">
        <v>59</v>
      </c>
      <c r="V126" s="324"/>
      <c r="W126" s="325"/>
      <c r="AL126" s="6"/>
      <c r="AM126" s="4"/>
      <c r="AN126" s="320">
        <v>59</v>
      </c>
      <c r="AO126" s="324"/>
      <c r="AP126" s="325"/>
      <c r="BE126" s="6"/>
      <c r="BF126" s="4"/>
      <c r="BG126" s="320">
        <v>59</v>
      </c>
      <c r="BH126" s="324"/>
      <c r="BI126" s="325"/>
      <c r="BX126" s="6"/>
      <c r="BY126" s="4"/>
      <c r="BZ126" s="320">
        <v>59</v>
      </c>
      <c r="CA126" s="324"/>
      <c r="CB126" s="325"/>
      <c r="CQ126" s="6"/>
    </row>
    <row r="127" spans="1:95">
      <c r="A127" s="4"/>
      <c r="B127" s="320">
        <v>60</v>
      </c>
      <c r="C127" s="324"/>
      <c r="D127" s="325"/>
      <c r="S127" s="6"/>
      <c r="T127" s="4"/>
      <c r="U127" s="320">
        <v>60</v>
      </c>
      <c r="V127" s="324"/>
      <c r="W127" s="325"/>
      <c r="AL127" s="6"/>
      <c r="AM127" s="4"/>
      <c r="AN127" s="320">
        <v>60</v>
      </c>
      <c r="AO127" s="324"/>
      <c r="AP127" s="325"/>
      <c r="BE127" s="6"/>
      <c r="BF127" s="4"/>
      <c r="BG127" s="320">
        <v>60</v>
      </c>
      <c r="BH127" s="324"/>
      <c r="BI127" s="325"/>
      <c r="BX127" s="6"/>
      <c r="BY127" s="4"/>
      <c r="BZ127" s="320">
        <v>60</v>
      </c>
      <c r="CA127" s="324"/>
      <c r="CB127" s="325"/>
      <c r="CQ127" s="6"/>
    </row>
    <row r="128" spans="1:95">
      <c r="A128" s="4"/>
      <c r="B128" s="320">
        <v>61</v>
      </c>
      <c r="C128" s="324"/>
      <c r="D128" s="325"/>
      <c r="S128" s="6"/>
      <c r="T128" s="4"/>
      <c r="U128" s="320">
        <v>61</v>
      </c>
      <c r="V128" s="324"/>
      <c r="W128" s="325"/>
      <c r="AL128" s="6"/>
      <c r="AM128" s="4"/>
      <c r="AN128" s="320">
        <v>61</v>
      </c>
      <c r="AO128" s="324"/>
      <c r="AP128" s="325"/>
      <c r="BE128" s="6"/>
      <c r="BF128" s="4"/>
      <c r="BG128" s="320">
        <v>61</v>
      </c>
      <c r="BH128" s="324"/>
      <c r="BI128" s="325"/>
      <c r="BX128" s="6"/>
      <c r="BY128" s="4"/>
      <c r="BZ128" s="320">
        <v>61</v>
      </c>
      <c r="CA128" s="324"/>
      <c r="CB128" s="325"/>
      <c r="CQ128" s="6"/>
    </row>
    <row r="129" spans="1:95">
      <c r="A129" s="4"/>
      <c r="B129" s="320">
        <v>62</v>
      </c>
      <c r="C129" s="324"/>
      <c r="D129" s="325"/>
      <c r="S129" s="6"/>
      <c r="T129" s="4"/>
      <c r="U129" s="320">
        <v>62</v>
      </c>
      <c r="V129" s="324"/>
      <c r="W129" s="325"/>
      <c r="AL129" s="6"/>
      <c r="AM129" s="4"/>
      <c r="AN129" s="320">
        <v>62</v>
      </c>
      <c r="AO129" s="324"/>
      <c r="AP129" s="325"/>
      <c r="BE129" s="6"/>
      <c r="BF129" s="4"/>
      <c r="BG129" s="320">
        <v>62</v>
      </c>
      <c r="BH129" s="324"/>
      <c r="BI129" s="325"/>
      <c r="BX129" s="6"/>
      <c r="BY129" s="4"/>
      <c r="BZ129" s="320">
        <v>62</v>
      </c>
      <c r="CA129" s="324"/>
      <c r="CB129" s="325"/>
      <c r="CQ129" s="6"/>
    </row>
    <row r="130" spans="1:95">
      <c r="A130" s="4"/>
      <c r="B130" s="320">
        <v>63</v>
      </c>
      <c r="C130" s="324"/>
      <c r="D130" s="325"/>
      <c r="S130" s="6"/>
      <c r="T130" s="4"/>
      <c r="U130" s="320">
        <v>63</v>
      </c>
      <c r="V130" s="324"/>
      <c r="W130" s="325"/>
      <c r="AL130" s="6"/>
      <c r="AM130" s="4"/>
      <c r="AN130" s="320">
        <v>63</v>
      </c>
      <c r="AO130" s="324"/>
      <c r="AP130" s="325"/>
      <c r="BE130" s="6"/>
      <c r="BF130" s="4"/>
      <c r="BG130" s="320">
        <v>63</v>
      </c>
      <c r="BH130" s="324"/>
      <c r="BI130" s="325"/>
      <c r="BX130" s="6"/>
      <c r="BY130" s="4"/>
      <c r="BZ130" s="320">
        <v>63</v>
      </c>
      <c r="CA130" s="324"/>
      <c r="CB130" s="325"/>
      <c r="CQ130" s="6"/>
    </row>
    <row r="131" spans="1:95">
      <c r="A131" s="4"/>
      <c r="B131" s="320">
        <v>64</v>
      </c>
      <c r="C131" s="324"/>
      <c r="D131" s="325"/>
      <c r="S131" s="6"/>
      <c r="T131" s="4"/>
      <c r="U131" s="320">
        <v>64</v>
      </c>
      <c r="V131" s="324"/>
      <c r="W131" s="325"/>
      <c r="AL131" s="6"/>
      <c r="AM131" s="4"/>
      <c r="AN131" s="320">
        <v>64</v>
      </c>
      <c r="AO131" s="324"/>
      <c r="AP131" s="325"/>
      <c r="BE131" s="6"/>
      <c r="BF131" s="4"/>
      <c r="BG131" s="320">
        <v>64</v>
      </c>
      <c r="BH131" s="324"/>
      <c r="BI131" s="325"/>
      <c r="BX131" s="6"/>
      <c r="BY131" s="4"/>
      <c r="BZ131" s="320">
        <v>64</v>
      </c>
      <c r="CA131" s="324"/>
      <c r="CB131" s="325"/>
      <c r="CQ131" s="6"/>
    </row>
    <row r="132" spans="1:95">
      <c r="A132" s="4"/>
      <c r="B132" s="320">
        <v>65</v>
      </c>
      <c r="C132" s="324"/>
      <c r="D132" s="325"/>
      <c r="S132" s="6"/>
      <c r="T132" s="4"/>
      <c r="U132" s="320">
        <v>65</v>
      </c>
      <c r="V132" s="324"/>
      <c r="W132" s="325"/>
      <c r="AL132" s="6"/>
      <c r="AM132" s="4"/>
      <c r="AN132" s="320">
        <v>65</v>
      </c>
      <c r="AO132" s="324"/>
      <c r="AP132" s="325"/>
      <c r="BE132" s="6"/>
      <c r="BF132" s="4"/>
      <c r="BG132" s="320">
        <v>65</v>
      </c>
      <c r="BH132" s="324"/>
      <c r="BI132" s="325"/>
      <c r="BX132" s="6"/>
      <c r="BY132" s="4"/>
      <c r="BZ132" s="320">
        <v>65</v>
      </c>
      <c r="CA132" s="324"/>
      <c r="CB132" s="325"/>
      <c r="CQ132" s="6"/>
    </row>
    <row r="133" spans="1:95">
      <c r="A133" s="4"/>
      <c r="B133" s="320">
        <v>66</v>
      </c>
      <c r="C133" s="324"/>
      <c r="D133" s="325"/>
      <c r="S133" s="6"/>
      <c r="T133" s="4"/>
      <c r="U133" s="320">
        <v>66</v>
      </c>
      <c r="V133" s="324"/>
      <c r="W133" s="325"/>
      <c r="AL133" s="6"/>
      <c r="AM133" s="4"/>
      <c r="AN133" s="320">
        <v>66</v>
      </c>
      <c r="AO133" s="324"/>
      <c r="AP133" s="325"/>
      <c r="BE133" s="6"/>
      <c r="BF133" s="4"/>
      <c r="BG133" s="320">
        <v>66</v>
      </c>
      <c r="BH133" s="324"/>
      <c r="BI133" s="325"/>
      <c r="BX133" s="6"/>
      <c r="BY133" s="4"/>
      <c r="BZ133" s="320">
        <v>66</v>
      </c>
      <c r="CA133" s="324"/>
      <c r="CB133" s="325"/>
      <c r="CQ133" s="6"/>
    </row>
    <row r="134" spans="1:95">
      <c r="A134" s="4"/>
      <c r="B134" s="320">
        <v>67</v>
      </c>
      <c r="C134" s="324"/>
      <c r="D134" s="325"/>
      <c r="S134" s="6"/>
      <c r="T134" s="4"/>
      <c r="U134" s="320">
        <v>67</v>
      </c>
      <c r="V134" s="324"/>
      <c r="W134" s="325"/>
      <c r="AL134" s="6"/>
      <c r="AM134" s="4"/>
      <c r="AN134" s="320">
        <v>67</v>
      </c>
      <c r="AO134" s="324"/>
      <c r="AP134" s="325"/>
      <c r="BE134" s="6"/>
      <c r="BF134" s="4"/>
      <c r="BG134" s="320">
        <v>67</v>
      </c>
      <c r="BH134" s="324"/>
      <c r="BI134" s="325"/>
      <c r="BX134" s="6"/>
      <c r="BY134" s="4"/>
      <c r="BZ134" s="320">
        <v>67</v>
      </c>
      <c r="CA134" s="324"/>
      <c r="CB134" s="325"/>
      <c r="CQ134" s="6"/>
    </row>
    <row r="135" spans="1:95">
      <c r="A135" s="4"/>
      <c r="B135" s="320">
        <v>68</v>
      </c>
      <c r="C135" s="324"/>
      <c r="D135" s="325"/>
      <c r="S135" s="6"/>
      <c r="T135" s="4"/>
      <c r="U135" s="320">
        <v>68</v>
      </c>
      <c r="V135" s="324"/>
      <c r="W135" s="325"/>
      <c r="AL135" s="6"/>
      <c r="AM135" s="4"/>
      <c r="AN135" s="320">
        <v>68</v>
      </c>
      <c r="AO135" s="324"/>
      <c r="AP135" s="325"/>
      <c r="BE135" s="6"/>
      <c r="BF135" s="4"/>
      <c r="BG135" s="320">
        <v>68</v>
      </c>
      <c r="BH135" s="324"/>
      <c r="BI135" s="325"/>
      <c r="BX135" s="6"/>
      <c r="BY135" s="4"/>
      <c r="BZ135" s="320">
        <v>68</v>
      </c>
      <c r="CA135" s="324"/>
      <c r="CB135" s="325"/>
      <c r="CQ135" s="6"/>
    </row>
    <row r="136" spans="1:95">
      <c r="A136" s="4"/>
      <c r="B136" s="320">
        <v>69</v>
      </c>
      <c r="C136" s="324"/>
      <c r="D136" s="325"/>
      <c r="S136" s="6"/>
      <c r="T136" s="4"/>
      <c r="U136" s="320">
        <v>69</v>
      </c>
      <c r="V136" s="324"/>
      <c r="W136" s="325"/>
      <c r="AL136" s="6"/>
      <c r="AM136" s="4"/>
      <c r="AN136" s="320">
        <v>69</v>
      </c>
      <c r="AO136" s="324"/>
      <c r="AP136" s="325"/>
      <c r="BE136" s="6"/>
      <c r="BF136" s="4"/>
      <c r="BG136" s="320">
        <v>69</v>
      </c>
      <c r="BH136" s="324"/>
      <c r="BI136" s="325"/>
      <c r="BX136" s="6"/>
      <c r="BY136" s="4"/>
      <c r="BZ136" s="320">
        <v>69</v>
      </c>
      <c r="CA136" s="324"/>
      <c r="CB136" s="325"/>
      <c r="CQ136" s="6"/>
    </row>
    <row r="137" spans="1:95">
      <c r="A137" s="4"/>
      <c r="B137" s="320">
        <v>70</v>
      </c>
      <c r="C137" s="324"/>
      <c r="D137" s="325"/>
      <c r="S137" s="6"/>
      <c r="T137" s="4"/>
      <c r="U137" s="320">
        <v>70</v>
      </c>
      <c r="V137" s="324"/>
      <c r="W137" s="325"/>
      <c r="AL137" s="6"/>
      <c r="AM137" s="4"/>
      <c r="AN137" s="320">
        <v>70</v>
      </c>
      <c r="AO137" s="324"/>
      <c r="AP137" s="325"/>
      <c r="BE137" s="6"/>
      <c r="BF137" s="4"/>
      <c r="BG137" s="320">
        <v>70</v>
      </c>
      <c r="BH137" s="324"/>
      <c r="BI137" s="325"/>
      <c r="BX137" s="6"/>
      <c r="BY137" s="4"/>
      <c r="BZ137" s="320">
        <v>70</v>
      </c>
      <c r="CA137" s="324"/>
      <c r="CB137" s="325"/>
      <c r="CQ137" s="6"/>
    </row>
    <row r="138" spans="1:95">
      <c r="A138" s="4"/>
      <c r="B138" s="320">
        <v>71</v>
      </c>
      <c r="C138" s="324"/>
      <c r="D138" s="325"/>
      <c r="S138" s="6"/>
      <c r="T138" s="4"/>
      <c r="U138" s="320">
        <v>71</v>
      </c>
      <c r="V138" s="324"/>
      <c r="W138" s="325"/>
      <c r="AL138" s="6"/>
      <c r="AM138" s="4"/>
      <c r="AN138" s="320">
        <v>71</v>
      </c>
      <c r="AO138" s="324"/>
      <c r="AP138" s="325"/>
      <c r="BE138" s="6"/>
      <c r="BF138" s="4"/>
      <c r="BG138" s="320">
        <v>71</v>
      </c>
      <c r="BH138" s="324"/>
      <c r="BI138" s="325"/>
      <c r="BX138" s="6"/>
      <c r="BY138" s="4"/>
      <c r="BZ138" s="320">
        <v>71</v>
      </c>
      <c r="CA138" s="324"/>
      <c r="CB138" s="325"/>
      <c r="CQ138" s="6"/>
    </row>
    <row r="139" spans="1:95">
      <c r="A139" s="4"/>
      <c r="B139" s="320">
        <v>72</v>
      </c>
      <c r="C139" s="324"/>
      <c r="D139" s="325"/>
      <c r="S139" s="6"/>
      <c r="T139" s="4"/>
      <c r="U139" s="320">
        <v>72</v>
      </c>
      <c r="V139" s="324"/>
      <c r="W139" s="325"/>
      <c r="AL139" s="6"/>
      <c r="AM139" s="4"/>
      <c r="AN139" s="320">
        <v>72</v>
      </c>
      <c r="AO139" s="324"/>
      <c r="AP139" s="325"/>
      <c r="BE139" s="6"/>
      <c r="BF139" s="4"/>
      <c r="BG139" s="320">
        <v>72</v>
      </c>
      <c r="BH139" s="324"/>
      <c r="BI139" s="325"/>
      <c r="BX139" s="6"/>
      <c r="BY139" s="4"/>
      <c r="BZ139" s="320">
        <v>72</v>
      </c>
      <c r="CA139" s="324"/>
      <c r="CB139" s="325"/>
      <c r="CQ139" s="6"/>
    </row>
    <row r="140" spans="1:95">
      <c r="A140" s="4"/>
      <c r="B140" s="320">
        <v>73</v>
      </c>
      <c r="C140" s="324"/>
      <c r="D140" s="325"/>
      <c r="S140" s="6"/>
      <c r="T140" s="4"/>
      <c r="U140" s="320">
        <v>73</v>
      </c>
      <c r="V140" s="324"/>
      <c r="W140" s="325"/>
      <c r="AL140" s="6"/>
      <c r="AM140" s="4"/>
      <c r="AN140" s="320">
        <v>73</v>
      </c>
      <c r="AO140" s="324"/>
      <c r="AP140" s="325"/>
      <c r="BE140" s="6"/>
      <c r="BF140" s="4"/>
      <c r="BG140" s="320">
        <v>73</v>
      </c>
      <c r="BH140" s="324"/>
      <c r="BI140" s="325"/>
      <c r="BX140" s="6"/>
      <c r="BY140" s="4"/>
      <c r="BZ140" s="320">
        <v>73</v>
      </c>
      <c r="CA140" s="324"/>
      <c r="CB140" s="325"/>
      <c r="CQ140" s="6"/>
    </row>
    <row r="141" spans="1:95">
      <c r="A141" s="4"/>
      <c r="B141" s="320">
        <v>74</v>
      </c>
      <c r="C141" s="324"/>
      <c r="D141" s="325"/>
      <c r="S141" s="6"/>
      <c r="T141" s="4"/>
      <c r="U141" s="320">
        <v>74</v>
      </c>
      <c r="V141" s="324"/>
      <c r="W141" s="325"/>
      <c r="AL141" s="6"/>
      <c r="AM141" s="4"/>
      <c r="AN141" s="320">
        <v>74</v>
      </c>
      <c r="AO141" s="324"/>
      <c r="AP141" s="325"/>
      <c r="BE141" s="6"/>
      <c r="BF141" s="4"/>
      <c r="BG141" s="320">
        <v>74</v>
      </c>
      <c r="BH141" s="324"/>
      <c r="BI141" s="325"/>
      <c r="BX141" s="6"/>
      <c r="BY141" s="4"/>
      <c r="BZ141" s="320">
        <v>74</v>
      </c>
      <c r="CA141" s="324"/>
      <c r="CB141" s="325"/>
      <c r="CQ141" s="6"/>
    </row>
    <row r="142" spans="1:95">
      <c r="A142" s="4"/>
      <c r="B142" s="320">
        <v>75</v>
      </c>
      <c r="C142" s="324"/>
      <c r="D142" s="325"/>
      <c r="S142" s="6"/>
      <c r="T142" s="4"/>
      <c r="U142" s="320">
        <v>75</v>
      </c>
      <c r="V142" s="324"/>
      <c r="W142" s="325"/>
      <c r="AL142" s="6"/>
      <c r="AM142" s="4"/>
      <c r="AN142" s="320">
        <v>75</v>
      </c>
      <c r="AO142" s="324"/>
      <c r="AP142" s="325"/>
      <c r="BE142" s="6"/>
      <c r="BF142" s="4"/>
      <c r="BG142" s="320">
        <v>75</v>
      </c>
      <c r="BH142" s="324"/>
      <c r="BI142" s="325"/>
      <c r="BX142" s="6"/>
      <c r="BY142" s="4"/>
      <c r="BZ142" s="320">
        <v>75</v>
      </c>
      <c r="CA142" s="324"/>
      <c r="CB142" s="325"/>
      <c r="CQ142" s="6"/>
    </row>
    <row r="143" spans="1:95">
      <c r="A143" s="4"/>
      <c r="B143" s="320">
        <v>76</v>
      </c>
      <c r="C143" s="324"/>
      <c r="D143" s="325"/>
      <c r="S143" s="6"/>
      <c r="T143" s="4"/>
      <c r="U143" s="320">
        <v>76</v>
      </c>
      <c r="V143" s="324"/>
      <c r="W143" s="325"/>
      <c r="AL143" s="6"/>
      <c r="AM143" s="4"/>
      <c r="AN143" s="320">
        <v>76</v>
      </c>
      <c r="AO143" s="324"/>
      <c r="AP143" s="325"/>
      <c r="BE143" s="6"/>
      <c r="BF143" s="4"/>
      <c r="BG143" s="320">
        <v>76</v>
      </c>
      <c r="BH143" s="324"/>
      <c r="BI143" s="325"/>
      <c r="BX143" s="6"/>
      <c r="BY143" s="4"/>
      <c r="BZ143" s="320">
        <v>76</v>
      </c>
      <c r="CA143" s="324"/>
      <c r="CB143" s="325"/>
      <c r="CQ143" s="6"/>
    </row>
    <row r="144" spans="1:95">
      <c r="A144" s="4"/>
      <c r="B144" s="320">
        <v>77</v>
      </c>
      <c r="C144" s="324"/>
      <c r="D144" s="325"/>
      <c r="S144" s="6"/>
      <c r="T144" s="4"/>
      <c r="U144" s="320">
        <v>77</v>
      </c>
      <c r="V144" s="324"/>
      <c r="W144" s="325"/>
      <c r="AL144" s="6"/>
      <c r="AM144" s="4"/>
      <c r="AN144" s="320">
        <v>77</v>
      </c>
      <c r="AO144" s="324"/>
      <c r="AP144" s="325"/>
      <c r="BE144" s="6"/>
      <c r="BF144" s="4"/>
      <c r="BG144" s="320">
        <v>77</v>
      </c>
      <c r="BH144" s="324"/>
      <c r="BI144" s="325"/>
      <c r="BX144" s="6"/>
      <c r="BY144" s="4"/>
      <c r="BZ144" s="320">
        <v>77</v>
      </c>
      <c r="CA144" s="324"/>
      <c r="CB144" s="325"/>
      <c r="CQ144" s="6"/>
    </row>
    <row r="145" spans="1:95">
      <c r="A145" s="4"/>
      <c r="B145" s="320">
        <v>78</v>
      </c>
      <c r="C145" s="324"/>
      <c r="D145" s="325"/>
      <c r="S145" s="6"/>
      <c r="T145" s="4"/>
      <c r="U145" s="320">
        <v>78</v>
      </c>
      <c r="V145" s="324"/>
      <c r="W145" s="325"/>
      <c r="AL145" s="6"/>
      <c r="AM145" s="4"/>
      <c r="AN145" s="320">
        <v>78</v>
      </c>
      <c r="AO145" s="324"/>
      <c r="AP145" s="325"/>
      <c r="BE145" s="6"/>
      <c r="BF145" s="4"/>
      <c r="BG145" s="320">
        <v>78</v>
      </c>
      <c r="BH145" s="324"/>
      <c r="BI145" s="325"/>
      <c r="BX145" s="6"/>
      <c r="BY145" s="4"/>
      <c r="BZ145" s="320">
        <v>78</v>
      </c>
      <c r="CA145" s="324"/>
      <c r="CB145" s="325"/>
      <c r="CQ145" s="6"/>
    </row>
    <row r="146" spans="1:95">
      <c r="A146" s="4"/>
      <c r="B146" s="320">
        <v>79</v>
      </c>
      <c r="C146" s="324"/>
      <c r="D146" s="325"/>
      <c r="S146" s="6"/>
      <c r="T146" s="4"/>
      <c r="U146" s="320">
        <v>79</v>
      </c>
      <c r="V146" s="324"/>
      <c r="W146" s="325"/>
      <c r="AL146" s="6"/>
      <c r="AM146" s="4"/>
      <c r="AN146" s="320">
        <v>79</v>
      </c>
      <c r="AO146" s="324"/>
      <c r="AP146" s="325"/>
      <c r="BE146" s="6"/>
      <c r="BF146" s="4"/>
      <c r="BG146" s="320">
        <v>79</v>
      </c>
      <c r="BH146" s="324"/>
      <c r="BI146" s="325"/>
      <c r="BX146" s="6"/>
      <c r="BY146" s="4"/>
      <c r="BZ146" s="320">
        <v>79</v>
      </c>
      <c r="CA146" s="324"/>
      <c r="CB146" s="325"/>
      <c r="CQ146" s="6"/>
    </row>
    <row r="147" spans="1:95">
      <c r="A147" s="4"/>
      <c r="B147" s="320">
        <v>80</v>
      </c>
      <c r="C147" s="324"/>
      <c r="D147" s="325"/>
      <c r="S147" s="6"/>
      <c r="T147" s="4"/>
      <c r="U147" s="320">
        <v>80</v>
      </c>
      <c r="V147" s="324"/>
      <c r="W147" s="325"/>
      <c r="AL147" s="6"/>
      <c r="AM147" s="4"/>
      <c r="AN147" s="320">
        <v>80</v>
      </c>
      <c r="AO147" s="324"/>
      <c r="AP147" s="325"/>
      <c r="BE147" s="6"/>
      <c r="BF147" s="4"/>
      <c r="BG147" s="320">
        <v>80</v>
      </c>
      <c r="BH147" s="324"/>
      <c r="BI147" s="325"/>
      <c r="BX147" s="6"/>
      <c r="BY147" s="4"/>
      <c r="BZ147" s="320">
        <v>80</v>
      </c>
      <c r="CA147" s="324"/>
      <c r="CB147" s="325"/>
      <c r="CQ147" s="6"/>
    </row>
    <row r="148" spans="1:95">
      <c r="A148" s="4"/>
      <c r="B148" s="320">
        <v>81</v>
      </c>
      <c r="C148" s="324"/>
      <c r="D148" s="325"/>
      <c r="S148" s="6"/>
      <c r="T148" s="4"/>
      <c r="U148" s="320">
        <v>81</v>
      </c>
      <c r="V148" s="324"/>
      <c r="W148" s="325"/>
      <c r="AL148" s="6"/>
      <c r="AM148" s="4"/>
      <c r="AN148" s="320">
        <v>81</v>
      </c>
      <c r="AO148" s="324"/>
      <c r="AP148" s="325"/>
      <c r="BE148" s="6"/>
      <c r="BF148" s="4"/>
      <c r="BG148" s="320">
        <v>81</v>
      </c>
      <c r="BH148" s="324"/>
      <c r="BI148" s="325"/>
      <c r="BX148" s="6"/>
      <c r="BY148" s="4"/>
      <c r="BZ148" s="320">
        <v>81</v>
      </c>
      <c r="CA148" s="324"/>
      <c r="CB148" s="325"/>
      <c r="CQ148" s="6"/>
    </row>
    <row r="149" spans="1:95">
      <c r="A149" s="4"/>
      <c r="B149" s="320">
        <v>82</v>
      </c>
      <c r="C149" s="324"/>
      <c r="D149" s="325"/>
      <c r="S149" s="6"/>
      <c r="T149" s="4"/>
      <c r="U149" s="320">
        <v>82</v>
      </c>
      <c r="V149" s="324"/>
      <c r="W149" s="325"/>
      <c r="AL149" s="6"/>
      <c r="AM149" s="4"/>
      <c r="AN149" s="320">
        <v>82</v>
      </c>
      <c r="AO149" s="324"/>
      <c r="AP149" s="325"/>
      <c r="BE149" s="6"/>
      <c r="BF149" s="4"/>
      <c r="BG149" s="320">
        <v>82</v>
      </c>
      <c r="BH149" s="324"/>
      <c r="BI149" s="325"/>
      <c r="BX149" s="6"/>
      <c r="BY149" s="4"/>
      <c r="BZ149" s="320">
        <v>82</v>
      </c>
      <c r="CA149" s="324"/>
      <c r="CB149" s="325"/>
      <c r="CQ149" s="6"/>
    </row>
    <row r="150" spans="1:95">
      <c r="A150" s="4"/>
      <c r="B150" s="320">
        <v>83</v>
      </c>
      <c r="C150" s="324"/>
      <c r="D150" s="325"/>
      <c r="S150" s="6"/>
      <c r="T150" s="4"/>
      <c r="U150" s="320">
        <v>83</v>
      </c>
      <c r="V150" s="324"/>
      <c r="W150" s="325"/>
      <c r="AL150" s="6"/>
      <c r="AM150" s="4"/>
      <c r="AN150" s="320">
        <v>83</v>
      </c>
      <c r="AO150" s="324"/>
      <c r="AP150" s="325"/>
      <c r="BE150" s="6"/>
      <c r="BF150" s="4"/>
      <c r="BG150" s="320">
        <v>83</v>
      </c>
      <c r="BH150" s="324"/>
      <c r="BI150" s="325"/>
      <c r="BX150" s="6"/>
      <c r="BY150" s="4"/>
      <c r="BZ150" s="320">
        <v>83</v>
      </c>
      <c r="CA150" s="324"/>
      <c r="CB150" s="325"/>
      <c r="CQ150" s="6"/>
    </row>
    <row r="151" spans="1:95">
      <c r="A151" s="4"/>
      <c r="B151" s="320">
        <v>84</v>
      </c>
      <c r="C151" s="324"/>
      <c r="D151" s="325"/>
      <c r="S151" s="6"/>
      <c r="T151" s="4"/>
      <c r="U151" s="320">
        <v>84</v>
      </c>
      <c r="V151" s="324"/>
      <c r="W151" s="325"/>
      <c r="AL151" s="6"/>
      <c r="AM151" s="4"/>
      <c r="AN151" s="320">
        <v>84</v>
      </c>
      <c r="AO151" s="324"/>
      <c r="AP151" s="325"/>
      <c r="BE151" s="6"/>
      <c r="BF151" s="4"/>
      <c r="BG151" s="320">
        <v>84</v>
      </c>
      <c r="BH151" s="324"/>
      <c r="BI151" s="325"/>
      <c r="BX151" s="6"/>
      <c r="BY151" s="4"/>
      <c r="BZ151" s="320">
        <v>84</v>
      </c>
      <c r="CA151" s="324"/>
      <c r="CB151" s="325"/>
      <c r="CQ151" s="6"/>
    </row>
    <row r="152" spans="1:95">
      <c r="A152" s="4"/>
      <c r="B152" s="320">
        <v>85</v>
      </c>
      <c r="C152" s="324"/>
      <c r="D152" s="325"/>
      <c r="S152" s="6"/>
      <c r="T152" s="4"/>
      <c r="U152" s="320">
        <v>85</v>
      </c>
      <c r="V152" s="324"/>
      <c r="W152" s="325"/>
      <c r="AL152" s="6"/>
      <c r="AM152" s="4"/>
      <c r="AN152" s="320">
        <v>85</v>
      </c>
      <c r="AO152" s="324"/>
      <c r="AP152" s="325"/>
      <c r="BE152" s="6"/>
      <c r="BF152" s="4"/>
      <c r="BG152" s="320">
        <v>85</v>
      </c>
      <c r="BH152" s="324"/>
      <c r="BI152" s="325"/>
      <c r="BX152" s="6"/>
      <c r="BY152" s="4"/>
      <c r="BZ152" s="320">
        <v>85</v>
      </c>
      <c r="CA152" s="324"/>
      <c r="CB152" s="325"/>
      <c r="CQ152" s="6"/>
    </row>
    <row r="153" spans="1:95">
      <c r="A153" s="4"/>
      <c r="B153" s="320">
        <v>86</v>
      </c>
      <c r="C153" s="324"/>
      <c r="D153" s="325"/>
      <c r="S153" s="6"/>
      <c r="T153" s="4"/>
      <c r="U153" s="320">
        <v>86</v>
      </c>
      <c r="V153" s="324"/>
      <c r="W153" s="325"/>
      <c r="AL153" s="6"/>
      <c r="AM153" s="4"/>
      <c r="AN153" s="320">
        <v>86</v>
      </c>
      <c r="AO153" s="324"/>
      <c r="AP153" s="325"/>
      <c r="BE153" s="6"/>
      <c r="BF153" s="4"/>
      <c r="BG153" s="320">
        <v>86</v>
      </c>
      <c r="BH153" s="324"/>
      <c r="BI153" s="325"/>
      <c r="BX153" s="6"/>
      <c r="BY153" s="4"/>
      <c r="BZ153" s="320">
        <v>86</v>
      </c>
      <c r="CA153" s="324"/>
      <c r="CB153" s="325"/>
      <c r="CQ153" s="6"/>
    </row>
    <row r="154" spans="1:95">
      <c r="A154" s="4"/>
      <c r="B154" s="320">
        <v>87</v>
      </c>
      <c r="C154" s="324"/>
      <c r="D154" s="325"/>
      <c r="S154" s="6"/>
      <c r="T154" s="4"/>
      <c r="U154" s="320">
        <v>87</v>
      </c>
      <c r="V154" s="324"/>
      <c r="W154" s="325"/>
      <c r="AL154" s="6"/>
      <c r="AM154" s="4"/>
      <c r="AN154" s="320">
        <v>87</v>
      </c>
      <c r="AO154" s="324"/>
      <c r="AP154" s="325"/>
      <c r="BE154" s="6"/>
      <c r="BF154" s="4"/>
      <c r="BG154" s="320">
        <v>87</v>
      </c>
      <c r="BH154" s="324"/>
      <c r="BI154" s="325"/>
      <c r="BX154" s="6"/>
      <c r="BY154" s="4"/>
      <c r="BZ154" s="320">
        <v>87</v>
      </c>
      <c r="CA154" s="324"/>
      <c r="CB154" s="325"/>
      <c r="CQ154" s="6"/>
    </row>
    <row r="155" spans="1:95">
      <c r="A155" s="4"/>
      <c r="B155" s="320">
        <v>88</v>
      </c>
      <c r="C155" s="324"/>
      <c r="D155" s="325"/>
      <c r="S155" s="6"/>
      <c r="T155" s="4"/>
      <c r="U155" s="320">
        <v>88</v>
      </c>
      <c r="V155" s="324"/>
      <c r="W155" s="325"/>
      <c r="AL155" s="6"/>
      <c r="AM155" s="4"/>
      <c r="AN155" s="320">
        <v>88</v>
      </c>
      <c r="AO155" s="324"/>
      <c r="AP155" s="325"/>
      <c r="BE155" s="6"/>
      <c r="BF155" s="4"/>
      <c r="BG155" s="320">
        <v>88</v>
      </c>
      <c r="BH155" s="324"/>
      <c r="BI155" s="325"/>
      <c r="BX155" s="6"/>
      <c r="BY155" s="4"/>
      <c r="BZ155" s="320">
        <v>88</v>
      </c>
      <c r="CA155" s="324"/>
      <c r="CB155" s="325"/>
      <c r="CQ155" s="6"/>
    </row>
    <row r="156" spans="1:95">
      <c r="A156" s="4"/>
      <c r="B156" s="320">
        <v>89</v>
      </c>
      <c r="C156" s="324"/>
      <c r="D156" s="325"/>
      <c r="S156" s="6"/>
      <c r="T156" s="4"/>
      <c r="U156" s="320">
        <v>89</v>
      </c>
      <c r="V156" s="324"/>
      <c r="W156" s="325"/>
      <c r="AL156" s="6"/>
      <c r="AM156" s="4"/>
      <c r="AN156" s="320">
        <v>89</v>
      </c>
      <c r="AO156" s="324"/>
      <c r="AP156" s="325"/>
      <c r="BE156" s="6"/>
      <c r="BF156" s="4"/>
      <c r="BG156" s="320">
        <v>89</v>
      </c>
      <c r="BH156" s="324"/>
      <c r="BI156" s="325"/>
      <c r="BX156" s="6"/>
      <c r="BY156" s="4"/>
      <c r="BZ156" s="320">
        <v>89</v>
      </c>
      <c r="CA156" s="324"/>
      <c r="CB156" s="325"/>
      <c r="CQ156" s="6"/>
    </row>
    <row r="157" spans="1:95">
      <c r="A157" s="4"/>
      <c r="B157" s="320">
        <v>90</v>
      </c>
      <c r="C157" s="324"/>
      <c r="D157" s="325"/>
      <c r="S157" s="6"/>
      <c r="T157" s="4"/>
      <c r="U157" s="320">
        <v>90</v>
      </c>
      <c r="V157" s="324"/>
      <c r="W157" s="325"/>
      <c r="AL157" s="6"/>
      <c r="AM157" s="4"/>
      <c r="AN157" s="320">
        <v>90</v>
      </c>
      <c r="AO157" s="324"/>
      <c r="AP157" s="325"/>
      <c r="BE157" s="6"/>
      <c r="BF157" s="4"/>
      <c r="BG157" s="320">
        <v>90</v>
      </c>
      <c r="BH157" s="324"/>
      <c r="BI157" s="325"/>
      <c r="BX157" s="6"/>
      <c r="BY157" s="4"/>
      <c r="BZ157" s="320">
        <v>90</v>
      </c>
      <c r="CA157" s="324"/>
      <c r="CB157" s="325"/>
      <c r="CQ157" s="6"/>
    </row>
    <row r="158" spans="1:95">
      <c r="A158" s="4"/>
      <c r="B158" s="320">
        <v>91</v>
      </c>
      <c r="C158" s="324"/>
      <c r="D158" s="325"/>
      <c r="S158" s="6"/>
      <c r="T158" s="4"/>
      <c r="U158" s="320">
        <v>91</v>
      </c>
      <c r="V158" s="324"/>
      <c r="W158" s="325"/>
      <c r="AL158" s="6"/>
      <c r="AM158" s="4"/>
      <c r="AN158" s="320">
        <v>91</v>
      </c>
      <c r="AO158" s="324"/>
      <c r="AP158" s="325"/>
      <c r="BE158" s="6"/>
      <c r="BF158" s="4"/>
      <c r="BG158" s="320">
        <v>91</v>
      </c>
      <c r="BH158" s="324"/>
      <c r="BI158" s="325"/>
      <c r="BX158" s="6"/>
      <c r="BY158" s="4"/>
      <c r="BZ158" s="320">
        <v>91</v>
      </c>
      <c r="CA158" s="324"/>
      <c r="CB158" s="325"/>
      <c r="CQ158" s="6"/>
    </row>
    <row r="159" spans="1:95">
      <c r="A159" s="4"/>
      <c r="B159" s="320">
        <v>92</v>
      </c>
      <c r="C159" s="324"/>
      <c r="D159" s="325"/>
      <c r="S159" s="6"/>
      <c r="T159" s="4"/>
      <c r="U159" s="320">
        <v>92</v>
      </c>
      <c r="V159" s="324"/>
      <c r="W159" s="325"/>
      <c r="AL159" s="6"/>
      <c r="AM159" s="4"/>
      <c r="AN159" s="320">
        <v>92</v>
      </c>
      <c r="AO159" s="324"/>
      <c r="AP159" s="325"/>
      <c r="BE159" s="6"/>
      <c r="BF159" s="4"/>
      <c r="BG159" s="320">
        <v>92</v>
      </c>
      <c r="BH159" s="324"/>
      <c r="BI159" s="325"/>
      <c r="BX159" s="6"/>
      <c r="BY159" s="4"/>
      <c r="BZ159" s="320">
        <v>92</v>
      </c>
      <c r="CA159" s="324"/>
      <c r="CB159" s="325"/>
      <c r="CQ159" s="6"/>
    </row>
    <row r="160" spans="1:95">
      <c r="A160" s="4"/>
      <c r="B160" s="320">
        <v>93</v>
      </c>
      <c r="C160" s="324"/>
      <c r="D160" s="325"/>
      <c r="S160" s="6"/>
      <c r="T160" s="4"/>
      <c r="U160" s="320">
        <v>93</v>
      </c>
      <c r="V160" s="324"/>
      <c r="W160" s="325"/>
      <c r="AL160" s="6"/>
      <c r="AM160" s="4"/>
      <c r="AN160" s="320">
        <v>93</v>
      </c>
      <c r="AO160" s="324"/>
      <c r="AP160" s="325"/>
      <c r="BE160" s="6"/>
      <c r="BF160" s="4"/>
      <c r="BG160" s="320">
        <v>93</v>
      </c>
      <c r="BH160" s="324"/>
      <c r="BI160" s="325"/>
      <c r="BX160" s="6"/>
      <c r="BY160" s="4"/>
      <c r="BZ160" s="320">
        <v>93</v>
      </c>
      <c r="CA160" s="324"/>
      <c r="CB160" s="325"/>
      <c r="CQ160" s="6"/>
    </row>
    <row r="161" spans="1:95">
      <c r="A161" s="4"/>
      <c r="B161" s="320">
        <v>94</v>
      </c>
      <c r="C161" s="324"/>
      <c r="D161" s="325"/>
      <c r="S161" s="6"/>
      <c r="T161" s="4"/>
      <c r="U161" s="320">
        <v>94</v>
      </c>
      <c r="V161" s="324"/>
      <c r="W161" s="325"/>
      <c r="AL161" s="6"/>
      <c r="AM161" s="4"/>
      <c r="AN161" s="320">
        <v>94</v>
      </c>
      <c r="AO161" s="324"/>
      <c r="AP161" s="325"/>
      <c r="BE161" s="6"/>
      <c r="BF161" s="4"/>
      <c r="BG161" s="320">
        <v>94</v>
      </c>
      <c r="BH161" s="324"/>
      <c r="BI161" s="325"/>
      <c r="BX161" s="6"/>
      <c r="BY161" s="4"/>
      <c r="BZ161" s="320">
        <v>94</v>
      </c>
      <c r="CA161" s="324"/>
      <c r="CB161" s="325"/>
      <c r="CQ161" s="6"/>
    </row>
    <row r="162" spans="1:95">
      <c r="A162" s="4"/>
      <c r="B162" s="320">
        <v>95</v>
      </c>
      <c r="C162" s="324"/>
      <c r="D162" s="325"/>
      <c r="S162" s="6"/>
      <c r="T162" s="4"/>
      <c r="U162" s="320">
        <v>95</v>
      </c>
      <c r="V162" s="324"/>
      <c r="W162" s="325"/>
      <c r="AL162" s="6"/>
      <c r="AM162" s="4"/>
      <c r="AN162" s="320">
        <v>95</v>
      </c>
      <c r="AO162" s="324"/>
      <c r="AP162" s="325"/>
      <c r="BE162" s="6"/>
      <c r="BF162" s="4"/>
      <c r="BG162" s="320">
        <v>95</v>
      </c>
      <c r="BH162" s="324"/>
      <c r="BI162" s="325"/>
      <c r="BX162" s="6"/>
      <c r="BY162" s="4"/>
      <c r="BZ162" s="320">
        <v>95</v>
      </c>
      <c r="CA162" s="324"/>
      <c r="CB162" s="325"/>
      <c r="CQ162" s="6"/>
    </row>
    <row r="163" spans="1:95">
      <c r="A163" s="4"/>
      <c r="B163" s="320">
        <v>96</v>
      </c>
      <c r="C163" s="324"/>
      <c r="D163" s="325"/>
      <c r="S163" s="6"/>
      <c r="T163" s="4"/>
      <c r="U163" s="320">
        <v>96</v>
      </c>
      <c r="V163" s="324"/>
      <c r="W163" s="325"/>
      <c r="AL163" s="6"/>
      <c r="AM163" s="4"/>
      <c r="AN163" s="320">
        <v>96</v>
      </c>
      <c r="AO163" s="324"/>
      <c r="AP163" s="325"/>
      <c r="BE163" s="6"/>
      <c r="BF163" s="4"/>
      <c r="BG163" s="320">
        <v>96</v>
      </c>
      <c r="BH163" s="324"/>
      <c r="BI163" s="325"/>
      <c r="BX163" s="6"/>
      <c r="BY163" s="4"/>
      <c r="BZ163" s="320">
        <v>96</v>
      </c>
      <c r="CA163" s="324"/>
      <c r="CB163" s="325"/>
      <c r="CQ163" s="6"/>
    </row>
    <row r="164" spans="1:95">
      <c r="A164" s="4"/>
      <c r="B164" s="320">
        <v>97</v>
      </c>
      <c r="C164" s="324"/>
      <c r="D164" s="325"/>
      <c r="S164" s="6"/>
      <c r="T164" s="4"/>
      <c r="U164" s="320">
        <v>97</v>
      </c>
      <c r="V164" s="324"/>
      <c r="W164" s="325"/>
      <c r="AL164" s="6"/>
      <c r="AM164" s="4"/>
      <c r="AN164" s="320">
        <v>97</v>
      </c>
      <c r="AO164" s="324"/>
      <c r="AP164" s="325"/>
      <c r="BE164" s="6"/>
      <c r="BF164" s="4"/>
      <c r="BG164" s="320">
        <v>97</v>
      </c>
      <c r="BH164" s="324"/>
      <c r="BI164" s="325"/>
      <c r="BX164" s="6"/>
      <c r="BY164" s="4"/>
      <c r="BZ164" s="320">
        <v>97</v>
      </c>
      <c r="CA164" s="324"/>
      <c r="CB164" s="325"/>
      <c r="CQ164" s="6"/>
    </row>
    <row r="165" spans="1:95">
      <c r="A165" s="4"/>
      <c r="B165" s="320">
        <v>98</v>
      </c>
      <c r="C165" s="324"/>
      <c r="D165" s="325"/>
      <c r="S165" s="6"/>
      <c r="T165" s="4"/>
      <c r="U165" s="320">
        <v>98</v>
      </c>
      <c r="V165" s="324"/>
      <c r="W165" s="325"/>
      <c r="AL165" s="6"/>
      <c r="AM165" s="4"/>
      <c r="AN165" s="320">
        <v>98</v>
      </c>
      <c r="AO165" s="324"/>
      <c r="AP165" s="325"/>
      <c r="BE165" s="6"/>
      <c r="BF165" s="4"/>
      <c r="BG165" s="320">
        <v>98</v>
      </c>
      <c r="BH165" s="324"/>
      <c r="BI165" s="325"/>
      <c r="BX165" s="6"/>
      <c r="BY165" s="4"/>
      <c r="BZ165" s="320">
        <v>98</v>
      </c>
      <c r="CA165" s="324"/>
      <c r="CB165" s="325"/>
      <c r="CQ165" s="6"/>
    </row>
    <row r="166" spans="1:95">
      <c r="A166" s="4"/>
      <c r="B166" s="320">
        <v>99</v>
      </c>
      <c r="C166" s="324"/>
      <c r="D166" s="325"/>
      <c r="S166" s="6"/>
      <c r="T166" s="4"/>
      <c r="U166" s="320">
        <v>99</v>
      </c>
      <c r="V166" s="324"/>
      <c r="W166" s="325"/>
      <c r="AL166" s="6"/>
      <c r="AM166" s="4"/>
      <c r="AN166" s="320">
        <v>99</v>
      </c>
      <c r="AO166" s="324"/>
      <c r="AP166" s="325"/>
      <c r="BE166" s="6"/>
      <c r="BF166" s="4"/>
      <c r="BG166" s="320">
        <v>99</v>
      </c>
      <c r="BH166" s="324"/>
      <c r="BI166" s="325"/>
      <c r="BX166" s="6"/>
      <c r="BY166" s="4"/>
      <c r="BZ166" s="320">
        <v>99</v>
      </c>
      <c r="CA166" s="324"/>
      <c r="CB166" s="325"/>
      <c r="CQ166" s="6"/>
    </row>
    <row r="167" spans="1:95">
      <c r="A167" s="4"/>
      <c r="B167" s="320">
        <v>100</v>
      </c>
      <c r="C167" s="324"/>
      <c r="D167" s="325"/>
      <c r="S167" s="6"/>
      <c r="T167" s="4"/>
      <c r="U167" s="320">
        <v>100</v>
      </c>
      <c r="V167" s="324"/>
      <c r="W167" s="325"/>
      <c r="AL167" s="6"/>
      <c r="AM167" s="4"/>
      <c r="AN167" s="320">
        <v>100</v>
      </c>
      <c r="AO167" s="324"/>
      <c r="AP167" s="325"/>
      <c r="BE167" s="6"/>
      <c r="BF167" s="4"/>
      <c r="BG167" s="320">
        <v>100</v>
      </c>
      <c r="BH167" s="324"/>
      <c r="BI167" s="325"/>
      <c r="BX167" s="6"/>
      <c r="BY167" s="4"/>
      <c r="BZ167" s="320">
        <v>100</v>
      </c>
      <c r="CA167" s="324"/>
      <c r="CB167" s="325"/>
      <c r="CQ167" s="6"/>
    </row>
    <row r="168" spans="1:95">
      <c r="A168" s="4"/>
      <c r="B168" s="320">
        <v>101</v>
      </c>
      <c r="C168" s="324"/>
      <c r="D168" s="325"/>
      <c r="S168" s="6"/>
      <c r="T168" s="4"/>
      <c r="U168" s="320">
        <v>101</v>
      </c>
      <c r="V168" s="324"/>
      <c r="W168" s="325"/>
      <c r="AL168" s="6"/>
      <c r="AM168" s="4"/>
      <c r="AN168" s="320">
        <v>101</v>
      </c>
      <c r="AO168" s="324"/>
      <c r="AP168" s="325"/>
      <c r="BE168" s="6"/>
      <c r="BF168" s="4"/>
      <c r="BG168" s="320">
        <v>101</v>
      </c>
      <c r="BH168" s="324"/>
      <c r="BI168" s="325"/>
      <c r="BX168" s="6"/>
      <c r="BY168" s="4"/>
      <c r="BZ168" s="320">
        <v>101</v>
      </c>
      <c r="CA168" s="324"/>
      <c r="CB168" s="325"/>
      <c r="CQ168" s="6"/>
    </row>
    <row r="169" spans="1:95">
      <c r="A169" s="4"/>
      <c r="B169" s="320">
        <v>102</v>
      </c>
      <c r="C169" s="324"/>
      <c r="D169" s="325"/>
      <c r="S169" s="6"/>
      <c r="T169" s="4"/>
      <c r="U169" s="320">
        <v>102</v>
      </c>
      <c r="V169" s="324"/>
      <c r="W169" s="325"/>
      <c r="AL169" s="6"/>
      <c r="AM169" s="4"/>
      <c r="AN169" s="320">
        <v>102</v>
      </c>
      <c r="AO169" s="324"/>
      <c r="AP169" s="325"/>
      <c r="BE169" s="6"/>
      <c r="BF169" s="4"/>
      <c r="BG169" s="320">
        <v>102</v>
      </c>
      <c r="BH169" s="324"/>
      <c r="BI169" s="325"/>
      <c r="BX169" s="6"/>
      <c r="BY169" s="4"/>
      <c r="BZ169" s="320">
        <v>102</v>
      </c>
      <c r="CA169" s="324"/>
      <c r="CB169" s="325"/>
      <c r="CQ169" s="6"/>
    </row>
    <row r="170" spans="1:95">
      <c r="A170" s="4"/>
      <c r="B170" s="320">
        <v>103</v>
      </c>
      <c r="C170" s="326"/>
      <c r="D170" s="327"/>
      <c r="S170" s="6"/>
      <c r="T170" s="4"/>
      <c r="U170" s="320">
        <v>103</v>
      </c>
      <c r="V170" s="326"/>
      <c r="W170" s="327"/>
      <c r="AL170" s="6"/>
      <c r="AM170" s="4"/>
      <c r="AN170" s="320">
        <v>103</v>
      </c>
      <c r="AO170" s="326"/>
      <c r="AP170" s="327"/>
      <c r="BE170" s="6"/>
      <c r="BF170" s="4"/>
      <c r="BG170" s="320">
        <v>103</v>
      </c>
      <c r="BH170" s="326"/>
      <c r="BI170" s="327"/>
      <c r="BX170" s="6"/>
      <c r="BY170" s="4"/>
      <c r="BZ170" s="320">
        <v>103</v>
      </c>
      <c r="CA170" s="326"/>
      <c r="CB170" s="327"/>
      <c r="CQ170" s="6"/>
    </row>
    <row r="171" spans="1:95">
      <c r="A171" s="4"/>
      <c r="B171" s="320">
        <v>104</v>
      </c>
      <c r="C171" s="326"/>
      <c r="D171" s="327"/>
      <c r="S171" s="6"/>
      <c r="T171" s="4"/>
      <c r="U171" s="320">
        <v>104</v>
      </c>
      <c r="V171" s="326"/>
      <c r="W171" s="327"/>
      <c r="AL171" s="6"/>
      <c r="AM171" s="4"/>
      <c r="AN171" s="320">
        <v>104</v>
      </c>
      <c r="AO171" s="326"/>
      <c r="AP171" s="327"/>
      <c r="BE171" s="6"/>
      <c r="BF171" s="4"/>
      <c r="BG171" s="320">
        <v>104</v>
      </c>
      <c r="BH171" s="326"/>
      <c r="BI171" s="327"/>
      <c r="BX171" s="6"/>
      <c r="BY171" s="4"/>
      <c r="BZ171" s="320">
        <v>104</v>
      </c>
      <c r="CA171" s="326"/>
      <c r="CB171" s="327"/>
      <c r="CQ171" s="6"/>
    </row>
    <row r="172" spans="1:95">
      <c r="A172" s="4"/>
      <c r="B172" s="320">
        <v>105</v>
      </c>
      <c r="C172" s="326"/>
      <c r="D172" s="327"/>
      <c r="S172" s="6"/>
      <c r="T172" s="4"/>
      <c r="U172" s="320">
        <v>105</v>
      </c>
      <c r="V172" s="326"/>
      <c r="W172" s="327"/>
      <c r="AL172" s="6"/>
      <c r="AM172" s="4"/>
      <c r="AN172" s="320">
        <v>105</v>
      </c>
      <c r="AO172" s="326"/>
      <c r="AP172" s="327"/>
      <c r="BE172" s="6"/>
      <c r="BF172" s="4"/>
      <c r="BG172" s="320">
        <v>105</v>
      </c>
      <c r="BH172" s="326"/>
      <c r="BI172" s="327"/>
      <c r="BX172" s="6"/>
      <c r="BY172" s="4"/>
      <c r="BZ172" s="320">
        <v>105</v>
      </c>
      <c r="CA172" s="326"/>
      <c r="CB172" s="327"/>
      <c r="CQ172" s="6"/>
    </row>
    <row r="173" spans="1:95">
      <c r="A173" s="4"/>
      <c r="B173" s="320">
        <v>106</v>
      </c>
      <c r="C173" s="326"/>
      <c r="D173" s="327"/>
      <c r="S173" s="6"/>
      <c r="T173" s="4"/>
      <c r="U173" s="320">
        <v>106</v>
      </c>
      <c r="V173" s="326"/>
      <c r="W173" s="327"/>
      <c r="AL173" s="6"/>
      <c r="AM173" s="4"/>
      <c r="AN173" s="320">
        <v>106</v>
      </c>
      <c r="AO173" s="326"/>
      <c r="AP173" s="327"/>
      <c r="BE173" s="6"/>
      <c r="BF173" s="4"/>
      <c r="BG173" s="320">
        <v>106</v>
      </c>
      <c r="BH173" s="326"/>
      <c r="BI173" s="327"/>
      <c r="BX173" s="6"/>
      <c r="BY173" s="4"/>
      <c r="BZ173" s="320">
        <v>106</v>
      </c>
      <c r="CA173" s="326"/>
      <c r="CB173" s="327"/>
      <c r="CQ173" s="6"/>
    </row>
    <row r="174" spans="1:95">
      <c r="A174" s="4"/>
      <c r="B174" s="320">
        <v>107</v>
      </c>
      <c r="C174" s="326"/>
      <c r="D174" s="327"/>
      <c r="S174" s="6"/>
      <c r="T174" s="4"/>
      <c r="U174" s="320">
        <v>107</v>
      </c>
      <c r="V174" s="326"/>
      <c r="W174" s="327"/>
      <c r="AL174" s="6"/>
      <c r="AM174" s="4"/>
      <c r="AN174" s="320">
        <v>107</v>
      </c>
      <c r="AO174" s="326"/>
      <c r="AP174" s="327"/>
      <c r="BE174" s="6"/>
      <c r="BF174" s="4"/>
      <c r="BG174" s="320">
        <v>107</v>
      </c>
      <c r="BH174" s="326"/>
      <c r="BI174" s="327"/>
      <c r="BX174" s="6"/>
      <c r="BY174" s="4"/>
      <c r="BZ174" s="320">
        <v>107</v>
      </c>
      <c r="CA174" s="326"/>
      <c r="CB174" s="327"/>
      <c r="CQ174" s="6"/>
    </row>
    <row r="175" spans="1:95">
      <c r="A175" s="4"/>
      <c r="B175" s="320">
        <v>108</v>
      </c>
      <c r="C175" s="326"/>
      <c r="D175" s="327"/>
      <c r="S175" s="6"/>
      <c r="T175" s="4"/>
      <c r="U175" s="320">
        <v>108</v>
      </c>
      <c r="V175" s="326"/>
      <c r="W175" s="327"/>
      <c r="AL175" s="6"/>
      <c r="AM175" s="4"/>
      <c r="AN175" s="320">
        <v>108</v>
      </c>
      <c r="AO175" s="326"/>
      <c r="AP175" s="327"/>
      <c r="BE175" s="6"/>
      <c r="BF175" s="4"/>
      <c r="BG175" s="320">
        <v>108</v>
      </c>
      <c r="BH175" s="326"/>
      <c r="BI175" s="327"/>
      <c r="BX175" s="6"/>
      <c r="BY175" s="4"/>
      <c r="BZ175" s="320">
        <v>108</v>
      </c>
      <c r="CA175" s="326"/>
      <c r="CB175" s="327"/>
      <c r="CQ175" s="6"/>
    </row>
    <row r="176" spans="1:95">
      <c r="A176" s="4"/>
      <c r="B176" s="320">
        <v>109</v>
      </c>
      <c r="C176" s="326"/>
      <c r="D176" s="327"/>
      <c r="S176" s="6"/>
      <c r="T176" s="4"/>
      <c r="U176" s="320">
        <v>109</v>
      </c>
      <c r="V176" s="326"/>
      <c r="W176" s="327"/>
      <c r="AL176" s="6"/>
      <c r="AM176" s="4"/>
      <c r="AN176" s="320">
        <v>109</v>
      </c>
      <c r="AO176" s="326"/>
      <c r="AP176" s="327"/>
      <c r="BE176" s="6"/>
      <c r="BF176" s="4"/>
      <c r="BG176" s="320">
        <v>109</v>
      </c>
      <c r="BH176" s="326"/>
      <c r="BI176" s="327"/>
      <c r="BX176" s="6"/>
      <c r="BY176" s="4"/>
      <c r="BZ176" s="320">
        <v>109</v>
      </c>
      <c r="CA176" s="326"/>
      <c r="CB176" s="327"/>
      <c r="CQ176" s="6"/>
    </row>
    <row r="177" spans="1:95">
      <c r="A177" s="4"/>
      <c r="B177" s="320">
        <v>110</v>
      </c>
      <c r="C177" s="326"/>
      <c r="D177" s="327"/>
      <c r="S177" s="6"/>
      <c r="T177" s="4"/>
      <c r="U177" s="320">
        <v>110</v>
      </c>
      <c r="V177" s="326"/>
      <c r="W177" s="327"/>
      <c r="AL177" s="6"/>
      <c r="AM177" s="4"/>
      <c r="AN177" s="320">
        <v>110</v>
      </c>
      <c r="AO177" s="326"/>
      <c r="AP177" s="327"/>
      <c r="BE177" s="6"/>
      <c r="BF177" s="4"/>
      <c r="BG177" s="320">
        <v>110</v>
      </c>
      <c r="BH177" s="326"/>
      <c r="BI177" s="327"/>
      <c r="BX177" s="6"/>
      <c r="BY177" s="4"/>
      <c r="BZ177" s="320">
        <v>110</v>
      </c>
      <c r="CA177" s="326"/>
      <c r="CB177" s="327"/>
      <c r="CQ177" s="6"/>
    </row>
    <row r="178" spans="1:95">
      <c r="A178" s="4"/>
      <c r="B178" s="320">
        <v>111</v>
      </c>
      <c r="C178" s="326"/>
      <c r="D178" s="327"/>
      <c r="S178" s="6"/>
      <c r="T178" s="4"/>
      <c r="U178" s="320">
        <v>111</v>
      </c>
      <c r="V178" s="326"/>
      <c r="W178" s="327"/>
      <c r="AL178" s="6"/>
      <c r="AM178" s="4"/>
      <c r="AN178" s="320">
        <v>111</v>
      </c>
      <c r="AO178" s="326"/>
      <c r="AP178" s="327"/>
      <c r="BE178" s="6"/>
      <c r="BF178" s="4"/>
      <c r="BG178" s="320">
        <v>111</v>
      </c>
      <c r="BH178" s="326"/>
      <c r="BI178" s="327"/>
      <c r="BX178" s="6"/>
      <c r="BY178" s="4"/>
      <c r="BZ178" s="320">
        <v>111</v>
      </c>
      <c r="CA178" s="326"/>
      <c r="CB178" s="327"/>
      <c r="CQ178" s="6"/>
    </row>
    <row r="179" spans="1:95">
      <c r="A179" s="4"/>
      <c r="B179" s="320">
        <v>112</v>
      </c>
      <c r="C179" s="326"/>
      <c r="D179" s="327"/>
      <c r="S179" s="6"/>
      <c r="T179" s="4"/>
      <c r="U179" s="320">
        <v>112</v>
      </c>
      <c r="V179" s="326"/>
      <c r="W179" s="327"/>
      <c r="AL179" s="6"/>
      <c r="AM179" s="4"/>
      <c r="AN179" s="320">
        <v>112</v>
      </c>
      <c r="AO179" s="326"/>
      <c r="AP179" s="327"/>
      <c r="BE179" s="6"/>
      <c r="BF179" s="4"/>
      <c r="BG179" s="320">
        <v>112</v>
      </c>
      <c r="BH179" s="326"/>
      <c r="BI179" s="327"/>
      <c r="BX179" s="6"/>
      <c r="BY179" s="4"/>
      <c r="BZ179" s="320">
        <v>112</v>
      </c>
      <c r="CA179" s="326"/>
      <c r="CB179" s="327"/>
      <c r="CQ179" s="6"/>
    </row>
    <row r="180" spans="1:95">
      <c r="A180" s="4"/>
      <c r="B180" s="320">
        <v>113</v>
      </c>
      <c r="C180" s="326"/>
      <c r="D180" s="327"/>
      <c r="S180" s="6"/>
      <c r="T180" s="4"/>
      <c r="U180" s="320">
        <v>113</v>
      </c>
      <c r="V180" s="326"/>
      <c r="W180" s="327"/>
      <c r="AL180" s="6"/>
      <c r="AM180" s="4"/>
      <c r="AN180" s="320">
        <v>113</v>
      </c>
      <c r="AO180" s="326"/>
      <c r="AP180" s="327"/>
      <c r="BE180" s="6"/>
      <c r="BF180" s="4"/>
      <c r="BG180" s="320">
        <v>113</v>
      </c>
      <c r="BH180" s="326"/>
      <c r="BI180" s="327"/>
      <c r="BX180" s="6"/>
      <c r="BY180" s="4"/>
      <c r="BZ180" s="320">
        <v>113</v>
      </c>
      <c r="CA180" s="326"/>
      <c r="CB180" s="327"/>
      <c r="CQ180" s="6"/>
    </row>
    <row r="181" spans="1:95">
      <c r="A181" s="4"/>
      <c r="B181" s="320">
        <v>114</v>
      </c>
      <c r="C181" s="326"/>
      <c r="D181" s="327"/>
      <c r="S181" s="6"/>
      <c r="T181" s="4"/>
      <c r="U181" s="320">
        <v>114</v>
      </c>
      <c r="V181" s="326"/>
      <c r="W181" s="327"/>
      <c r="AL181" s="6"/>
      <c r="AM181" s="4"/>
      <c r="AN181" s="320">
        <v>114</v>
      </c>
      <c r="AO181" s="326"/>
      <c r="AP181" s="327"/>
      <c r="BE181" s="6"/>
      <c r="BF181" s="4"/>
      <c r="BG181" s="320">
        <v>114</v>
      </c>
      <c r="BH181" s="326"/>
      <c r="BI181" s="327"/>
      <c r="BX181" s="6"/>
      <c r="BY181" s="4"/>
      <c r="BZ181" s="320">
        <v>114</v>
      </c>
      <c r="CA181" s="326"/>
      <c r="CB181" s="327"/>
      <c r="CQ181" s="6"/>
    </row>
    <row r="182" spans="1:95">
      <c r="A182" s="4"/>
      <c r="B182" s="320">
        <v>115</v>
      </c>
      <c r="C182" s="326"/>
      <c r="D182" s="327"/>
      <c r="S182" s="6"/>
      <c r="T182" s="4"/>
      <c r="U182" s="320">
        <v>115</v>
      </c>
      <c r="V182" s="326"/>
      <c r="W182" s="327"/>
      <c r="AL182" s="6"/>
      <c r="AM182" s="4"/>
      <c r="AN182" s="320">
        <v>115</v>
      </c>
      <c r="AO182" s="326"/>
      <c r="AP182" s="327"/>
      <c r="BE182" s="6"/>
      <c r="BF182" s="4"/>
      <c r="BG182" s="320">
        <v>115</v>
      </c>
      <c r="BH182" s="326"/>
      <c r="BI182" s="327"/>
      <c r="BX182" s="6"/>
      <c r="BY182" s="4"/>
      <c r="BZ182" s="320">
        <v>115</v>
      </c>
      <c r="CA182" s="326"/>
      <c r="CB182" s="327"/>
      <c r="CQ182" s="6"/>
    </row>
    <row r="183" spans="1:95">
      <c r="A183" s="4"/>
      <c r="B183" s="320">
        <v>116</v>
      </c>
      <c r="C183" s="326"/>
      <c r="D183" s="327"/>
      <c r="S183" s="6"/>
      <c r="T183" s="4"/>
      <c r="U183" s="320">
        <v>116</v>
      </c>
      <c r="V183" s="326"/>
      <c r="W183" s="327"/>
      <c r="AL183" s="6"/>
      <c r="AM183" s="4"/>
      <c r="AN183" s="320">
        <v>116</v>
      </c>
      <c r="AO183" s="326"/>
      <c r="AP183" s="327"/>
      <c r="BE183" s="6"/>
      <c r="BF183" s="4"/>
      <c r="BG183" s="320">
        <v>116</v>
      </c>
      <c r="BH183" s="326"/>
      <c r="BI183" s="327"/>
      <c r="BX183" s="6"/>
      <c r="BY183" s="4"/>
      <c r="BZ183" s="320">
        <v>116</v>
      </c>
      <c r="CA183" s="326"/>
      <c r="CB183" s="327"/>
      <c r="CQ183" s="6"/>
    </row>
    <row r="184" spans="1:95">
      <c r="A184" s="4"/>
      <c r="B184" s="320">
        <v>117</v>
      </c>
      <c r="C184" s="326"/>
      <c r="D184" s="327"/>
      <c r="S184" s="6"/>
      <c r="T184" s="4"/>
      <c r="U184" s="320">
        <v>117</v>
      </c>
      <c r="V184" s="326"/>
      <c r="W184" s="327"/>
      <c r="AL184" s="6"/>
      <c r="AM184" s="4"/>
      <c r="AN184" s="320">
        <v>117</v>
      </c>
      <c r="AO184" s="326"/>
      <c r="AP184" s="327"/>
      <c r="BE184" s="6"/>
      <c r="BF184" s="4"/>
      <c r="BG184" s="320">
        <v>117</v>
      </c>
      <c r="BH184" s="326"/>
      <c r="BI184" s="327"/>
      <c r="BX184" s="6"/>
      <c r="BY184" s="4"/>
      <c r="BZ184" s="320">
        <v>117</v>
      </c>
      <c r="CA184" s="326"/>
      <c r="CB184" s="327"/>
      <c r="CQ184" s="6"/>
    </row>
    <row r="185" spans="1:95">
      <c r="A185" s="4"/>
      <c r="B185" s="320">
        <v>118</v>
      </c>
      <c r="C185" s="326"/>
      <c r="D185" s="327"/>
      <c r="S185" s="6"/>
      <c r="T185" s="4"/>
      <c r="U185" s="320">
        <v>118</v>
      </c>
      <c r="V185" s="326"/>
      <c r="W185" s="327"/>
      <c r="AL185" s="6"/>
      <c r="AM185" s="4"/>
      <c r="AN185" s="320">
        <v>118</v>
      </c>
      <c r="AO185" s="326"/>
      <c r="AP185" s="327"/>
      <c r="BE185" s="6"/>
      <c r="BF185" s="4"/>
      <c r="BG185" s="320">
        <v>118</v>
      </c>
      <c r="BH185" s="326"/>
      <c r="BI185" s="327"/>
      <c r="BX185" s="6"/>
      <c r="BY185" s="4"/>
      <c r="BZ185" s="320">
        <v>118</v>
      </c>
      <c r="CA185" s="326"/>
      <c r="CB185" s="327"/>
      <c r="CQ185" s="6"/>
    </row>
    <row r="186" spans="1:95">
      <c r="A186" s="4"/>
      <c r="B186" s="320">
        <v>119</v>
      </c>
      <c r="C186" s="326"/>
      <c r="D186" s="327"/>
      <c r="S186" s="6"/>
      <c r="T186" s="4"/>
      <c r="U186" s="320">
        <v>119</v>
      </c>
      <c r="V186" s="326"/>
      <c r="W186" s="327"/>
      <c r="AL186" s="6"/>
      <c r="AM186" s="4"/>
      <c r="AN186" s="320">
        <v>119</v>
      </c>
      <c r="AO186" s="326"/>
      <c r="AP186" s="327"/>
      <c r="BE186" s="6"/>
      <c r="BF186" s="4"/>
      <c r="BG186" s="320">
        <v>119</v>
      </c>
      <c r="BH186" s="326"/>
      <c r="BI186" s="327"/>
      <c r="BX186" s="6"/>
      <c r="BY186" s="4"/>
      <c r="BZ186" s="320">
        <v>119</v>
      </c>
      <c r="CA186" s="326"/>
      <c r="CB186" s="327"/>
      <c r="CQ186" s="6"/>
    </row>
    <row r="187" spans="1:95">
      <c r="A187" s="4"/>
      <c r="B187" s="320">
        <v>120</v>
      </c>
      <c r="C187" s="326"/>
      <c r="D187" s="327"/>
      <c r="S187" s="6"/>
      <c r="T187" s="4"/>
      <c r="U187" s="320">
        <v>120</v>
      </c>
      <c r="V187" s="326"/>
      <c r="W187" s="327"/>
      <c r="AL187" s="6"/>
      <c r="AM187" s="4"/>
      <c r="AN187" s="320">
        <v>120</v>
      </c>
      <c r="AO187" s="326"/>
      <c r="AP187" s="327"/>
      <c r="BE187" s="6"/>
      <c r="BF187" s="4"/>
      <c r="BG187" s="320">
        <v>120</v>
      </c>
      <c r="BH187" s="326"/>
      <c r="BI187" s="327"/>
      <c r="BX187" s="6"/>
      <c r="BY187" s="4"/>
      <c r="BZ187" s="320">
        <v>120</v>
      </c>
      <c r="CA187" s="326"/>
      <c r="CB187" s="327"/>
      <c r="CQ187" s="6"/>
    </row>
    <row r="188" spans="1:95">
      <c r="B188" s="320">
        <v>121</v>
      </c>
      <c r="C188" s="326"/>
      <c r="D188" s="327"/>
      <c r="S188" s="6"/>
      <c r="U188" s="320">
        <v>121</v>
      </c>
      <c r="V188" s="326"/>
      <c r="W188" s="327"/>
      <c r="AL188" s="6"/>
      <c r="AN188" s="320">
        <v>121</v>
      </c>
      <c r="AO188" s="326"/>
      <c r="AP188" s="327"/>
      <c r="BE188" s="6"/>
      <c r="BG188" s="320">
        <v>121</v>
      </c>
      <c r="BH188" s="326"/>
      <c r="BI188" s="327"/>
      <c r="BX188" s="6"/>
      <c r="BZ188" s="320">
        <v>121</v>
      </c>
      <c r="CA188" s="326"/>
      <c r="CB188" s="327"/>
      <c r="CQ188" s="6"/>
    </row>
    <row r="189" spans="1:95">
      <c r="B189" s="320">
        <v>122</v>
      </c>
      <c r="C189" s="326"/>
      <c r="D189" s="327"/>
      <c r="S189" s="6"/>
      <c r="U189" s="320">
        <v>122</v>
      </c>
      <c r="V189" s="326"/>
      <c r="W189" s="327"/>
      <c r="AL189" s="6"/>
      <c r="AN189" s="320">
        <v>122</v>
      </c>
      <c r="AO189" s="326"/>
      <c r="AP189" s="327"/>
      <c r="BE189" s="6"/>
      <c r="BG189" s="320">
        <v>122</v>
      </c>
      <c r="BH189" s="326"/>
      <c r="BI189" s="327"/>
      <c r="BX189" s="6"/>
      <c r="BZ189" s="320">
        <v>122</v>
      </c>
      <c r="CA189" s="326"/>
      <c r="CB189" s="327"/>
      <c r="CQ189" s="6"/>
    </row>
    <row r="190" spans="1:95">
      <c r="B190" s="320">
        <v>123</v>
      </c>
      <c r="C190" s="326"/>
      <c r="D190" s="327"/>
      <c r="S190" s="6"/>
      <c r="U190" s="320">
        <v>123</v>
      </c>
      <c r="V190" s="326"/>
      <c r="W190" s="327"/>
      <c r="AL190" s="6"/>
      <c r="AN190" s="320">
        <v>123</v>
      </c>
      <c r="AO190" s="326"/>
      <c r="AP190" s="327"/>
      <c r="BE190" s="6"/>
      <c r="BG190" s="320">
        <v>123</v>
      </c>
      <c r="BH190" s="326"/>
      <c r="BI190" s="327"/>
      <c r="BX190" s="6"/>
      <c r="BZ190" s="320">
        <v>123</v>
      </c>
      <c r="CA190" s="326"/>
      <c r="CB190" s="327"/>
      <c r="CQ190" s="6"/>
    </row>
    <row r="191" spans="1:95">
      <c r="B191" s="320">
        <v>124</v>
      </c>
      <c r="C191" s="326"/>
      <c r="D191" s="327"/>
      <c r="S191" s="6"/>
      <c r="U191" s="320">
        <v>124</v>
      </c>
      <c r="V191" s="326"/>
      <c r="W191" s="327"/>
      <c r="AL191" s="6"/>
      <c r="AN191" s="320">
        <v>124</v>
      </c>
      <c r="AO191" s="326"/>
      <c r="AP191" s="327"/>
      <c r="BE191" s="6"/>
      <c r="BG191" s="320">
        <v>124</v>
      </c>
      <c r="BH191" s="326"/>
      <c r="BI191" s="327"/>
      <c r="BX191" s="6"/>
      <c r="BZ191" s="320">
        <v>124</v>
      </c>
      <c r="CA191" s="326"/>
      <c r="CB191" s="327"/>
      <c r="CQ191" s="6"/>
    </row>
    <row r="192" spans="1:95">
      <c r="B192" s="320">
        <v>125</v>
      </c>
      <c r="C192" s="326"/>
      <c r="D192" s="327"/>
      <c r="S192" s="6"/>
      <c r="U192" s="320">
        <v>125</v>
      </c>
      <c r="V192" s="326"/>
      <c r="W192" s="327"/>
      <c r="AL192" s="6"/>
      <c r="AN192" s="320">
        <v>125</v>
      </c>
      <c r="AO192" s="326"/>
      <c r="AP192" s="327"/>
      <c r="BE192" s="6"/>
      <c r="BG192" s="320">
        <v>125</v>
      </c>
      <c r="BH192" s="326"/>
      <c r="BI192" s="327"/>
      <c r="BX192" s="6"/>
      <c r="BZ192" s="320">
        <v>125</v>
      </c>
      <c r="CA192" s="326"/>
      <c r="CB192" s="327"/>
      <c r="CQ192" s="6"/>
    </row>
    <row r="193" spans="2:95">
      <c r="B193" s="320">
        <v>126</v>
      </c>
      <c r="C193" s="326"/>
      <c r="D193" s="327"/>
      <c r="S193" s="6"/>
      <c r="U193" s="320">
        <v>126</v>
      </c>
      <c r="V193" s="326"/>
      <c r="W193" s="327"/>
      <c r="AL193" s="6"/>
      <c r="AN193" s="320">
        <v>126</v>
      </c>
      <c r="AO193" s="326"/>
      <c r="AP193" s="327"/>
      <c r="BE193" s="6"/>
      <c r="BG193" s="320">
        <v>126</v>
      </c>
      <c r="BH193" s="326"/>
      <c r="BI193" s="327"/>
      <c r="BX193" s="6"/>
      <c r="BZ193" s="320">
        <v>126</v>
      </c>
      <c r="CA193" s="326"/>
      <c r="CB193" s="327"/>
      <c r="CQ193" s="6"/>
    </row>
    <row r="194" spans="2:95">
      <c r="B194" s="320">
        <v>127</v>
      </c>
      <c r="C194" s="326"/>
      <c r="D194" s="327"/>
      <c r="S194" s="6"/>
      <c r="U194" s="320">
        <v>127</v>
      </c>
      <c r="V194" s="326"/>
      <c r="W194" s="327"/>
      <c r="AL194" s="6"/>
      <c r="AN194" s="320">
        <v>127</v>
      </c>
      <c r="AO194" s="326"/>
      <c r="AP194" s="327"/>
      <c r="BE194" s="6"/>
      <c r="BG194" s="320">
        <v>127</v>
      </c>
      <c r="BH194" s="326"/>
      <c r="BI194" s="327"/>
      <c r="BX194" s="6"/>
      <c r="BZ194" s="320">
        <v>127</v>
      </c>
      <c r="CA194" s="326"/>
      <c r="CB194" s="327"/>
      <c r="CQ194" s="6"/>
    </row>
    <row r="195" spans="2:95">
      <c r="B195" s="320">
        <v>128</v>
      </c>
      <c r="C195" s="326"/>
      <c r="D195" s="327"/>
      <c r="S195" s="6"/>
      <c r="U195" s="320">
        <v>128</v>
      </c>
      <c r="V195" s="326"/>
      <c r="W195" s="327"/>
      <c r="AL195" s="6"/>
      <c r="AN195" s="320">
        <v>128</v>
      </c>
      <c r="AO195" s="326"/>
      <c r="AP195" s="327"/>
      <c r="BE195" s="6"/>
      <c r="BG195" s="320">
        <v>128</v>
      </c>
      <c r="BH195" s="326"/>
      <c r="BI195" s="327"/>
      <c r="BX195" s="6"/>
      <c r="BZ195" s="320">
        <v>128</v>
      </c>
      <c r="CA195" s="326"/>
      <c r="CB195" s="327"/>
      <c r="CQ195" s="6"/>
    </row>
    <row r="196" spans="2:95">
      <c r="B196" s="320">
        <v>129</v>
      </c>
      <c r="C196" s="326"/>
      <c r="D196" s="327"/>
      <c r="S196" s="6"/>
      <c r="U196" s="320">
        <v>129</v>
      </c>
      <c r="V196" s="326"/>
      <c r="W196" s="327"/>
      <c r="AL196" s="6"/>
      <c r="AN196" s="320">
        <v>129</v>
      </c>
      <c r="AO196" s="326"/>
      <c r="AP196" s="327"/>
      <c r="BE196" s="6"/>
      <c r="BG196" s="320">
        <v>129</v>
      </c>
      <c r="BH196" s="326"/>
      <c r="BI196" s="327"/>
      <c r="BX196" s="6"/>
      <c r="BZ196" s="320">
        <v>129</v>
      </c>
      <c r="CA196" s="326"/>
      <c r="CB196" s="327"/>
      <c r="CQ196" s="6"/>
    </row>
    <row r="197" spans="2:95">
      <c r="B197" s="320">
        <v>130</v>
      </c>
      <c r="C197" s="326"/>
      <c r="D197" s="327"/>
      <c r="S197" s="6"/>
      <c r="U197" s="320">
        <v>130</v>
      </c>
      <c r="V197" s="326"/>
      <c r="W197" s="327"/>
      <c r="AL197" s="6"/>
      <c r="AN197" s="320">
        <v>130</v>
      </c>
      <c r="AO197" s="326"/>
      <c r="AP197" s="327"/>
      <c r="BE197" s="6"/>
      <c r="BG197" s="320">
        <v>130</v>
      </c>
      <c r="BH197" s="326"/>
      <c r="BI197" s="327"/>
      <c r="BX197" s="6"/>
      <c r="BZ197" s="320">
        <v>130</v>
      </c>
      <c r="CA197" s="326"/>
      <c r="CB197" s="327"/>
      <c r="CQ197" s="6"/>
    </row>
    <row r="198" spans="2:95">
      <c r="B198" s="320">
        <v>131</v>
      </c>
      <c r="C198" s="326"/>
      <c r="D198" s="327"/>
      <c r="S198" s="6"/>
      <c r="U198" s="320">
        <v>131</v>
      </c>
      <c r="V198" s="326"/>
      <c r="W198" s="327"/>
      <c r="AL198" s="6"/>
      <c r="AN198" s="320">
        <v>131</v>
      </c>
      <c r="AO198" s="326"/>
      <c r="AP198" s="327"/>
      <c r="BE198" s="6"/>
      <c r="BG198" s="320">
        <v>131</v>
      </c>
      <c r="BH198" s="326"/>
      <c r="BI198" s="327"/>
      <c r="BX198" s="6"/>
      <c r="BZ198" s="320">
        <v>131</v>
      </c>
      <c r="CA198" s="326"/>
      <c r="CB198" s="327"/>
      <c r="CQ198" s="6"/>
    </row>
    <row r="199" spans="2:95">
      <c r="B199" s="320">
        <v>132</v>
      </c>
      <c r="C199" s="326"/>
      <c r="D199" s="327"/>
      <c r="S199" s="6"/>
      <c r="U199" s="320">
        <v>132</v>
      </c>
      <c r="V199" s="326"/>
      <c r="W199" s="327"/>
      <c r="AL199" s="6"/>
      <c r="AN199" s="320">
        <v>132</v>
      </c>
      <c r="AO199" s="326"/>
      <c r="AP199" s="327"/>
      <c r="BE199" s="6"/>
      <c r="BG199" s="320">
        <v>132</v>
      </c>
      <c r="BH199" s="326"/>
      <c r="BI199" s="327"/>
      <c r="BX199" s="6"/>
      <c r="BZ199" s="320">
        <v>132</v>
      </c>
      <c r="CA199" s="326"/>
      <c r="CB199" s="327"/>
      <c r="CQ199" s="6"/>
    </row>
    <row r="200" spans="2:95">
      <c r="B200" s="320">
        <v>133</v>
      </c>
      <c r="C200" s="326"/>
      <c r="D200" s="327"/>
      <c r="S200" s="6"/>
      <c r="U200" s="320">
        <v>133</v>
      </c>
      <c r="V200" s="326"/>
      <c r="W200" s="327"/>
      <c r="AL200" s="6"/>
      <c r="AN200" s="320">
        <v>133</v>
      </c>
      <c r="AO200" s="326"/>
      <c r="AP200" s="327"/>
      <c r="BE200" s="6"/>
      <c r="BG200" s="320">
        <v>133</v>
      </c>
      <c r="BH200" s="326"/>
      <c r="BI200" s="327"/>
      <c r="BX200" s="6"/>
      <c r="BZ200" s="320">
        <v>133</v>
      </c>
      <c r="CA200" s="326"/>
      <c r="CB200" s="327"/>
      <c r="CQ200" s="6"/>
    </row>
    <row r="201" spans="2:95">
      <c r="B201" s="320">
        <v>134</v>
      </c>
      <c r="C201" s="326"/>
      <c r="D201" s="327"/>
      <c r="S201" s="6"/>
      <c r="U201" s="320">
        <v>134</v>
      </c>
      <c r="V201" s="326"/>
      <c r="W201" s="327"/>
      <c r="AL201" s="6"/>
      <c r="AN201" s="320">
        <v>134</v>
      </c>
      <c r="AO201" s="326"/>
      <c r="AP201" s="327"/>
      <c r="BE201" s="6"/>
      <c r="BG201" s="320">
        <v>134</v>
      </c>
      <c r="BH201" s="326"/>
      <c r="BI201" s="327"/>
      <c r="BX201" s="6"/>
      <c r="BZ201" s="320">
        <v>134</v>
      </c>
      <c r="CA201" s="326"/>
      <c r="CB201" s="327"/>
      <c r="CQ201" s="6"/>
    </row>
    <row r="202" spans="2:95">
      <c r="B202" s="320">
        <v>135</v>
      </c>
      <c r="C202" s="326"/>
      <c r="D202" s="327"/>
      <c r="S202" s="6"/>
      <c r="U202" s="320">
        <v>135</v>
      </c>
      <c r="V202" s="326"/>
      <c r="W202" s="327"/>
      <c r="AL202" s="6"/>
      <c r="AN202" s="320">
        <v>135</v>
      </c>
      <c r="AO202" s="326"/>
      <c r="AP202" s="327"/>
      <c r="BE202" s="6"/>
      <c r="BG202" s="320">
        <v>135</v>
      </c>
      <c r="BH202" s="326"/>
      <c r="BI202" s="327"/>
      <c r="BX202" s="6"/>
      <c r="BZ202" s="320">
        <v>135</v>
      </c>
      <c r="CA202" s="326"/>
      <c r="CB202" s="327"/>
      <c r="CQ202" s="6"/>
    </row>
    <row r="203" spans="2:95">
      <c r="B203" s="320">
        <v>136</v>
      </c>
      <c r="C203" s="326"/>
      <c r="D203" s="327"/>
      <c r="S203" s="6"/>
      <c r="U203" s="320">
        <v>136</v>
      </c>
      <c r="V203" s="326"/>
      <c r="W203" s="327"/>
      <c r="AL203" s="6"/>
      <c r="AN203" s="320">
        <v>136</v>
      </c>
      <c r="AO203" s="326"/>
      <c r="AP203" s="327"/>
      <c r="BE203" s="6"/>
      <c r="BG203" s="320">
        <v>136</v>
      </c>
      <c r="BH203" s="326"/>
      <c r="BI203" s="327"/>
      <c r="BX203" s="6"/>
      <c r="BZ203" s="320">
        <v>136</v>
      </c>
      <c r="CA203" s="326"/>
      <c r="CB203" s="327"/>
      <c r="CQ203" s="6"/>
    </row>
    <row r="204" spans="2:95">
      <c r="B204" s="320">
        <v>137</v>
      </c>
      <c r="C204" s="326"/>
      <c r="D204" s="327"/>
      <c r="S204" s="6"/>
      <c r="U204" s="320">
        <v>137</v>
      </c>
      <c r="V204" s="326"/>
      <c r="W204" s="327"/>
      <c r="AL204" s="6"/>
      <c r="AN204" s="320">
        <v>137</v>
      </c>
      <c r="AO204" s="326"/>
      <c r="AP204" s="327"/>
      <c r="BE204" s="6"/>
      <c r="BG204" s="320">
        <v>137</v>
      </c>
      <c r="BH204" s="326"/>
      <c r="BI204" s="327"/>
      <c r="BX204" s="6"/>
      <c r="BZ204" s="320">
        <v>137</v>
      </c>
      <c r="CA204" s="326"/>
      <c r="CB204" s="327"/>
      <c r="CQ204" s="6"/>
    </row>
    <row r="205" spans="2:95">
      <c r="B205" s="320">
        <v>138</v>
      </c>
      <c r="C205" s="326"/>
      <c r="D205" s="327"/>
      <c r="S205" s="6"/>
      <c r="U205" s="320">
        <v>138</v>
      </c>
      <c r="V205" s="326"/>
      <c r="W205" s="327"/>
      <c r="AL205" s="6"/>
      <c r="AN205" s="320">
        <v>138</v>
      </c>
      <c r="AO205" s="326"/>
      <c r="AP205" s="327"/>
      <c r="BE205" s="6"/>
      <c r="BG205" s="320">
        <v>138</v>
      </c>
      <c r="BH205" s="326"/>
      <c r="BI205" s="327"/>
      <c r="BX205" s="6"/>
      <c r="BZ205" s="320">
        <v>138</v>
      </c>
      <c r="CA205" s="326"/>
      <c r="CB205" s="327"/>
      <c r="CQ205" s="6"/>
    </row>
    <row r="206" spans="2:95">
      <c r="B206" s="320">
        <v>139</v>
      </c>
      <c r="C206" s="326"/>
      <c r="D206" s="327"/>
      <c r="S206" s="6"/>
      <c r="U206" s="320">
        <v>139</v>
      </c>
      <c r="V206" s="326"/>
      <c r="W206" s="327"/>
      <c r="AL206" s="6"/>
      <c r="AN206" s="320">
        <v>139</v>
      </c>
      <c r="AO206" s="326"/>
      <c r="AP206" s="327"/>
      <c r="BE206" s="6"/>
      <c r="BG206" s="320">
        <v>139</v>
      </c>
      <c r="BH206" s="326"/>
      <c r="BI206" s="327"/>
      <c r="BX206" s="6"/>
      <c r="BZ206" s="320">
        <v>139</v>
      </c>
      <c r="CA206" s="326"/>
      <c r="CB206" s="327"/>
      <c r="CQ206" s="6"/>
    </row>
    <row r="207" spans="2:95">
      <c r="B207" s="320">
        <v>140</v>
      </c>
      <c r="C207" s="326"/>
      <c r="D207" s="327"/>
      <c r="S207" s="6"/>
      <c r="U207" s="320">
        <v>140</v>
      </c>
      <c r="V207" s="326"/>
      <c r="W207" s="327"/>
      <c r="AL207" s="6"/>
      <c r="AN207" s="320">
        <v>140</v>
      </c>
      <c r="AO207" s="326"/>
      <c r="AP207" s="327"/>
      <c r="BE207" s="6"/>
      <c r="BG207" s="320">
        <v>140</v>
      </c>
      <c r="BH207" s="326"/>
      <c r="BI207" s="327"/>
      <c r="BX207" s="6"/>
      <c r="BZ207" s="320">
        <v>140</v>
      </c>
      <c r="CA207" s="326"/>
      <c r="CB207" s="327"/>
      <c r="CQ207" s="6"/>
    </row>
    <row r="208" spans="2:95">
      <c r="B208" s="320">
        <v>141</v>
      </c>
      <c r="C208" s="326"/>
      <c r="D208" s="327"/>
      <c r="S208" s="6"/>
      <c r="U208" s="320">
        <v>141</v>
      </c>
      <c r="V208" s="326"/>
      <c r="W208" s="327"/>
      <c r="AL208" s="6"/>
      <c r="AN208" s="320">
        <v>141</v>
      </c>
      <c r="AO208" s="326"/>
      <c r="AP208" s="327"/>
      <c r="BE208" s="6"/>
      <c r="BG208" s="320">
        <v>141</v>
      </c>
      <c r="BH208" s="326"/>
      <c r="BI208" s="327"/>
      <c r="BX208" s="6"/>
      <c r="BZ208" s="320">
        <v>141</v>
      </c>
      <c r="CA208" s="326"/>
      <c r="CB208" s="327"/>
      <c r="CQ208" s="6"/>
    </row>
    <row r="209" spans="2:95">
      <c r="B209" s="320">
        <v>142</v>
      </c>
      <c r="C209" s="326"/>
      <c r="D209" s="327"/>
      <c r="S209" s="6"/>
      <c r="U209" s="320">
        <v>142</v>
      </c>
      <c r="V209" s="326"/>
      <c r="W209" s="327"/>
      <c r="AL209" s="6"/>
      <c r="AN209" s="320">
        <v>142</v>
      </c>
      <c r="AO209" s="326"/>
      <c r="AP209" s="327"/>
      <c r="BE209" s="6"/>
      <c r="BG209" s="320">
        <v>142</v>
      </c>
      <c r="BH209" s="326"/>
      <c r="BI209" s="327"/>
      <c r="BX209" s="6"/>
      <c r="BZ209" s="320">
        <v>142</v>
      </c>
      <c r="CA209" s="326"/>
      <c r="CB209" s="327"/>
      <c r="CQ209" s="6"/>
    </row>
    <row r="210" spans="2:95">
      <c r="B210" s="320">
        <v>143</v>
      </c>
      <c r="C210" s="326"/>
      <c r="D210" s="327"/>
      <c r="S210" s="6"/>
      <c r="U210" s="320">
        <v>143</v>
      </c>
      <c r="V210" s="326"/>
      <c r="W210" s="327"/>
      <c r="AL210" s="6"/>
      <c r="AN210" s="320">
        <v>143</v>
      </c>
      <c r="AO210" s="326"/>
      <c r="AP210" s="327"/>
      <c r="BE210" s="6"/>
      <c r="BG210" s="320">
        <v>143</v>
      </c>
      <c r="BH210" s="326"/>
      <c r="BI210" s="327"/>
      <c r="BX210" s="6"/>
      <c r="BZ210" s="320">
        <v>143</v>
      </c>
      <c r="CA210" s="326"/>
      <c r="CB210" s="327"/>
      <c r="CQ210" s="6"/>
    </row>
    <row r="211" spans="2:95">
      <c r="B211" s="320">
        <v>144</v>
      </c>
      <c r="C211" s="326"/>
      <c r="D211" s="327"/>
      <c r="S211" s="6"/>
      <c r="U211" s="320">
        <v>144</v>
      </c>
      <c r="V211" s="326"/>
      <c r="W211" s="327"/>
      <c r="AL211" s="6"/>
      <c r="AN211" s="320">
        <v>144</v>
      </c>
      <c r="AO211" s="326"/>
      <c r="AP211" s="327"/>
      <c r="BE211" s="6"/>
      <c r="BG211" s="320">
        <v>144</v>
      </c>
      <c r="BH211" s="326"/>
      <c r="BI211" s="327"/>
      <c r="BX211" s="6"/>
      <c r="BZ211" s="320">
        <v>144</v>
      </c>
      <c r="CA211" s="326"/>
      <c r="CB211" s="327"/>
      <c r="CQ211" s="6"/>
    </row>
    <row r="212" spans="2:95">
      <c r="B212" s="320">
        <v>145</v>
      </c>
      <c r="C212" s="326"/>
      <c r="D212" s="327"/>
      <c r="S212" s="6"/>
      <c r="U212" s="320">
        <v>145</v>
      </c>
      <c r="V212" s="326"/>
      <c r="W212" s="327"/>
      <c r="AL212" s="6"/>
      <c r="AN212" s="320">
        <v>145</v>
      </c>
      <c r="AO212" s="326"/>
      <c r="AP212" s="327"/>
      <c r="BE212" s="6"/>
      <c r="BG212" s="320">
        <v>145</v>
      </c>
      <c r="BH212" s="326"/>
      <c r="BI212" s="327"/>
      <c r="BX212" s="6"/>
      <c r="BZ212" s="320">
        <v>145</v>
      </c>
      <c r="CA212" s="326"/>
      <c r="CB212" s="327"/>
      <c r="CQ212" s="6"/>
    </row>
    <row r="213" spans="2:95">
      <c r="B213" s="320">
        <v>146</v>
      </c>
      <c r="C213" s="326"/>
      <c r="D213" s="327"/>
      <c r="S213" s="6"/>
      <c r="U213" s="320">
        <v>146</v>
      </c>
      <c r="V213" s="326"/>
      <c r="W213" s="327"/>
      <c r="AL213" s="6"/>
      <c r="AN213" s="320">
        <v>146</v>
      </c>
      <c r="AO213" s="326"/>
      <c r="AP213" s="327"/>
      <c r="BE213" s="6"/>
      <c r="BG213" s="320">
        <v>146</v>
      </c>
      <c r="BH213" s="326"/>
      <c r="BI213" s="327"/>
      <c r="BX213" s="6"/>
      <c r="BZ213" s="320">
        <v>146</v>
      </c>
      <c r="CA213" s="326"/>
      <c r="CB213" s="327"/>
      <c r="CQ213" s="6"/>
    </row>
    <row r="214" spans="2:95">
      <c r="B214" s="320">
        <v>147</v>
      </c>
      <c r="C214" s="326"/>
      <c r="D214" s="327"/>
      <c r="S214" s="6"/>
      <c r="U214" s="320">
        <v>147</v>
      </c>
      <c r="V214" s="326"/>
      <c r="W214" s="327"/>
      <c r="AL214" s="6"/>
      <c r="AN214" s="320">
        <v>147</v>
      </c>
      <c r="AO214" s="326"/>
      <c r="AP214" s="327"/>
      <c r="BE214" s="6"/>
      <c r="BG214" s="320">
        <v>147</v>
      </c>
      <c r="BH214" s="326"/>
      <c r="BI214" s="327"/>
      <c r="BX214" s="6"/>
      <c r="BZ214" s="320">
        <v>147</v>
      </c>
      <c r="CA214" s="326"/>
      <c r="CB214" s="327"/>
      <c r="CQ214" s="6"/>
    </row>
    <row r="215" spans="2:95">
      <c r="B215" s="320">
        <v>148</v>
      </c>
      <c r="C215" s="326"/>
      <c r="D215" s="327"/>
      <c r="S215" s="6"/>
      <c r="U215" s="320">
        <v>148</v>
      </c>
      <c r="V215" s="326"/>
      <c r="W215" s="327"/>
      <c r="AL215" s="6"/>
      <c r="AN215" s="320">
        <v>148</v>
      </c>
      <c r="AO215" s="326"/>
      <c r="AP215" s="327"/>
      <c r="BE215" s="6"/>
      <c r="BG215" s="320">
        <v>148</v>
      </c>
      <c r="BH215" s="326"/>
      <c r="BI215" s="327"/>
      <c r="BX215" s="6"/>
      <c r="BZ215" s="320">
        <v>148</v>
      </c>
      <c r="CA215" s="326"/>
      <c r="CB215" s="327"/>
      <c r="CQ215" s="6"/>
    </row>
    <row r="216" spans="2:95">
      <c r="B216" s="320">
        <v>149</v>
      </c>
      <c r="C216" s="326"/>
      <c r="D216" s="327"/>
      <c r="S216" s="6"/>
      <c r="U216" s="320">
        <v>149</v>
      </c>
      <c r="V216" s="326"/>
      <c r="W216" s="327"/>
      <c r="AL216" s="6"/>
      <c r="AN216" s="320">
        <v>149</v>
      </c>
      <c r="AO216" s="326"/>
      <c r="AP216" s="327"/>
      <c r="BE216" s="6"/>
      <c r="BG216" s="320">
        <v>149</v>
      </c>
      <c r="BH216" s="326"/>
      <c r="BI216" s="327"/>
      <c r="BX216" s="6"/>
      <c r="BZ216" s="320">
        <v>149</v>
      </c>
      <c r="CA216" s="326"/>
      <c r="CB216" s="327"/>
      <c r="CQ216" s="6"/>
    </row>
    <row r="217" spans="2:95">
      <c r="B217" s="320">
        <v>150</v>
      </c>
      <c r="C217" s="326"/>
      <c r="D217" s="327"/>
      <c r="S217" s="6"/>
      <c r="U217" s="320">
        <v>150</v>
      </c>
      <c r="V217" s="326"/>
      <c r="W217" s="327"/>
      <c r="AL217" s="6"/>
      <c r="AN217" s="320">
        <v>150</v>
      </c>
      <c r="AO217" s="326"/>
      <c r="AP217" s="327"/>
      <c r="BE217" s="6"/>
      <c r="BG217" s="320">
        <v>150</v>
      </c>
      <c r="BH217" s="326"/>
      <c r="BI217" s="327"/>
      <c r="BX217" s="6"/>
      <c r="BZ217" s="320">
        <v>150</v>
      </c>
      <c r="CA217" s="326"/>
      <c r="CB217" s="327"/>
      <c r="CQ217" s="6"/>
    </row>
    <row r="218" spans="2:95">
      <c r="B218" s="320">
        <v>151</v>
      </c>
      <c r="C218" s="326"/>
      <c r="D218" s="327"/>
      <c r="S218" s="6"/>
      <c r="U218" s="320">
        <v>151</v>
      </c>
      <c r="V218" s="326"/>
      <c r="W218" s="327"/>
      <c r="AL218" s="6"/>
      <c r="AN218" s="320">
        <v>151</v>
      </c>
      <c r="AO218" s="326"/>
      <c r="AP218" s="327"/>
      <c r="BE218" s="6"/>
      <c r="BG218" s="320">
        <v>151</v>
      </c>
      <c r="BH218" s="326"/>
      <c r="BI218" s="327"/>
      <c r="BX218" s="6"/>
      <c r="BZ218" s="320">
        <v>151</v>
      </c>
      <c r="CA218" s="326"/>
      <c r="CB218" s="327"/>
      <c r="CQ218" s="6"/>
    </row>
    <row r="219" spans="2:95">
      <c r="B219" s="320">
        <v>152</v>
      </c>
      <c r="C219" s="326"/>
      <c r="D219" s="327"/>
      <c r="S219" s="6"/>
      <c r="U219" s="320">
        <v>152</v>
      </c>
      <c r="V219" s="326"/>
      <c r="W219" s="327"/>
      <c r="AL219" s="6"/>
      <c r="AN219" s="320">
        <v>152</v>
      </c>
      <c r="AO219" s="326"/>
      <c r="AP219" s="327"/>
      <c r="BE219" s="6"/>
      <c r="BG219" s="320">
        <v>152</v>
      </c>
      <c r="BH219" s="326"/>
      <c r="BI219" s="327"/>
      <c r="BX219" s="6"/>
      <c r="BZ219" s="320">
        <v>152</v>
      </c>
      <c r="CA219" s="326"/>
      <c r="CB219" s="327"/>
      <c r="CQ219" s="6"/>
    </row>
    <row r="220" spans="2:95">
      <c r="B220" s="320">
        <v>153</v>
      </c>
      <c r="C220" s="326"/>
      <c r="D220" s="327"/>
      <c r="S220" s="6"/>
      <c r="U220" s="320">
        <v>153</v>
      </c>
      <c r="V220" s="326"/>
      <c r="W220" s="327"/>
      <c r="AL220" s="6"/>
      <c r="AN220" s="320">
        <v>153</v>
      </c>
      <c r="AO220" s="326"/>
      <c r="AP220" s="327"/>
      <c r="BE220" s="6"/>
      <c r="BG220" s="320">
        <v>153</v>
      </c>
      <c r="BH220" s="326"/>
      <c r="BI220" s="327"/>
      <c r="BX220" s="6"/>
      <c r="BZ220" s="320">
        <v>153</v>
      </c>
      <c r="CA220" s="326"/>
      <c r="CB220" s="327"/>
      <c r="CQ220" s="6"/>
    </row>
    <row r="221" spans="2:95">
      <c r="B221" s="320">
        <v>154</v>
      </c>
      <c r="C221" s="326"/>
      <c r="D221" s="327"/>
      <c r="S221" s="6"/>
      <c r="U221" s="320">
        <v>154</v>
      </c>
      <c r="V221" s="326"/>
      <c r="W221" s="327"/>
      <c r="AL221" s="6"/>
      <c r="AN221" s="320">
        <v>154</v>
      </c>
      <c r="AO221" s="326"/>
      <c r="AP221" s="327"/>
      <c r="BE221" s="6"/>
      <c r="BG221" s="320">
        <v>154</v>
      </c>
      <c r="BH221" s="326"/>
      <c r="BI221" s="327"/>
      <c r="BX221" s="6"/>
      <c r="BZ221" s="320">
        <v>154</v>
      </c>
      <c r="CA221" s="326"/>
      <c r="CB221" s="327"/>
      <c r="CQ221" s="6"/>
    </row>
    <row r="222" spans="2:95">
      <c r="B222" s="320">
        <v>155</v>
      </c>
      <c r="C222" s="326"/>
      <c r="D222" s="327"/>
      <c r="S222" s="6"/>
      <c r="U222" s="320">
        <v>155</v>
      </c>
      <c r="V222" s="326"/>
      <c r="W222" s="327"/>
      <c r="AL222" s="6"/>
      <c r="AN222" s="320">
        <v>155</v>
      </c>
      <c r="AO222" s="326"/>
      <c r="AP222" s="327"/>
      <c r="BE222" s="6"/>
      <c r="BG222" s="320">
        <v>155</v>
      </c>
      <c r="BH222" s="326"/>
      <c r="BI222" s="327"/>
      <c r="BX222" s="6"/>
      <c r="BZ222" s="320">
        <v>155</v>
      </c>
      <c r="CA222" s="326"/>
      <c r="CB222" s="327"/>
      <c r="CQ222" s="6"/>
    </row>
    <row r="223" spans="2:95">
      <c r="B223" s="320">
        <v>156</v>
      </c>
      <c r="C223" s="326"/>
      <c r="D223" s="327"/>
      <c r="S223" s="6"/>
      <c r="U223" s="320">
        <v>156</v>
      </c>
      <c r="V223" s="326"/>
      <c r="W223" s="327"/>
      <c r="AL223" s="6"/>
      <c r="AN223" s="320">
        <v>156</v>
      </c>
      <c r="AO223" s="326"/>
      <c r="AP223" s="327"/>
      <c r="BE223" s="6"/>
      <c r="BG223" s="320">
        <v>156</v>
      </c>
      <c r="BH223" s="326"/>
      <c r="BI223" s="327"/>
      <c r="BX223" s="6"/>
      <c r="BZ223" s="320">
        <v>156</v>
      </c>
      <c r="CA223" s="326"/>
      <c r="CB223" s="327"/>
      <c r="CQ223" s="6"/>
    </row>
    <row r="224" spans="2:95">
      <c r="B224" s="320">
        <v>157</v>
      </c>
      <c r="C224" s="326"/>
      <c r="D224" s="327"/>
      <c r="S224" s="6"/>
      <c r="U224" s="320">
        <v>157</v>
      </c>
      <c r="V224" s="326"/>
      <c r="W224" s="327"/>
      <c r="AL224" s="6"/>
      <c r="AN224" s="320">
        <v>157</v>
      </c>
      <c r="AO224" s="326"/>
      <c r="AP224" s="327"/>
      <c r="BE224" s="6"/>
      <c r="BG224" s="320">
        <v>157</v>
      </c>
      <c r="BH224" s="326"/>
      <c r="BI224" s="327"/>
      <c r="BX224" s="6"/>
      <c r="BZ224" s="320">
        <v>157</v>
      </c>
      <c r="CA224" s="326"/>
      <c r="CB224" s="327"/>
      <c r="CQ224" s="6"/>
    </row>
    <row r="225" spans="2:95">
      <c r="B225" s="320">
        <v>158</v>
      </c>
      <c r="C225" s="326"/>
      <c r="D225" s="327"/>
      <c r="S225" s="6"/>
      <c r="U225" s="320">
        <v>158</v>
      </c>
      <c r="V225" s="326"/>
      <c r="W225" s="327"/>
      <c r="AL225" s="6"/>
      <c r="AN225" s="320">
        <v>158</v>
      </c>
      <c r="AO225" s="326"/>
      <c r="AP225" s="327"/>
      <c r="BE225" s="6"/>
      <c r="BG225" s="320">
        <v>158</v>
      </c>
      <c r="BH225" s="326"/>
      <c r="BI225" s="327"/>
      <c r="BX225" s="6"/>
      <c r="BZ225" s="320">
        <v>158</v>
      </c>
      <c r="CA225" s="326"/>
      <c r="CB225" s="327"/>
      <c r="CQ225" s="6"/>
    </row>
    <row r="226" spans="2:95">
      <c r="B226" s="320">
        <v>159</v>
      </c>
      <c r="C226" s="326"/>
      <c r="D226" s="327"/>
      <c r="S226" s="6"/>
      <c r="U226" s="320">
        <v>159</v>
      </c>
      <c r="V226" s="326"/>
      <c r="W226" s="327"/>
      <c r="AL226" s="6"/>
      <c r="AN226" s="320">
        <v>159</v>
      </c>
      <c r="AO226" s="326"/>
      <c r="AP226" s="327"/>
      <c r="BE226" s="6"/>
      <c r="BG226" s="320">
        <v>159</v>
      </c>
      <c r="BH226" s="326"/>
      <c r="BI226" s="327"/>
      <c r="BX226" s="6"/>
      <c r="BZ226" s="320">
        <v>159</v>
      </c>
      <c r="CA226" s="326"/>
      <c r="CB226" s="327"/>
      <c r="CQ226" s="6"/>
    </row>
    <row r="227" spans="2:95">
      <c r="B227" s="320">
        <v>160</v>
      </c>
      <c r="C227" s="326"/>
      <c r="D227" s="327"/>
      <c r="S227" s="6"/>
      <c r="U227" s="320">
        <v>160</v>
      </c>
      <c r="V227" s="326"/>
      <c r="W227" s="327"/>
      <c r="AL227" s="6"/>
      <c r="AN227" s="320">
        <v>160</v>
      </c>
      <c r="AO227" s="326"/>
      <c r="AP227" s="327"/>
      <c r="BE227" s="6"/>
      <c r="BG227" s="320">
        <v>160</v>
      </c>
      <c r="BH227" s="326"/>
      <c r="BI227" s="327"/>
      <c r="BX227" s="6"/>
      <c r="BZ227" s="320">
        <v>160</v>
      </c>
      <c r="CA227" s="326"/>
      <c r="CB227" s="327"/>
      <c r="CQ227" s="6"/>
    </row>
    <row r="228" spans="2:95">
      <c r="B228" s="320">
        <v>161</v>
      </c>
      <c r="C228" s="326"/>
      <c r="D228" s="327"/>
      <c r="S228" s="6"/>
      <c r="U228" s="320">
        <v>161</v>
      </c>
      <c r="V228" s="326"/>
      <c r="W228" s="327"/>
      <c r="AL228" s="6"/>
      <c r="AN228" s="320">
        <v>161</v>
      </c>
      <c r="AO228" s="326"/>
      <c r="AP228" s="327"/>
      <c r="BE228" s="6"/>
      <c r="BG228" s="320">
        <v>161</v>
      </c>
      <c r="BH228" s="326"/>
      <c r="BI228" s="327"/>
      <c r="BX228" s="6"/>
      <c r="BZ228" s="320">
        <v>161</v>
      </c>
      <c r="CA228" s="326"/>
      <c r="CB228" s="327"/>
      <c r="CQ228" s="6"/>
    </row>
    <row r="229" spans="2:95">
      <c r="B229" s="320">
        <v>162</v>
      </c>
      <c r="C229" s="326"/>
      <c r="D229" s="327"/>
      <c r="S229" s="6"/>
      <c r="U229" s="320">
        <v>162</v>
      </c>
      <c r="V229" s="326"/>
      <c r="W229" s="327"/>
      <c r="AL229" s="6"/>
      <c r="AN229" s="320">
        <v>162</v>
      </c>
      <c r="AO229" s="326"/>
      <c r="AP229" s="327"/>
      <c r="BE229" s="6"/>
      <c r="BG229" s="320">
        <v>162</v>
      </c>
      <c r="BH229" s="326"/>
      <c r="BI229" s="327"/>
      <c r="BX229" s="6"/>
      <c r="BZ229" s="320">
        <v>162</v>
      </c>
      <c r="CA229" s="326"/>
      <c r="CB229" s="327"/>
      <c r="CQ229" s="6"/>
    </row>
    <row r="230" spans="2:95">
      <c r="B230" s="320">
        <v>163</v>
      </c>
      <c r="C230" s="326"/>
      <c r="D230" s="327"/>
      <c r="S230" s="6"/>
      <c r="U230" s="320">
        <v>163</v>
      </c>
      <c r="V230" s="326"/>
      <c r="W230" s="327"/>
      <c r="AL230" s="6"/>
      <c r="AN230" s="320">
        <v>163</v>
      </c>
      <c r="AO230" s="326"/>
      <c r="AP230" s="327"/>
      <c r="BE230" s="6"/>
      <c r="BG230" s="320">
        <v>163</v>
      </c>
      <c r="BH230" s="326"/>
      <c r="BI230" s="327"/>
      <c r="BX230" s="6"/>
      <c r="BZ230" s="320">
        <v>163</v>
      </c>
      <c r="CA230" s="326"/>
      <c r="CB230" s="327"/>
      <c r="CQ230" s="6"/>
    </row>
    <row r="231" spans="2:95">
      <c r="B231" s="320">
        <v>164</v>
      </c>
      <c r="C231" s="326"/>
      <c r="D231" s="327"/>
      <c r="S231" s="6"/>
      <c r="U231" s="320">
        <v>164</v>
      </c>
      <c r="V231" s="326"/>
      <c r="W231" s="327"/>
      <c r="AL231" s="6"/>
      <c r="AN231" s="320">
        <v>164</v>
      </c>
      <c r="AO231" s="326"/>
      <c r="AP231" s="327"/>
      <c r="BE231" s="6"/>
      <c r="BG231" s="320">
        <v>164</v>
      </c>
      <c r="BH231" s="326"/>
      <c r="BI231" s="327"/>
      <c r="BX231" s="6"/>
      <c r="BZ231" s="320">
        <v>164</v>
      </c>
      <c r="CA231" s="326"/>
      <c r="CB231" s="327"/>
      <c r="CQ231" s="6"/>
    </row>
    <row r="232" spans="2:95">
      <c r="B232" s="320">
        <v>165</v>
      </c>
      <c r="C232" s="326"/>
      <c r="D232" s="327"/>
      <c r="S232" s="6"/>
      <c r="U232" s="320">
        <v>165</v>
      </c>
      <c r="V232" s="326"/>
      <c r="W232" s="327"/>
      <c r="AL232" s="6"/>
      <c r="AN232" s="320">
        <v>165</v>
      </c>
      <c r="AO232" s="326"/>
      <c r="AP232" s="327"/>
      <c r="BE232" s="6"/>
      <c r="BG232" s="320">
        <v>165</v>
      </c>
      <c r="BH232" s="326"/>
      <c r="BI232" s="327"/>
      <c r="BX232" s="6"/>
      <c r="BZ232" s="320">
        <v>165</v>
      </c>
      <c r="CA232" s="326"/>
      <c r="CB232" s="327"/>
      <c r="CQ232" s="6"/>
    </row>
    <row r="233" spans="2:95">
      <c r="B233" s="320">
        <v>166</v>
      </c>
      <c r="C233" s="326"/>
      <c r="D233" s="327"/>
      <c r="S233" s="6"/>
      <c r="U233" s="320">
        <v>166</v>
      </c>
      <c r="V233" s="326"/>
      <c r="W233" s="327"/>
      <c r="AL233" s="6"/>
      <c r="AN233" s="320">
        <v>166</v>
      </c>
      <c r="AO233" s="326"/>
      <c r="AP233" s="327"/>
      <c r="BE233" s="6"/>
      <c r="BG233" s="320">
        <v>166</v>
      </c>
      <c r="BH233" s="326"/>
      <c r="BI233" s="327"/>
      <c r="BX233" s="6"/>
      <c r="BZ233" s="320">
        <v>166</v>
      </c>
      <c r="CA233" s="326"/>
      <c r="CB233" s="327"/>
      <c r="CQ233" s="6"/>
    </row>
    <row r="234" spans="2:95">
      <c r="B234" s="320">
        <v>167</v>
      </c>
      <c r="C234" s="326"/>
      <c r="D234" s="327"/>
      <c r="S234" s="6"/>
      <c r="U234" s="320">
        <v>167</v>
      </c>
      <c r="V234" s="326"/>
      <c r="W234" s="327"/>
      <c r="AL234" s="6"/>
      <c r="AN234" s="320">
        <v>167</v>
      </c>
      <c r="AO234" s="326"/>
      <c r="AP234" s="327"/>
      <c r="BE234" s="6"/>
      <c r="BG234" s="320">
        <v>167</v>
      </c>
      <c r="BH234" s="326"/>
      <c r="BI234" s="327"/>
      <c r="BX234" s="6"/>
      <c r="BZ234" s="320">
        <v>167</v>
      </c>
      <c r="CA234" s="326"/>
      <c r="CB234" s="327"/>
      <c r="CQ234" s="6"/>
    </row>
    <row r="235" spans="2:95">
      <c r="B235" s="320">
        <v>168</v>
      </c>
      <c r="C235" s="326"/>
      <c r="D235" s="327"/>
      <c r="S235" s="6"/>
      <c r="U235" s="320">
        <v>168</v>
      </c>
      <c r="V235" s="326"/>
      <c r="W235" s="327"/>
      <c r="AL235" s="6"/>
      <c r="AN235" s="320">
        <v>168</v>
      </c>
      <c r="AO235" s="326"/>
      <c r="AP235" s="327"/>
      <c r="BE235" s="6"/>
      <c r="BG235" s="320">
        <v>168</v>
      </c>
      <c r="BH235" s="326"/>
      <c r="BI235" s="327"/>
      <c r="BX235" s="6"/>
      <c r="BZ235" s="320">
        <v>168</v>
      </c>
      <c r="CA235" s="326"/>
      <c r="CB235" s="327"/>
      <c r="CQ235" s="6"/>
    </row>
    <row r="236" spans="2:95">
      <c r="B236" s="320">
        <v>169</v>
      </c>
      <c r="C236" s="326"/>
      <c r="D236" s="327"/>
      <c r="S236" s="6"/>
      <c r="U236" s="320">
        <v>169</v>
      </c>
      <c r="V236" s="326"/>
      <c r="W236" s="327"/>
      <c r="AL236" s="6"/>
      <c r="AN236" s="320">
        <v>169</v>
      </c>
      <c r="AO236" s="326"/>
      <c r="AP236" s="327"/>
      <c r="BE236" s="6"/>
      <c r="BG236" s="320">
        <v>169</v>
      </c>
      <c r="BH236" s="326"/>
      <c r="BI236" s="327"/>
      <c r="BX236" s="6"/>
      <c r="BZ236" s="320">
        <v>169</v>
      </c>
      <c r="CA236" s="326"/>
      <c r="CB236" s="327"/>
      <c r="CQ236" s="6"/>
    </row>
    <row r="237" spans="2:95">
      <c r="B237" s="320">
        <v>170</v>
      </c>
      <c r="C237" s="326"/>
      <c r="D237" s="327"/>
      <c r="S237" s="6"/>
      <c r="U237" s="320">
        <v>170</v>
      </c>
      <c r="V237" s="326"/>
      <c r="W237" s="327"/>
      <c r="AL237" s="6"/>
      <c r="AN237" s="320">
        <v>170</v>
      </c>
      <c r="AO237" s="326"/>
      <c r="AP237" s="327"/>
      <c r="BE237" s="6"/>
      <c r="BG237" s="320">
        <v>170</v>
      </c>
      <c r="BH237" s="326"/>
      <c r="BI237" s="327"/>
      <c r="BX237" s="6"/>
      <c r="BZ237" s="320">
        <v>170</v>
      </c>
      <c r="CA237" s="326"/>
      <c r="CB237" s="327"/>
      <c r="CQ237" s="6"/>
    </row>
    <row r="238" spans="2:95">
      <c r="B238" s="320">
        <v>171</v>
      </c>
      <c r="C238" s="326"/>
      <c r="D238" s="327"/>
      <c r="S238" s="6"/>
      <c r="U238" s="320">
        <v>171</v>
      </c>
      <c r="V238" s="326"/>
      <c r="W238" s="327"/>
      <c r="AL238" s="6"/>
      <c r="AN238" s="320">
        <v>171</v>
      </c>
      <c r="AO238" s="326"/>
      <c r="AP238" s="327"/>
      <c r="BE238" s="6"/>
      <c r="BG238" s="320">
        <v>171</v>
      </c>
      <c r="BH238" s="326"/>
      <c r="BI238" s="327"/>
      <c r="BX238" s="6"/>
      <c r="BZ238" s="320">
        <v>171</v>
      </c>
      <c r="CA238" s="326"/>
      <c r="CB238" s="327"/>
      <c r="CQ238" s="6"/>
    </row>
    <row r="239" spans="2:95">
      <c r="B239" s="320">
        <v>172</v>
      </c>
      <c r="C239" s="326"/>
      <c r="D239" s="328"/>
      <c r="S239" s="6"/>
      <c r="U239" s="320">
        <v>172</v>
      </c>
      <c r="V239" s="326"/>
      <c r="W239" s="328"/>
      <c r="AL239" s="6"/>
      <c r="AN239" s="320">
        <v>172</v>
      </c>
      <c r="AO239" s="326"/>
      <c r="AP239" s="328"/>
      <c r="BE239" s="6"/>
      <c r="BG239" s="320">
        <v>172</v>
      </c>
      <c r="BH239" s="326"/>
      <c r="BI239" s="328"/>
      <c r="BX239" s="6"/>
      <c r="BZ239" s="320">
        <v>172</v>
      </c>
      <c r="CA239" s="326"/>
      <c r="CB239" s="328"/>
      <c r="CQ239" s="6"/>
    </row>
    <row r="240" spans="2:95">
      <c r="B240" s="320">
        <v>173</v>
      </c>
      <c r="C240" s="329"/>
      <c r="D240" s="328"/>
      <c r="S240" s="6"/>
      <c r="U240" s="320">
        <v>173</v>
      </c>
      <c r="V240" s="329"/>
      <c r="W240" s="328"/>
      <c r="AL240" s="6"/>
      <c r="AN240" s="320">
        <v>173</v>
      </c>
      <c r="AO240" s="329"/>
      <c r="AP240" s="328"/>
      <c r="BE240" s="6"/>
      <c r="BG240" s="320">
        <v>173</v>
      </c>
      <c r="BH240" s="329"/>
      <c r="BI240" s="328"/>
      <c r="BX240" s="6"/>
      <c r="BZ240" s="320">
        <v>173</v>
      </c>
      <c r="CA240" s="329"/>
      <c r="CB240" s="328"/>
      <c r="CQ240" s="6"/>
    </row>
    <row r="241" spans="2:95">
      <c r="B241" s="320">
        <v>174</v>
      </c>
      <c r="C241" s="329"/>
      <c r="D241" s="328"/>
      <c r="S241" s="6"/>
      <c r="U241" s="320">
        <v>174</v>
      </c>
      <c r="V241" s="329"/>
      <c r="W241" s="328"/>
      <c r="AL241" s="6"/>
      <c r="AN241" s="320">
        <v>174</v>
      </c>
      <c r="AO241" s="329"/>
      <c r="AP241" s="328"/>
      <c r="BE241" s="6"/>
      <c r="BG241" s="320">
        <v>174</v>
      </c>
      <c r="BH241" s="329"/>
      <c r="BI241" s="328"/>
      <c r="BX241" s="6"/>
      <c r="BZ241" s="320">
        <v>174</v>
      </c>
      <c r="CA241" s="329"/>
      <c r="CB241" s="328"/>
      <c r="CQ241" s="6"/>
    </row>
    <row r="242" spans="2:95">
      <c r="B242" s="320">
        <v>175</v>
      </c>
      <c r="C242" s="329"/>
      <c r="D242" s="328"/>
      <c r="S242" s="6"/>
      <c r="U242" s="320">
        <v>175</v>
      </c>
      <c r="V242" s="329"/>
      <c r="W242" s="328"/>
      <c r="AL242" s="6"/>
      <c r="AN242" s="320">
        <v>175</v>
      </c>
      <c r="AO242" s="329"/>
      <c r="AP242" s="328"/>
      <c r="BE242" s="6"/>
      <c r="BG242" s="320">
        <v>175</v>
      </c>
      <c r="BH242" s="329"/>
      <c r="BI242" s="328"/>
      <c r="BX242" s="6"/>
      <c r="BZ242" s="320">
        <v>175</v>
      </c>
      <c r="CA242" s="329"/>
      <c r="CB242" s="328"/>
      <c r="CQ242" s="6"/>
    </row>
    <row r="243" spans="2:95">
      <c r="B243" s="320">
        <v>176</v>
      </c>
      <c r="C243" s="329"/>
      <c r="D243" s="328"/>
      <c r="S243" s="6"/>
      <c r="U243" s="320">
        <v>176</v>
      </c>
      <c r="V243" s="329"/>
      <c r="W243" s="328"/>
      <c r="AL243" s="6"/>
      <c r="AN243" s="320">
        <v>176</v>
      </c>
      <c r="AO243" s="329"/>
      <c r="AP243" s="328"/>
      <c r="BE243" s="6"/>
      <c r="BG243" s="320">
        <v>176</v>
      </c>
      <c r="BH243" s="329"/>
      <c r="BI243" s="328"/>
      <c r="BX243" s="6"/>
      <c r="BZ243" s="320">
        <v>176</v>
      </c>
      <c r="CA243" s="329"/>
      <c r="CB243" s="328"/>
      <c r="CQ243" s="6"/>
    </row>
    <row r="244" spans="2:95">
      <c r="B244" s="320">
        <v>177</v>
      </c>
      <c r="C244" s="329"/>
      <c r="D244" s="328"/>
      <c r="S244" s="6"/>
      <c r="U244" s="320">
        <v>177</v>
      </c>
      <c r="V244" s="329"/>
      <c r="W244" s="328"/>
      <c r="AL244" s="6"/>
      <c r="AN244" s="320">
        <v>177</v>
      </c>
      <c r="AO244" s="329"/>
      <c r="AP244" s="328"/>
      <c r="BE244" s="6"/>
      <c r="BG244" s="320">
        <v>177</v>
      </c>
      <c r="BH244" s="329"/>
      <c r="BI244" s="328"/>
      <c r="BX244" s="6"/>
      <c r="BZ244" s="320">
        <v>177</v>
      </c>
      <c r="CA244" s="329"/>
      <c r="CB244" s="328"/>
      <c r="CQ244" s="6"/>
    </row>
    <row r="245" spans="2:95">
      <c r="B245" s="320">
        <v>178</v>
      </c>
      <c r="C245" s="329"/>
      <c r="D245" s="328"/>
      <c r="S245" s="6"/>
      <c r="U245" s="320">
        <v>178</v>
      </c>
      <c r="V245" s="329"/>
      <c r="W245" s="328"/>
      <c r="AL245" s="6"/>
      <c r="AN245" s="320">
        <v>178</v>
      </c>
      <c r="AO245" s="329"/>
      <c r="AP245" s="328"/>
      <c r="BE245" s="6"/>
      <c r="BG245" s="320">
        <v>178</v>
      </c>
      <c r="BH245" s="329"/>
      <c r="BI245" s="328"/>
      <c r="BX245" s="6"/>
      <c r="BZ245" s="320">
        <v>178</v>
      </c>
      <c r="CA245" s="329"/>
      <c r="CB245" s="328"/>
      <c r="CQ245" s="6"/>
    </row>
    <row r="246" spans="2:95">
      <c r="B246" s="320">
        <v>179</v>
      </c>
      <c r="C246" s="329"/>
      <c r="D246" s="328"/>
      <c r="S246" s="6"/>
      <c r="U246" s="320">
        <v>179</v>
      </c>
      <c r="V246" s="329"/>
      <c r="W246" s="328"/>
      <c r="AL246" s="6"/>
      <c r="AN246" s="320">
        <v>179</v>
      </c>
      <c r="AO246" s="329"/>
      <c r="AP246" s="328"/>
      <c r="BE246" s="6"/>
      <c r="BG246" s="320">
        <v>179</v>
      </c>
      <c r="BH246" s="329"/>
      <c r="BI246" s="328"/>
      <c r="BX246" s="6"/>
      <c r="BZ246" s="320">
        <v>179</v>
      </c>
      <c r="CA246" s="329"/>
      <c r="CB246" s="328"/>
      <c r="CQ246" s="6"/>
    </row>
    <row r="247" spans="2:95">
      <c r="B247" s="320">
        <v>180</v>
      </c>
      <c r="C247" s="329"/>
      <c r="D247" s="328"/>
      <c r="S247" s="6"/>
      <c r="U247" s="320">
        <v>180</v>
      </c>
      <c r="V247" s="329"/>
      <c r="W247" s="328"/>
      <c r="AL247" s="6"/>
      <c r="AN247" s="320">
        <v>180</v>
      </c>
      <c r="AO247" s="329"/>
      <c r="AP247" s="328"/>
      <c r="BE247" s="6"/>
      <c r="BG247" s="320">
        <v>180</v>
      </c>
      <c r="BH247" s="329"/>
      <c r="BI247" s="328"/>
      <c r="BX247" s="6"/>
      <c r="BZ247" s="320">
        <v>180</v>
      </c>
      <c r="CA247" s="329"/>
      <c r="CB247" s="328"/>
      <c r="CQ247" s="6"/>
    </row>
    <row r="248" spans="2:95">
      <c r="B248" s="320">
        <v>181</v>
      </c>
      <c r="C248" s="329"/>
      <c r="D248" s="328"/>
      <c r="S248" s="6"/>
      <c r="U248" s="320">
        <v>181</v>
      </c>
      <c r="V248" s="329"/>
      <c r="W248" s="328"/>
      <c r="AL248" s="6"/>
      <c r="AN248" s="320">
        <v>181</v>
      </c>
      <c r="AO248" s="329"/>
      <c r="AP248" s="328"/>
      <c r="BE248" s="6"/>
      <c r="BG248" s="320">
        <v>181</v>
      </c>
      <c r="BH248" s="329"/>
      <c r="BI248" s="328"/>
      <c r="BX248" s="6"/>
      <c r="BZ248" s="320">
        <v>181</v>
      </c>
      <c r="CA248" s="329"/>
      <c r="CB248" s="328"/>
      <c r="CQ248" s="6"/>
    </row>
    <row r="249" spans="2:95">
      <c r="B249" s="320">
        <v>182</v>
      </c>
      <c r="C249" s="329"/>
      <c r="D249" s="328"/>
      <c r="S249" s="6"/>
      <c r="U249" s="320">
        <v>182</v>
      </c>
      <c r="V249" s="329"/>
      <c r="W249" s="328"/>
      <c r="AL249" s="6"/>
      <c r="AN249" s="320">
        <v>182</v>
      </c>
      <c r="AO249" s="329"/>
      <c r="AP249" s="328"/>
      <c r="BE249" s="6"/>
      <c r="BG249" s="320">
        <v>182</v>
      </c>
      <c r="BH249" s="329"/>
      <c r="BI249" s="328"/>
      <c r="BX249" s="6"/>
      <c r="BZ249" s="320">
        <v>182</v>
      </c>
      <c r="CA249" s="329"/>
      <c r="CB249" s="328"/>
      <c r="CQ249" s="6"/>
    </row>
    <row r="250" spans="2:95">
      <c r="B250" s="320">
        <v>183</v>
      </c>
      <c r="C250" s="329"/>
      <c r="D250" s="328"/>
      <c r="S250" s="6"/>
      <c r="U250" s="320">
        <v>183</v>
      </c>
      <c r="V250" s="329"/>
      <c r="W250" s="328"/>
      <c r="AL250" s="6"/>
      <c r="AN250" s="320">
        <v>183</v>
      </c>
      <c r="AO250" s="329"/>
      <c r="AP250" s="328"/>
      <c r="BE250" s="6"/>
      <c r="BG250" s="320">
        <v>183</v>
      </c>
      <c r="BH250" s="329"/>
      <c r="BI250" s="328"/>
      <c r="BX250" s="6"/>
      <c r="BZ250" s="320">
        <v>183</v>
      </c>
      <c r="CA250" s="329"/>
      <c r="CB250" s="328"/>
      <c r="CQ250" s="6"/>
    </row>
    <row r="251" spans="2:95">
      <c r="B251" s="320">
        <v>184</v>
      </c>
      <c r="C251" s="329"/>
      <c r="D251" s="328"/>
      <c r="S251" s="6"/>
      <c r="U251" s="320">
        <v>184</v>
      </c>
      <c r="V251" s="329"/>
      <c r="W251" s="328"/>
      <c r="AL251" s="6"/>
      <c r="AN251" s="320">
        <v>184</v>
      </c>
      <c r="AO251" s="329"/>
      <c r="AP251" s="328"/>
      <c r="BE251" s="6"/>
      <c r="BG251" s="320">
        <v>184</v>
      </c>
      <c r="BH251" s="329"/>
      <c r="BI251" s="328"/>
      <c r="BX251" s="6"/>
      <c r="BZ251" s="320">
        <v>184</v>
      </c>
      <c r="CA251" s="329"/>
      <c r="CB251" s="328"/>
      <c r="CQ251" s="6"/>
    </row>
    <row r="252" spans="2:95">
      <c r="B252" s="320">
        <v>185</v>
      </c>
      <c r="C252" s="329"/>
      <c r="D252" s="328"/>
      <c r="S252" s="6"/>
      <c r="U252" s="320">
        <v>185</v>
      </c>
      <c r="V252" s="329"/>
      <c r="W252" s="328"/>
      <c r="AL252" s="6"/>
      <c r="AN252" s="320">
        <v>185</v>
      </c>
      <c r="AO252" s="329"/>
      <c r="AP252" s="328"/>
      <c r="BE252" s="6"/>
      <c r="BG252" s="320">
        <v>185</v>
      </c>
      <c r="BH252" s="329"/>
      <c r="BI252" s="328"/>
      <c r="BX252" s="6"/>
      <c r="BZ252" s="320">
        <v>185</v>
      </c>
      <c r="CA252" s="329"/>
      <c r="CB252" s="328"/>
      <c r="CQ252" s="6"/>
    </row>
    <row r="253" spans="2:95">
      <c r="B253" s="320">
        <v>186</v>
      </c>
      <c r="C253" s="329"/>
      <c r="D253" s="328"/>
      <c r="S253" s="6"/>
      <c r="U253" s="320">
        <v>186</v>
      </c>
      <c r="V253" s="329"/>
      <c r="W253" s="328"/>
      <c r="AL253" s="6"/>
      <c r="AN253" s="320">
        <v>186</v>
      </c>
      <c r="AO253" s="329"/>
      <c r="AP253" s="328"/>
      <c r="BE253" s="6"/>
      <c r="BG253" s="320">
        <v>186</v>
      </c>
      <c r="BH253" s="329"/>
      <c r="BI253" s="328"/>
      <c r="BX253" s="6"/>
      <c r="BZ253" s="320">
        <v>186</v>
      </c>
      <c r="CA253" s="329"/>
      <c r="CB253" s="328"/>
      <c r="CQ253" s="6"/>
    </row>
    <row r="254" spans="2:95">
      <c r="B254" s="320">
        <v>187</v>
      </c>
      <c r="C254" s="329"/>
      <c r="D254" s="328"/>
      <c r="S254" s="6"/>
      <c r="U254" s="320">
        <v>187</v>
      </c>
      <c r="V254" s="329"/>
      <c r="W254" s="328"/>
      <c r="AL254" s="6"/>
      <c r="AN254" s="320">
        <v>187</v>
      </c>
      <c r="AO254" s="329"/>
      <c r="AP254" s="328"/>
      <c r="BE254" s="6"/>
      <c r="BG254" s="320">
        <v>187</v>
      </c>
      <c r="BH254" s="329"/>
      <c r="BI254" s="328"/>
      <c r="BX254" s="6"/>
      <c r="BZ254" s="320">
        <v>187</v>
      </c>
      <c r="CA254" s="329"/>
      <c r="CB254" s="328"/>
      <c r="CQ254" s="6"/>
    </row>
    <row r="255" spans="2:95">
      <c r="B255" s="320">
        <v>188</v>
      </c>
      <c r="C255" s="329"/>
      <c r="D255" s="328"/>
      <c r="S255" s="6"/>
      <c r="U255" s="320">
        <v>188</v>
      </c>
      <c r="V255" s="329"/>
      <c r="W255" s="328"/>
      <c r="AL255" s="6"/>
      <c r="AN255" s="320">
        <v>188</v>
      </c>
      <c r="AO255" s="329"/>
      <c r="AP255" s="328"/>
      <c r="BE255" s="6"/>
      <c r="BG255" s="320">
        <v>188</v>
      </c>
      <c r="BH255" s="329"/>
      <c r="BI255" s="328"/>
      <c r="BX255" s="6"/>
      <c r="BZ255" s="320">
        <v>188</v>
      </c>
      <c r="CA255" s="329"/>
      <c r="CB255" s="328"/>
      <c r="CQ255" s="6"/>
    </row>
    <row r="256" spans="2:95">
      <c r="B256" s="320">
        <v>189</v>
      </c>
      <c r="C256" s="329"/>
      <c r="D256" s="328"/>
      <c r="S256" s="6"/>
      <c r="U256" s="320">
        <v>189</v>
      </c>
      <c r="V256" s="329"/>
      <c r="W256" s="328"/>
      <c r="AL256" s="6"/>
      <c r="AN256" s="320">
        <v>189</v>
      </c>
      <c r="AO256" s="329"/>
      <c r="AP256" s="328"/>
      <c r="BE256" s="6"/>
      <c r="BG256" s="320">
        <v>189</v>
      </c>
      <c r="BH256" s="329"/>
      <c r="BI256" s="328"/>
      <c r="BX256" s="6"/>
      <c r="BZ256" s="320">
        <v>189</v>
      </c>
      <c r="CA256" s="329"/>
      <c r="CB256" s="328"/>
      <c r="CQ256" s="6"/>
    </row>
    <row r="257" spans="2:95">
      <c r="B257" s="320">
        <v>190</v>
      </c>
      <c r="C257" s="329"/>
      <c r="D257" s="328"/>
      <c r="S257" s="6"/>
      <c r="U257" s="320">
        <v>190</v>
      </c>
      <c r="V257" s="329"/>
      <c r="W257" s="328"/>
      <c r="AL257" s="6"/>
      <c r="AN257" s="320">
        <v>190</v>
      </c>
      <c r="AO257" s="329"/>
      <c r="AP257" s="328"/>
      <c r="BE257" s="6"/>
      <c r="BG257" s="320">
        <v>190</v>
      </c>
      <c r="BH257" s="329"/>
      <c r="BI257" s="328"/>
      <c r="BX257" s="6"/>
      <c r="BZ257" s="320">
        <v>190</v>
      </c>
      <c r="CA257" s="329"/>
      <c r="CB257" s="328"/>
      <c r="CQ257" s="6"/>
    </row>
    <row r="258" spans="2:95">
      <c r="B258" s="320">
        <v>191</v>
      </c>
      <c r="C258" s="329"/>
      <c r="D258" s="328"/>
      <c r="S258" s="6"/>
      <c r="U258" s="320">
        <v>191</v>
      </c>
      <c r="V258" s="329"/>
      <c r="W258" s="328"/>
      <c r="AL258" s="6"/>
      <c r="AN258" s="320">
        <v>191</v>
      </c>
      <c r="AO258" s="329"/>
      <c r="AP258" s="328"/>
      <c r="BE258" s="6"/>
      <c r="BG258" s="320">
        <v>191</v>
      </c>
      <c r="BH258" s="329"/>
      <c r="BI258" s="328"/>
      <c r="BX258" s="6"/>
      <c r="BZ258" s="320">
        <v>191</v>
      </c>
      <c r="CA258" s="329"/>
      <c r="CB258" s="328"/>
      <c r="CQ258" s="6"/>
    </row>
    <row r="259" spans="2:95">
      <c r="B259" s="320">
        <v>192</v>
      </c>
      <c r="C259" s="329"/>
      <c r="D259" s="328"/>
      <c r="S259" s="6"/>
      <c r="U259" s="320">
        <v>192</v>
      </c>
      <c r="V259" s="329"/>
      <c r="W259" s="328"/>
      <c r="AL259" s="6"/>
      <c r="AN259" s="320">
        <v>192</v>
      </c>
      <c r="AO259" s="329"/>
      <c r="AP259" s="328"/>
      <c r="BE259" s="6"/>
      <c r="BG259" s="320">
        <v>192</v>
      </c>
      <c r="BH259" s="329"/>
      <c r="BI259" s="328"/>
      <c r="BX259" s="6"/>
      <c r="BZ259" s="320">
        <v>192</v>
      </c>
      <c r="CA259" s="329"/>
      <c r="CB259" s="328"/>
      <c r="CQ259" s="6"/>
    </row>
    <row r="260" spans="2:95">
      <c r="B260" s="320">
        <v>193</v>
      </c>
      <c r="C260" s="329"/>
      <c r="D260" s="328"/>
      <c r="S260" s="6"/>
      <c r="U260" s="320">
        <v>193</v>
      </c>
      <c r="V260" s="329"/>
      <c r="W260" s="328"/>
      <c r="AL260" s="6"/>
      <c r="AN260" s="320">
        <v>193</v>
      </c>
      <c r="AO260" s="329"/>
      <c r="AP260" s="328"/>
      <c r="BE260" s="6"/>
      <c r="BG260" s="320">
        <v>193</v>
      </c>
      <c r="BH260" s="329"/>
      <c r="BI260" s="328"/>
      <c r="BX260" s="6"/>
      <c r="BZ260" s="320">
        <v>193</v>
      </c>
      <c r="CA260" s="329"/>
      <c r="CB260" s="328"/>
      <c r="CQ260" s="6"/>
    </row>
    <row r="261" spans="2:95">
      <c r="B261" s="320">
        <v>194</v>
      </c>
      <c r="C261" s="329"/>
      <c r="D261" s="328"/>
      <c r="S261" s="6"/>
      <c r="U261" s="320">
        <v>194</v>
      </c>
      <c r="V261" s="329"/>
      <c r="W261" s="328"/>
      <c r="AL261" s="6"/>
      <c r="AN261" s="320">
        <v>194</v>
      </c>
      <c r="AO261" s="329"/>
      <c r="AP261" s="328"/>
      <c r="BE261" s="6"/>
      <c r="BG261" s="320">
        <v>194</v>
      </c>
      <c r="BH261" s="329"/>
      <c r="BI261" s="328"/>
      <c r="BX261" s="6"/>
      <c r="BZ261" s="320">
        <v>194</v>
      </c>
      <c r="CA261" s="329"/>
      <c r="CB261" s="328"/>
      <c r="CQ261" s="6"/>
    </row>
    <row r="262" spans="2:95">
      <c r="B262" s="320">
        <v>195</v>
      </c>
      <c r="C262" s="329"/>
      <c r="D262" s="328"/>
      <c r="S262" s="6"/>
      <c r="U262" s="320">
        <v>195</v>
      </c>
      <c r="V262" s="329"/>
      <c r="W262" s="328"/>
      <c r="AL262" s="6"/>
      <c r="AN262" s="320">
        <v>195</v>
      </c>
      <c r="AO262" s="329"/>
      <c r="AP262" s="328"/>
      <c r="BE262" s="6"/>
      <c r="BG262" s="320">
        <v>195</v>
      </c>
      <c r="BH262" s="329"/>
      <c r="BI262" s="328"/>
      <c r="BX262" s="6"/>
      <c r="BZ262" s="320">
        <v>195</v>
      </c>
      <c r="CA262" s="329"/>
      <c r="CB262" s="328"/>
      <c r="CQ262" s="6"/>
    </row>
    <row r="263" spans="2:95">
      <c r="B263" s="320">
        <v>196</v>
      </c>
      <c r="C263" s="329"/>
      <c r="D263" s="328"/>
      <c r="S263" s="6"/>
      <c r="U263" s="320">
        <v>196</v>
      </c>
      <c r="V263" s="329"/>
      <c r="W263" s="328"/>
      <c r="AL263" s="6"/>
      <c r="AN263" s="320">
        <v>196</v>
      </c>
      <c r="AO263" s="329"/>
      <c r="AP263" s="328"/>
      <c r="BE263" s="6"/>
      <c r="BG263" s="320">
        <v>196</v>
      </c>
      <c r="BH263" s="329"/>
      <c r="BI263" s="328"/>
      <c r="BX263" s="6"/>
      <c r="BZ263" s="320">
        <v>196</v>
      </c>
      <c r="CA263" s="329"/>
      <c r="CB263" s="328"/>
      <c r="CQ263" s="6"/>
    </row>
    <row r="264" spans="2:95">
      <c r="B264" s="320">
        <v>197</v>
      </c>
      <c r="C264" s="329"/>
      <c r="D264" s="328"/>
      <c r="S264" s="6"/>
      <c r="U264" s="320">
        <v>197</v>
      </c>
      <c r="V264" s="329"/>
      <c r="W264" s="328"/>
      <c r="AL264" s="6"/>
      <c r="AN264" s="320">
        <v>197</v>
      </c>
      <c r="AO264" s="329"/>
      <c r="AP264" s="328"/>
      <c r="BE264" s="6"/>
      <c r="BG264" s="320">
        <v>197</v>
      </c>
      <c r="BH264" s="329"/>
      <c r="BI264" s="328"/>
      <c r="BX264" s="6"/>
      <c r="BZ264" s="320">
        <v>197</v>
      </c>
      <c r="CA264" s="329"/>
      <c r="CB264" s="328"/>
      <c r="CQ264" s="6"/>
    </row>
    <row r="265" spans="2:95">
      <c r="B265" s="320">
        <v>198</v>
      </c>
      <c r="C265" s="329"/>
      <c r="D265" s="328"/>
      <c r="S265" s="6"/>
      <c r="U265" s="320">
        <v>198</v>
      </c>
      <c r="V265" s="329"/>
      <c r="W265" s="328"/>
      <c r="AL265" s="6"/>
      <c r="AN265" s="320">
        <v>198</v>
      </c>
      <c r="AO265" s="329"/>
      <c r="AP265" s="328"/>
      <c r="BE265" s="6"/>
      <c r="BG265" s="320">
        <v>198</v>
      </c>
      <c r="BH265" s="329"/>
      <c r="BI265" s="328"/>
      <c r="BX265" s="6"/>
      <c r="BZ265" s="320">
        <v>198</v>
      </c>
      <c r="CA265" s="329"/>
      <c r="CB265" s="328"/>
      <c r="CQ265" s="6"/>
    </row>
    <row r="266" spans="2:95">
      <c r="B266" s="320">
        <v>199</v>
      </c>
      <c r="C266" s="329"/>
      <c r="D266" s="328"/>
      <c r="S266" s="6"/>
      <c r="U266" s="320">
        <v>199</v>
      </c>
      <c r="V266" s="329"/>
      <c r="W266" s="328"/>
      <c r="AL266" s="6"/>
      <c r="AN266" s="320">
        <v>199</v>
      </c>
      <c r="AO266" s="329"/>
      <c r="AP266" s="328"/>
      <c r="BE266" s="6"/>
      <c r="BG266" s="320">
        <v>199</v>
      </c>
      <c r="BH266" s="329"/>
      <c r="BI266" s="328"/>
      <c r="BX266" s="6"/>
      <c r="BZ266" s="320">
        <v>199</v>
      </c>
      <c r="CA266" s="329"/>
      <c r="CB266" s="328"/>
      <c r="CQ266" s="6"/>
    </row>
    <row r="267" spans="2:95">
      <c r="B267" s="320">
        <v>200</v>
      </c>
      <c r="C267" s="329"/>
      <c r="D267" s="328"/>
      <c r="S267" s="6"/>
      <c r="U267" s="320">
        <v>200</v>
      </c>
      <c r="V267" s="329"/>
      <c r="W267" s="328"/>
      <c r="AL267" s="6"/>
      <c r="AN267" s="320">
        <v>200</v>
      </c>
      <c r="AO267" s="329"/>
      <c r="AP267" s="328"/>
      <c r="BE267" s="6"/>
      <c r="BG267" s="320">
        <v>200</v>
      </c>
      <c r="BH267" s="329"/>
      <c r="BI267" s="328"/>
      <c r="BX267" s="6"/>
      <c r="BZ267" s="320">
        <v>200</v>
      </c>
      <c r="CA267" s="329"/>
      <c r="CB267" s="328"/>
      <c r="CQ267" s="6"/>
    </row>
    <row r="268" spans="2:95">
      <c r="B268" s="320">
        <v>201</v>
      </c>
      <c r="C268" s="329"/>
      <c r="D268" s="328"/>
      <c r="S268" s="6"/>
      <c r="U268" s="320">
        <v>201</v>
      </c>
      <c r="V268" s="329"/>
      <c r="W268" s="328"/>
      <c r="AL268" s="6"/>
      <c r="AN268" s="320">
        <v>201</v>
      </c>
      <c r="AO268" s="329"/>
      <c r="AP268" s="328"/>
      <c r="BE268" s="6"/>
      <c r="BG268" s="320">
        <v>201</v>
      </c>
      <c r="BH268" s="329"/>
      <c r="BI268" s="328"/>
      <c r="BX268" s="6"/>
      <c r="BZ268" s="320">
        <v>201</v>
      </c>
      <c r="CA268" s="329"/>
      <c r="CB268" s="328"/>
      <c r="CQ268" s="6"/>
    </row>
    <row r="269" spans="2:95">
      <c r="B269" s="320">
        <v>202</v>
      </c>
      <c r="C269" s="329"/>
      <c r="D269" s="328"/>
      <c r="S269" s="6"/>
      <c r="U269" s="320">
        <v>202</v>
      </c>
      <c r="V269" s="329"/>
      <c r="W269" s="328"/>
      <c r="AL269" s="6"/>
      <c r="AN269" s="320">
        <v>202</v>
      </c>
      <c r="AO269" s="329"/>
      <c r="AP269" s="328"/>
      <c r="BE269" s="6"/>
      <c r="BG269" s="320">
        <v>202</v>
      </c>
      <c r="BH269" s="329"/>
      <c r="BI269" s="328"/>
      <c r="BX269" s="6"/>
      <c r="BZ269" s="320">
        <v>202</v>
      </c>
      <c r="CA269" s="329"/>
      <c r="CB269" s="328"/>
      <c r="CQ269" s="6"/>
    </row>
    <row r="270" spans="2:95">
      <c r="B270" s="320">
        <v>203</v>
      </c>
      <c r="C270" s="329"/>
      <c r="D270" s="328"/>
      <c r="S270" s="6"/>
      <c r="U270" s="320">
        <v>203</v>
      </c>
      <c r="V270" s="329"/>
      <c r="W270" s="328"/>
      <c r="AL270" s="6"/>
      <c r="AN270" s="320">
        <v>203</v>
      </c>
      <c r="AO270" s="329"/>
      <c r="AP270" s="328"/>
      <c r="BE270" s="6"/>
      <c r="BG270" s="320">
        <v>203</v>
      </c>
      <c r="BH270" s="329"/>
      <c r="BI270" s="328"/>
      <c r="BX270" s="6"/>
      <c r="BZ270" s="320">
        <v>203</v>
      </c>
      <c r="CA270" s="329"/>
      <c r="CB270" s="328"/>
      <c r="CQ270" s="6"/>
    </row>
    <row r="271" spans="2:95">
      <c r="B271" s="320">
        <v>204</v>
      </c>
      <c r="C271" s="329"/>
      <c r="D271" s="328"/>
      <c r="S271" s="6"/>
      <c r="U271" s="320">
        <v>204</v>
      </c>
      <c r="V271" s="329"/>
      <c r="W271" s="328"/>
      <c r="AL271" s="6"/>
      <c r="AN271" s="320">
        <v>204</v>
      </c>
      <c r="AO271" s="329"/>
      <c r="AP271" s="328"/>
      <c r="BE271" s="6"/>
      <c r="BG271" s="320">
        <v>204</v>
      </c>
      <c r="BH271" s="329"/>
      <c r="BI271" s="328"/>
      <c r="BX271" s="6"/>
      <c r="BZ271" s="320">
        <v>204</v>
      </c>
      <c r="CA271" s="329"/>
      <c r="CB271" s="328"/>
      <c r="CQ271" s="6"/>
    </row>
    <row r="272" spans="2:95">
      <c r="B272" s="320">
        <v>205</v>
      </c>
      <c r="C272" s="329"/>
      <c r="D272" s="328"/>
      <c r="S272" s="6"/>
      <c r="U272" s="320">
        <v>205</v>
      </c>
      <c r="V272" s="329"/>
      <c r="W272" s="328"/>
      <c r="AL272" s="6"/>
      <c r="AN272" s="320">
        <v>205</v>
      </c>
      <c r="AO272" s="329"/>
      <c r="AP272" s="328"/>
      <c r="BE272" s="6"/>
      <c r="BG272" s="320">
        <v>205</v>
      </c>
      <c r="BH272" s="329"/>
      <c r="BI272" s="328"/>
      <c r="BX272" s="6"/>
      <c r="BZ272" s="320">
        <v>205</v>
      </c>
      <c r="CA272" s="329"/>
      <c r="CB272" s="328"/>
      <c r="CQ272" s="6"/>
    </row>
    <row r="273" spans="2:95">
      <c r="B273" s="320">
        <v>206</v>
      </c>
      <c r="C273" s="329"/>
      <c r="D273" s="328"/>
      <c r="S273" s="6"/>
      <c r="U273" s="320">
        <v>206</v>
      </c>
      <c r="V273" s="329"/>
      <c r="W273" s="328"/>
      <c r="AL273" s="6"/>
      <c r="AN273" s="320">
        <v>206</v>
      </c>
      <c r="AO273" s="329"/>
      <c r="AP273" s="328"/>
      <c r="BE273" s="6"/>
      <c r="BG273" s="320">
        <v>206</v>
      </c>
      <c r="BH273" s="329"/>
      <c r="BI273" s="328"/>
      <c r="BX273" s="6"/>
      <c r="BZ273" s="320">
        <v>206</v>
      </c>
      <c r="CA273" s="329"/>
      <c r="CB273" s="328"/>
      <c r="CQ273" s="6"/>
    </row>
    <row r="274" spans="2:95">
      <c r="B274" s="320">
        <v>207</v>
      </c>
      <c r="C274" s="329"/>
      <c r="D274" s="328"/>
      <c r="S274" s="6"/>
      <c r="U274" s="320">
        <v>207</v>
      </c>
      <c r="V274" s="329"/>
      <c r="W274" s="328"/>
      <c r="AL274" s="6"/>
      <c r="AN274" s="320">
        <v>207</v>
      </c>
      <c r="AO274" s="329"/>
      <c r="AP274" s="328"/>
      <c r="BE274" s="6"/>
      <c r="BG274" s="320">
        <v>207</v>
      </c>
      <c r="BH274" s="329"/>
      <c r="BI274" s="328"/>
      <c r="BX274" s="6"/>
      <c r="BZ274" s="320">
        <v>207</v>
      </c>
      <c r="CA274" s="329"/>
      <c r="CB274" s="328"/>
      <c r="CQ274" s="6"/>
    </row>
    <row r="275" spans="2:95">
      <c r="B275" s="320">
        <v>208</v>
      </c>
      <c r="C275" s="329"/>
      <c r="D275" s="328"/>
      <c r="S275" s="6"/>
      <c r="U275" s="320">
        <v>208</v>
      </c>
      <c r="V275" s="329"/>
      <c r="W275" s="328"/>
      <c r="AL275" s="6"/>
      <c r="AN275" s="320">
        <v>208</v>
      </c>
      <c r="AO275" s="329"/>
      <c r="AP275" s="328"/>
      <c r="BE275" s="6"/>
      <c r="BG275" s="320">
        <v>208</v>
      </c>
      <c r="BH275" s="329"/>
      <c r="BI275" s="328"/>
      <c r="BX275" s="6"/>
      <c r="BZ275" s="320">
        <v>208</v>
      </c>
      <c r="CA275" s="329"/>
      <c r="CB275" s="328"/>
      <c r="CQ275" s="6"/>
    </row>
    <row r="276" spans="2:95">
      <c r="B276" s="320">
        <v>209</v>
      </c>
      <c r="C276" s="329"/>
      <c r="D276" s="328"/>
      <c r="S276" s="6"/>
      <c r="U276" s="320">
        <v>209</v>
      </c>
      <c r="V276" s="329"/>
      <c r="W276" s="328"/>
      <c r="AL276" s="6"/>
      <c r="AN276" s="320">
        <v>209</v>
      </c>
      <c r="AO276" s="329"/>
      <c r="AP276" s="328"/>
      <c r="BE276" s="6"/>
      <c r="BG276" s="320">
        <v>209</v>
      </c>
      <c r="BH276" s="329"/>
      <c r="BI276" s="328"/>
      <c r="BX276" s="6"/>
      <c r="BZ276" s="320">
        <v>209</v>
      </c>
      <c r="CA276" s="329"/>
      <c r="CB276" s="328"/>
      <c r="CQ276" s="6"/>
    </row>
    <row r="277" spans="2:95">
      <c r="B277" s="320">
        <v>210</v>
      </c>
      <c r="C277" s="329"/>
      <c r="D277" s="328"/>
      <c r="S277" s="6"/>
      <c r="U277" s="320">
        <v>210</v>
      </c>
      <c r="V277" s="329"/>
      <c r="W277" s="328"/>
      <c r="AL277" s="6"/>
      <c r="AN277" s="320">
        <v>210</v>
      </c>
      <c r="AO277" s="329"/>
      <c r="AP277" s="328"/>
      <c r="BE277" s="6"/>
      <c r="BG277" s="320">
        <v>210</v>
      </c>
      <c r="BH277" s="329"/>
      <c r="BI277" s="328"/>
      <c r="BX277" s="6"/>
      <c r="BZ277" s="320">
        <v>210</v>
      </c>
      <c r="CA277" s="329"/>
      <c r="CB277" s="328"/>
      <c r="CQ277" s="6"/>
    </row>
    <row r="278" spans="2:95">
      <c r="B278" s="320">
        <v>211</v>
      </c>
      <c r="C278" s="329"/>
      <c r="D278" s="328"/>
      <c r="S278" s="6"/>
      <c r="U278" s="320">
        <v>211</v>
      </c>
      <c r="V278" s="329"/>
      <c r="W278" s="328"/>
      <c r="AL278" s="6"/>
      <c r="AN278" s="320">
        <v>211</v>
      </c>
      <c r="AO278" s="329"/>
      <c r="AP278" s="328"/>
      <c r="BE278" s="6"/>
      <c r="BG278" s="320">
        <v>211</v>
      </c>
      <c r="BH278" s="329"/>
      <c r="BI278" s="328"/>
      <c r="BX278" s="6"/>
      <c r="BZ278" s="320">
        <v>211</v>
      </c>
      <c r="CA278" s="329"/>
      <c r="CB278" s="328"/>
      <c r="CQ278" s="6"/>
    </row>
    <row r="279" spans="2:95">
      <c r="B279" s="320">
        <v>212</v>
      </c>
      <c r="C279" s="329"/>
      <c r="D279" s="328"/>
      <c r="S279" s="6"/>
      <c r="U279" s="320">
        <v>212</v>
      </c>
      <c r="V279" s="329"/>
      <c r="W279" s="328"/>
      <c r="AL279" s="6"/>
      <c r="AN279" s="320">
        <v>212</v>
      </c>
      <c r="AO279" s="329"/>
      <c r="AP279" s="328"/>
      <c r="BE279" s="6"/>
      <c r="BG279" s="320">
        <v>212</v>
      </c>
      <c r="BH279" s="329"/>
      <c r="BI279" s="328"/>
      <c r="BX279" s="6"/>
      <c r="BZ279" s="320">
        <v>212</v>
      </c>
      <c r="CA279" s="329"/>
      <c r="CB279" s="328"/>
      <c r="CQ279" s="6"/>
    </row>
    <row r="280" spans="2:95">
      <c r="B280" s="320">
        <v>213</v>
      </c>
      <c r="C280" s="329"/>
      <c r="D280" s="328"/>
      <c r="S280" s="6"/>
      <c r="U280" s="320">
        <v>213</v>
      </c>
      <c r="V280" s="329"/>
      <c r="W280" s="328"/>
      <c r="AL280" s="6"/>
      <c r="AN280" s="320">
        <v>213</v>
      </c>
      <c r="AO280" s="329"/>
      <c r="AP280" s="328"/>
      <c r="BE280" s="6"/>
      <c r="BG280" s="320">
        <v>213</v>
      </c>
      <c r="BH280" s="329"/>
      <c r="BI280" s="328"/>
      <c r="BX280" s="6"/>
      <c r="BZ280" s="320">
        <v>213</v>
      </c>
      <c r="CA280" s="329"/>
      <c r="CB280" s="328"/>
      <c r="CQ280" s="6"/>
    </row>
    <row r="281" spans="2:95">
      <c r="B281" s="320">
        <v>214</v>
      </c>
      <c r="C281" s="329"/>
      <c r="D281" s="328"/>
      <c r="S281" s="6"/>
      <c r="U281" s="320">
        <v>214</v>
      </c>
      <c r="V281" s="329"/>
      <c r="W281" s="328"/>
      <c r="AL281" s="6"/>
      <c r="AN281" s="320">
        <v>214</v>
      </c>
      <c r="AO281" s="329"/>
      <c r="AP281" s="328"/>
      <c r="BE281" s="6"/>
      <c r="BG281" s="320">
        <v>214</v>
      </c>
      <c r="BH281" s="329"/>
      <c r="BI281" s="328"/>
      <c r="BX281" s="6"/>
      <c r="BZ281" s="320">
        <v>214</v>
      </c>
      <c r="CA281" s="329"/>
      <c r="CB281" s="328"/>
      <c r="CQ281" s="6"/>
    </row>
    <row r="282" spans="2:95">
      <c r="B282" s="320">
        <v>215</v>
      </c>
      <c r="C282" s="329"/>
      <c r="D282" s="328"/>
      <c r="S282" s="6"/>
      <c r="U282" s="320">
        <v>215</v>
      </c>
      <c r="V282" s="329"/>
      <c r="W282" s="328"/>
      <c r="AL282" s="6"/>
      <c r="AN282" s="320">
        <v>215</v>
      </c>
      <c r="AO282" s="329"/>
      <c r="AP282" s="328"/>
      <c r="BE282" s="6"/>
      <c r="BG282" s="320">
        <v>215</v>
      </c>
      <c r="BH282" s="329"/>
      <c r="BI282" s="328"/>
      <c r="BX282" s="6"/>
      <c r="BZ282" s="320">
        <v>215</v>
      </c>
      <c r="CA282" s="329"/>
      <c r="CB282" s="328"/>
      <c r="CQ282" s="6"/>
    </row>
    <row r="283" spans="2:95">
      <c r="B283" s="320">
        <v>216</v>
      </c>
      <c r="C283" s="329"/>
      <c r="D283" s="328"/>
      <c r="S283" s="6"/>
      <c r="U283" s="320">
        <v>216</v>
      </c>
      <c r="V283" s="329"/>
      <c r="W283" s="328"/>
      <c r="AL283" s="6"/>
      <c r="AN283" s="320">
        <v>216</v>
      </c>
      <c r="AO283" s="329"/>
      <c r="AP283" s="328"/>
      <c r="BE283" s="6"/>
      <c r="BG283" s="320">
        <v>216</v>
      </c>
      <c r="BH283" s="329"/>
      <c r="BI283" s="328"/>
      <c r="BX283" s="6"/>
      <c r="BZ283" s="320">
        <v>216</v>
      </c>
      <c r="CA283" s="329"/>
      <c r="CB283" s="328"/>
      <c r="CQ283" s="6"/>
    </row>
    <row r="284" spans="2:95">
      <c r="B284" s="320">
        <v>217</v>
      </c>
      <c r="C284" s="329"/>
      <c r="D284" s="328"/>
      <c r="S284" s="6"/>
      <c r="U284" s="320">
        <v>217</v>
      </c>
      <c r="V284" s="329"/>
      <c r="W284" s="328"/>
      <c r="AL284" s="6"/>
      <c r="AN284" s="320">
        <v>217</v>
      </c>
      <c r="AO284" s="329"/>
      <c r="AP284" s="328"/>
      <c r="BE284" s="6"/>
      <c r="BG284" s="320">
        <v>217</v>
      </c>
      <c r="BH284" s="329"/>
      <c r="BI284" s="328"/>
      <c r="BX284" s="6"/>
      <c r="BZ284" s="320">
        <v>217</v>
      </c>
      <c r="CA284" s="329"/>
      <c r="CB284" s="328"/>
      <c r="CQ284" s="6"/>
    </row>
    <row r="285" spans="2:95">
      <c r="B285" s="320">
        <v>218</v>
      </c>
      <c r="C285" s="329"/>
      <c r="D285" s="328"/>
      <c r="S285" s="6"/>
      <c r="U285" s="320">
        <v>218</v>
      </c>
      <c r="V285" s="329"/>
      <c r="W285" s="328"/>
      <c r="AL285" s="6"/>
      <c r="AN285" s="320">
        <v>218</v>
      </c>
      <c r="AO285" s="329"/>
      <c r="AP285" s="328"/>
      <c r="BE285" s="6"/>
      <c r="BG285" s="320">
        <v>218</v>
      </c>
      <c r="BH285" s="329"/>
      <c r="BI285" s="328"/>
      <c r="BX285" s="6"/>
      <c r="BZ285" s="320">
        <v>218</v>
      </c>
      <c r="CA285" s="329"/>
      <c r="CB285" s="328"/>
      <c r="CQ285" s="6"/>
    </row>
    <row r="286" spans="2:95">
      <c r="B286" s="320">
        <v>219</v>
      </c>
      <c r="C286" s="329"/>
      <c r="D286" s="328"/>
      <c r="S286" s="6"/>
      <c r="U286" s="320">
        <v>219</v>
      </c>
      <c r="V286" s="329"/>
      <c r="W286" s="328"/>
      <c r="AL286" s="6"/>
      <c r="AN286" s="320">
        <v>219</v>
      </c>
      <c r="AO286" s="329"/>
      <c r="AP286" s="328"/>
      <c r="BE286" s="6"/>
      <c r="BG286" s="320">
        <v>219</v>
      </c>
      <c r="BH286" s="329"/>
      <c r="BI286" s="328"/>
      <c r="BX286" s="6"/>
      <c r="BZ286" s="320">
        <v>219</v>
      </c>
      <c r="CA286" s="329"/>
      <c r="CB286" s="328"/>
      <c r="CQ286" s="6"/>
    </row>
    <row r="287" spans="2:95">
      <c r="B287" s="320">
        <v>220</v>
      </c>
      <c r="C287" s="329"/>
      <c r="D287" s="328"/>
      <c r="S287" s="6"/>
      <c r="U287" s="320">
        <v>220</v>
      </c>
      <c r="V287" s="329"/>
      <c r="W287" s="328"/>
      <c r="AL287" s="6"/>
      <c r="AN287" s="320">
        <v>220</v>
      </c>
      <c r="AO287" s="329"/>
      <c r="AP287" s="328"/>
      <c r="BE287" s="6"/>
      <c r="BG287" s="320">
        <v>220</v>
      </c>
      <c r="BH287" s="329"/>
      <c r="BI287" s="328"/>
      <c r="BX287" s="6"/>
      <c r="BZ287" s="320">
        <v>220</v>
      </c>
      <c r="CA287" s="329"/>
      <c r="CB287" s="328"/>
      <c r="CQ287" s="6"/>
    </row>
    <row r="288" spans="2:95">
      <c r="B288" s="320">
        <v>221</v>
      </c>
      <c r="C288" s="329"/>
      <c r="D288" s="328"/>
      <c r="S288" s="6"/>
      <c r="U288" s="320">
        <v>221</v>
      </c>
      <c r="V288" s="329"/>
      <c r="W288" s="328"/>
      <c r="AL288" s="6"/>
      <c r="AN288" s="320">
        <v>221</v>
      </c>
      <c r="AO288" s="329"/>
      <c r="AP288" s="328"/>
      <c r="BE288" s="6"/>
      <c r="BG288" s="320">
        <v>221</v>
      </c>
      <c r="BH288" s="329"/>
      <c r="BI288" s="328"/>
      <c r="BX288" s="6"/>
      <c r="BZ288" s="320">
        <v>221</v>
      </c>
      <c r="CA288" s="329"/>
      <c r="CB288" s="328"/>
      <c r="CQ288" s="6"/>
    </row>
    <row r="289" spans="2:95">
      <c r="B289" s="320">
        <v>222</v>
      </c>
      <c r="C289" s="329"/>
      <c r="D289" s="328"/>
      <c r="S289" s="6"/>
      <c r="U289" s="320">
        <v>222</v>
      </c>
      <c r="V289" s="329"/>
      <c r="W289" s="328"/>
      <c r="AL289" s="6"/>
      <c r="AN289" s="320">
        <v>222</v>
      </c>
      <c r="AO289" s="329"/>
      <c r="AP289" s="328"/>
      <c r="BE289" s="6"/>
      <c r="BG289" s="320">
        <v>222</v>
      </c>
      <c r="BH289" s="329"/>
      <c r="BI289" s="328"/>
      <c r="BX289" s="6"/>
      <c r="BZ289" s="320">
        <v>222</v>
      </c>
      <c r="CA289" s="329"/>
      <c r="CB289" s="328"/>
      <c r="CQ289" s="6"/>
    </row>
    <row r="290" spans="2:95">
      <c r="B290" s="320">
        <v>223</v>
      </c>
      <c r="C290" s="329"/>
      <c r="D290" s="328"/>
      <c r="S290" s="6"/>
      <c r="U290" s="320">
        <v>223</v>
      </c>
      <c r="V290" s="329"/>
      <c r="W290" s="328"/>
      <c r="AL290" s="6"/>
      <c r="AN290" s="320">
        <v>223</v>
      </c>
      <c r="AO290" s="329"/>
      <c r="AP290" s="328"/>
      <c r="BE290" s="6"/>
      <c r="BG290" s="320">
        <v>223</v>
      </c>
      <c r="BH290" s="329"/>
      <c r="BI290" s="328"/>
      <c r="BX290" s="6"/>
      <c r="BZ290" s="320">
        <v>223</v>
      </c>
      <c r="CA290" s="329"/>
      <c r="CB290" s="328"/>
      <c r="CQ290" s="6"/>
    </row>
    <row r="291" spans="2:95">
      <c r="B291" s="320">
        <v>224</v>
      </c>
      <c r="C291" s="329"/>
      <c r="D291" s="328"/>
      <c r="S291" s="6"/>
      <c r="U291" s="320">
        <v>224</v>
      </c>
      <c r="V291" s="329"/>
      <c r="W291" s="328"/>
      <c r="AL291" s="6"/>
      <c r="AN291" s="320">
        <v>224</v>
      </c>
      <c r="AO291" s="329"/>
      <c r="AP291" s="328"/>
      <c r="BE291" s="6"/>
      <c r="BG291" s="320">
        <v>224</v>
      </c>
      <c r="BH291" s="329"/>
      <c r="BI291" s="328"/>
      <c r="BX291" s="6"/>
      <c r="BZ291" s="320">
        <v>224</v>
      </c>
      <c r="CA291" s="329"/>
      <c r="CB291" s="328"/>
      <c r="CQ291" s="6"/>
    </row>
    <row r="292" spans="2:95">
      <c r="B292" s="320">
        <v>225</v>
      </c>
      <c r="C292" s="329"/>
      <c r="D292" s="328"/>
      <c r="S292" s="6"/>
      <c r="U292" s="320">
        <v>225</v>
      </c>
      <c r="V292" s="329"/>
      <c r="W292" s="328"/>
      <c r="AL292" s="6"/>
      <c r="AN292" s="320">
        <v>225</v>
      </c>
      <c r="AO292" s="329"/>
      <c r="AP292" s="328"/>
      <c r="BE292" s="6"/>
      <c r="BG292" s="320">
        <v>225</v>
      </c>
      <c r="BH292" s="329"/>
      <c r="BI292" s="328"/>
      <c r="BX292" s="6"/>
      <c r="BZ292" s="320">
        <v>225</v>
      </c>
      <c r="CA292" s="329"/>
      <c r="CB292" s="328"/>
      <c r="CQ292" s="6"/>
    </row>
    <row r="293" spans="2:95">
      <c r="B293" s="320">
        <v>226</v>
      </c>
      <c r="C293" s="329"/>
      <c r="D293" s="328"/>
      <c r="S293" s="6"/>
      <c r="U293" s="320">
        <v>226</v>
      </c>
      <c r="V293" s="329"/>
      <c r="W293" s="328"/>
      <c r="AL293" s="6"/>
      <c r="AN293" s="320">
        <v>226</v>
      </c>
      <c r="AO293" s="329"/>
      <c r="AP293" s="328"/>
      <c r="BE293" s="6"/>
      <c r="BG293" s="320">
        <v>226</v>
      </c>
      <c r="BH293" s="329"/>
      <c r="BI293" s="328"/>
      <c r="BX293" s="6"/>
      <c r="BZ293" s="320">
        <v>226</v>
      </c>
      <c r="CA293" s="329"/>
      <c r="CB293" s="328"/>
      <c r="CQ293" s="6"/>
    </row>
    <row r="294" spans="2:95">
      <c r="B294" s="320">
        <v>227</v>
      </c>
      <c r="C294" s="329"/>
      <c r="D294" s="328"/>
      <c r="S294" s="6"/>
      <c r="U294" s="320">
        <v>227</v>
      </c>
      <c r="V294" s="329"/>
      <c r="W294" s="328"/>
      <c r="AL294" s="6"/>
      <c r="AN294" s="320">
        <v>227</v>
      </c>
      <c r="AO294" s="329"/>
      <c r="AP294" s="328"/>
      <c r="BE294" s="6"/>
      <c r="BG294" s="320">
        <v>227</v>
      </c>
      <c r="BH294" s="329"/>
      <c r="BI294" s="328"/>
      <c r="BX294" s="6"/>
      <c r="BZ294" s="320">
        <v>227</v>
      </c>
      <c r="CA294" s="329"/>
      <c r="CB294" s="328"/>
      <c r="CQ294" s="6"/>
    </row>
    <row r="295" spans="2:95">
      <c r="B295" s="320">
        <v>228</v>
      </c>
      <c r="C295" s="329"/>
      <c r="D295" s="328"/>
      <c r="S295" s="6"/>
      <c r="U295" s="320">
        <v>228</v>
      </c>
      <c r="V295" s="329"/>
      <c r="W295" s="328"/>
      <c r="AL295" s="6"/>
      <c r="AN295" s="320">
        <v>228</v>
      </c>
      <c r="AO295" s="329"/>
      <c r="AP295" s="328"/>
      <c r="BE295" s="6"/>
      <c r="BG295" s="320">
        <v>228</v>
      </c>
      <c r="BH295" s="329"/>
      <c r="BI295" s="328"/>
      <c r="BX295" s="6"/>
      <c r="BZ295" s="320">
        <v>228</v>
      </c>
      <c r="CA295" s="329"/>
      <c r="CB295" s="328"/>
      <c r="CQ295" s="6"/>
    </row>
    <row r="296" spans="2:95">
      <c r="B296" s="320">
        <v>229</v>
      </c>
      <c r="C296" s="329"/>
      <c r="D296" s="328"/>
      <c r="S296" s="6"/>
      <c r="U296" s="320">
        <v>229</v>
      </c>
      <c r="V296" s="329"/>
      <c r="W296" s="328"/>
      <c r="AL296" s="6"/>
      <c r="AN296" s="320">
        <v>229</v>
      </c>
      <c r="AO296" s="329"/>
      <c r="AP296" s="328"/>
      <c r="BE296" s="6"/>
      <c r="BG296" s="320">
        <v>229</v>
      </c>
      <c r="BH296" s="329"/>
      <c r="BI296" s="328"/>
      <c r="BX296" s="6"/>
      <c r="BZ296" s="320">
        <v>229</v>
      </c>
      <c r="CA296" s="329"/>
      <c r="CB296" s="328"/>
      <c r="CQ296" s="6"/>
    </row>
    <row r="297" spans="2:95">
      <c r="B297" s="320">
        <v>230</v>
      </c>
      <c r="C297" s="329"/>
      <c r="D297" s="328"/>
      <c r="S297" s="6"/>
      <c r="U297" s="320">
        <v>230</v>
      </c>
      <c r="V297" s="329"/>
      <c r="W297" s="328"/>
      <c r="AL297" s="6"/>
      <c r="AN297" s="320">
        <v>230</v>
      </c>
      <c r="AO297" s="329"/>
      <c r="AP297" s="328"/>
      <c r="BE297" s="6"/>
      <c r="BG297" s="320">
        <v>230</v>
      </c>
      <c r="BH297" s="329"/>
      <c r="BI297" s="328"/>
      <c r="BX297" s="6"/>
      <c r="BZ297" s="320">
        <v>230</v>
      </c>
      <c r="CA297" s="329"/>
      <c r="CB297" s="328"/>
      <c r="CQ297" s="6"/>
    </row>
    <row r="298" spans="2:95">
      <c r="B298" s="320">
        <v>231</v>
      </c>
      <c r="C298" s="329"/>
      <c r="D298" s="328"/>
      <c r="S298" s="6"/>
      <c r="U298" s="320">
        <v>231</v>
      </c>
      <c r="V298" s="329"/>
      <c r="W298" s="328"/>
      <c r="AL298" s="6"/>
      <c r="AN298" s="320">
        <v>231</v>
      </c>
      <c r="AO298" s="329"/>
      <c r="AP298" s="328"/>
      <c r="BE298" s="6"/>
      <c r="BG298" s="320">
        <v>231</v>
      </c>
      <c r="BH298" s="329"/>
      <c r="BI298" s="328"/>
      <c r="BX298" s="6"/>
      <c r="BZ298" s="320">
        <v>231</v>
      </c>
      <c r="CA298" s="329"/>
      <c r="CB298" s="328"/>
      <c r="CQ298" s="6"/>
    </row>
    <row r="299" spans="2:95">
      <c r="B299" s="320">
        <v>232</v>
      </c>
      <c r="C299" s="329"/>
      <c r="D299" s="328"/>
      <c r="S299" s="6"/>
      <c r="U299" s="320">
        <v>232</v>
      </c>
      <c r="V299" s="329"/>
      <c r="W299" s="328"/>
      <c r="AL299" s="6"/>
      <c r="AN299" s="320">
        <v>232</v>
      </c>
      <c r="AO299" s="329"/>
      <c r="AP299" s="328"/>
      <c r="BE299" s="6"/>
      <c r="BG299" s="320">
        <v>232</v>
      </c>
      <c r="BH299" s="329"/>
      <c r="BI299" s="328"/>
      <c r="BX299" s="6"/>
      <c r="BZ299" s="320">
        <v>232</v>
      </c>
      <c r="CA299" s="329"/>
      <c r="CB299" s="328"/>
      <c r="CQ299" s="6"/>
    </row>
    <row r="300" spans="2:95">
      <c r="B300" s="320">
        <v>233</v>
      </c>
      <c r="C300" s="329"/>
      <c r="D300" s="328"/>
      <c r="S300" s="6"/>
      <c r="U300" s="320">
        <v>233</v>
      </c>
      <c r="V300" s="329"/>
      <c r="W300" s="328"/>
      <c r="AL300" s="6"/>
      <c r="AN300" s="320">
        <v>233</v>
      </c>
      <c r="AO300" s="329"/>
      <c r="AP300" s="328"/>
      <c r="BE300" s="6"/>
      <c r="BG300" s="320">
        <v>233</v>
      </c>
      <c r="BH300" s="329"/>
      <c r="BI300" s="328"/>
      <c r="BX300" s="6"/>
      <c r="BZ300" s="320">
        <v>233</v>
      </c>
      <c r="CA300" s="329"/>
      <c r="CB300" s="328"/>
      <c r="CQ300" s="6"/>
    </row>
    <row r="301" spans="2:95">
      <c r="B301" s="320">
        <v>234</v>
      </c>
      <c r="C301" s="329"/>
      <c r="D301" s="328"/>
      <c r="S301" s="6"/>
      <c r="U301" s="320">
        <v>234</v>
      </c>
      <c r="V301" s="329"/>
      <c r="W301" s="328"/>
      <c r="AL301" s="6"/>
      <c r="AN301" s="320">
        <v>234</v>
      </c>
      <c r="AO301" s="329"/>
      <c r="AP301" s="328"/>
      <c r="BE301" s="6"/>
      <c r="BG301" s="320">
        <v>234</v>
      </c>
      <c r="BH301" s="329"/>
      <c r="BI301" s="328"/>
      <c r="BX301" s="6"/>
      <c r="BZ301" s="320">
        <v>234</v>
      </c>
      <c r="CA301" s="329"/>
      <c r="CB301" s="328"/>
      <c r="CQ301" s="6"/>
    </row>
    <row r="302" spans="2:95">
      <c r="B302" s="320">
        <v>235</v>
      </c>
      <c r="C302" s="329"/>
      <c r="D302" s="328"/>
      <c r="S302" s="6"/>
      <c r="U302" s="320">
        <v>235</v>
      </c>
      <c r="V302" s="329"/>
      <c r="W302" s="328"/>
      <c r="AL302" s="6"/>
      <c r="AN302" s="320">
        <v>235</v>
      </c>
      <c r="AO302" s="329"/>
      <c r="AP302" s="328"/>
      <c r="BE302" s="6"/>
      <c r="BG302" s="320">
        <v>235</v>
      </c>
      <c r="BH302" s="329"/>
      <c r="BI302" s="328"/>
      <c r="BX302" s="6"/>
      <c r="BZ302" s="320">
        <v>235</v>
      </c>
      <c r="CA302" s="329"/>
      <c r="CB302" s="328"/>
      <c r="CQ302" s="6"/>
    </row>
    <row r="303" spans="2:95">
      <c r="B303" s="320">
        <v>236</v>
      </c>
      <c r="C303" s="329"/>
      <c r="D303" s="328"/>
      <c r="S303" s="6"/>
      <c r="U303" s="320">
        <v>236</v>
      </c>
      <c r="V303" s="329"/>
      <c r="W303" s="328"/>
      <c r="AL303" s="6"/>
      <c r="AN303" s="320">
        <v>236</v>
      </c>
      <c r="AO303" s="329"/>
      <c r="AP303" s="328"/>
      <c r="BE303" s="6"/>
      <c r="BG303" s="320">
        <v>236</v>
      </c>
      <c r="BH303" s="329"/>
      <c r="BI303" s="328"/>
      <c r="BX303" s="6"/>
      <c r="BZ303" s="320">
        <v>236</v>
      </c>
      <c r="CA303" s="329"/>
      <c r="CB303" s="328"/>
      <c r="CQ303" s="6"/>
    </row>
    <row r="304" spans="2:95">
      <c r="B304" s="320">
        <v>237</v>
      </c>
      <c r="C304" s="329"/>
      <c r="D304" s="328"/>
      <c r="S304" s="6"/>
      <c r="U304" s="320">
        <v>237</v>
      </c>
      <c r="V304" s="329"/>
      <c r="W304" s="328"/>
      <c r="AL304" s="6"/>
      <c r="AN304" s="320">
        <v>237</v>
      </c>
      <c r="AO304" s="329"/>
      <c r="AP304" s="328"/>
      <c r="BE304" s="6"/>
      <c r="BG304" s="320">
        <v>237</v>
      </c>
      <c r="BH304" s="329"/>
      <c r="BI304" s="328"/>
      <c r="BX304" s="6"/>
      <c r="BZ304" s="320">
        <v>237</v>
      </c>
      <c r="CA304" s="329"/>
      <c r="CB304" s="328"/>
      <c r="CQ304" s="6"/>
    </row>
    <row r="305" spans="2:95">
      <c r="B305" s="320">
        <v>238</v>
      </c>
      <c r="C305" s="329"/>
      <c r="D305" s="328"/>
      <c r="S305" s="6"/>
      <c r="U305" s="320">
        <v>238</v>
      </c>
      <c r="V305" s="329"/>
      <c r="W305" s="328"/>
      <c r="AL305" s="6"/>
      <c r="AN305" s="320">
        <v>238</v>
      </c>
      <c r="AO305" s="329"/>
      <c r="AP305" s="328"/>
      <c r="BE305" s="6"/>
      <c r="BG305" s="320">
        <v>238</v>
      </c>
      <c r="BH305" s="329"/>
      <c r="BI305" s="328"/>
      <c r="BX305" s="6"/>
      <c r="BZ305" s="320">
        <v>238</v>
      </c>
      <c r="CA305" s="329"/>
      <c r="CB305" s="328"/>
      <c r="CQ305" s="6"/>
    </row>
    <row r="306" spans="2:95">
      <c r="B306" s="320">
        <v>239</v>
      </c>
      <c r="C306" s="329"/>
      <c r="D306" s="328"/>
      <c r="S306" s="6"/>
      <c r="U306" s="320">
        <v>239</v>
      </c>
      <c r="V306" s="329"/>
      <c r="W306" s="328"/>
      <c r="AL306" s="6"/>
      <c r="AN306" s="320">
        <v>239</v>
      </c>
      <c r="AO306" s="329"/>
      <c r="AP306" s="328"/>
      <c r="BE306" s="6"/>
      <c r="BG306" s="320">
        <v>239</v>
      </c>
      <c r="BH306" s="329"/>
      <c r="BI306" s="328"/>
      <c r="BX306" s="6"/>
      <c r="BZ306" s="320">
        <v>239</v>
      </c>
      <c r="CA306" s="329"/>
      <c r="CB306" s="328"/>
      <c r="CQ306" s="6"/>
    </row>
    <row r="307" spans="2:95">
      <c r="B307" s="320">
        <v>240</v>
      </c>
      <c r="C307" s="329"/>
      <c r="D307" s="328"/>
      <c r="S307" s="6"/>
      <c r="U307" s="320">
        <v>240</v>
      </c>
      <c r="V307" s="329"/>
      <c r="W307" s="328"/>
      <c r="AL307" s="6"/>
      <c r="AN307" s="320">
        <v>240</v>
      </c>
      <c r="AO307" s="329"/>
      <c r="AP307" s="328"/>
      <c r="BE307" s="6"/>
      <c r="BG307" s="320">
        <v>240</v>
      </c>
      <c r="BH307" s="329"/>
      <c r="BI307" s="328"/>
      <c r="BX307" s="6"/>
      <c r="BZ307" s="320">
        <v>240</v>
      </c>
      <c r="CA307" s="329"/>
      <c r="CB307" s="328"/>
      <c r="CQ307" s="6"/>
    </row>
    <row r="308" spans="2:95">
      <c r="B308" s="320">
        <v>241</v>
      </c>
      <c r="C308" s="329"/>
      <c r="D308" s="328"/>
      <c r="S308" s="6"/>
      <c r="U308" s="320">
        <v>241</v>
      </c>
      <c r="V308" s="329"/>
      <c r="W308" s="328"/>
      <c r="AL308" s="6"/>
      <c r="AN308" s="320">
        <v>241</v>
      </c>
      <c r="AO308" s="329"/>
      <c r="AP308" s="328"/>
      <c r="BE308" s="6"/>
      <c r="BG308" s="320">
        <v>241</v>
      </c>
      <c r="BH308" s="329"/>
      <c r="BI308" s="328"/>
      <c r="BX308" s="6"/>
      <c r="BZ308" s="320">
        <v>241</v>
      </c>
      <c r="CA308" s="329"/>
      <c r="CB308" s="328"/>
      <c r="CQ308" s="6"/>
    </row>
    <row r="309" spans="2:95">
      <c r="B309" s="320">
        <v>242</v>
      </c>
      <c r="C309" s="329"/>
      <c r="D309" s="328"/>
      <c r="S309" s="6"/>
      <c r="U309" s="320">
        <v>242</v>
      </c>
      <c r="V309" s="329"/>
      <c r="W309" s="328"/>
      <c r="AL309" s="6"/>
      <c r="AN309" s="320">
        <v>242</v>
      </c>
      <c r="AO309" s="329"/>
      <c r="AP309" s="328"/>
      <c r="BE309" s="6"/>
      <c r="BG309" s="320">
        <v>242</v>
      </c>
      <c r="BH309" s="329"/>
      <c r="BI309" s="328"/>
      <c r="BX309" s="6"/>
      <c r="BZ309" s="320">
        <v>242</v>
      </c>
      <c r="CA309" s="329"/>
      <c r="CB309" s="328"/>
      <c r="CQ309" s="6"/>
    </row>
    <row r="310" spans="2:95">
      <c r="B310" s="320">
        <v>243</v>
      </c>
      <c r="C310" s="329"/>
      <c r="D310" s="328"/>
      <c r="S310" s="6"/>
      <c r="U310" s="320">
        <v>243</v>
      </c>
      <c r="V310" s="329"/>
      <c r="W310" s="328"/>
      <c r="AL310" s="6"/>
      <c r="AN310" s="320">
        <v>243</v>
      </c>
      <c r="AO310" s="329"/>
      <c r="AP310" s="328"/>
      <c r="BE310" s="6"/>
      <c r="BG310" s="320">
        <v>243</v>
      </c>
      <c r="BH310" s="329"/>
      <c r="BI310" s="328"/>
      <c r="BX310" s="6"/>
      <c r="BZ310" s="320">
        <v>243</v>
      </c>
      <c r="CA310" s="329"/>
      <c r="CB310" s="328"/>
      <c r="CQ310" s="6"/>
    </row>
    <row r="311" spans="2:95">
      <c r="B311" s="320">
        <v>244</v>
      </c>
      <c r="C311" s="329"/>
      <c r="D311" s="328"/>
      <c r="S311" s="6"/>
      <c r="U311" s="320">
        <v>244</v>
      </c>
      <c r="V311" s="329"/>
      <c r="W311" s="328"/>
      <c r="AL311" s="6"/>
      <c r="AN311" s="320">
        <v>244</v>
      </c>
      <c r="AO311" s="329"/>
      <c r="AP311" s="328"/>
      <c r="BE311" s="6"/>
      <c r="BG311" s="320">
        <v>244</v>
      </c>
      <c r="BH311" s="329"/>
      <c r="BI311" s="328"/>
      <c r="BX311" s="6"/>
      <c r="BZ311" s="320">
        <v>244</v>
      </c>
      <c r="CA311" s="329"/>
      <c r="CB311" s="328"/>
      <c r="CQ311" s="6"/>
    </row>
    <row r="312" spans="2:95">
      <c r="B312" s="320">
        <v>245</v>
      </c>
      <c r="C312" s="329"/>
      <c r="D312" s="328"/>
      <c r="S312" s="6"/>
      <c r="U312" s="320">
        <v>245</v>
      </c>
      <c r="V312" s="329"/>
      <c r="W312" s="328"/>
      <c r="AL312" s="6"/>
      <c r="AN312" s="320">
        <v>245</v>
      </c>
      <c r="AO312" s="329"/>
      <c r="AP312" s="328"/>
      <c r="BE312" s="6"/>
      <c r="BG312" s="320">
        <v>245</v>
      </c>
      <c r="BH312" s="329"/>
      <c r="BI312" s="328"/>
      <c r="BX312" s="6"/>
      <c r="BZ312" s="320">
        <v>245</v>
      </c>
      <c r="CA312" s="329"/>
      <c r="CB312" s="328"/>
      <c r="CQ312" s="6"/>
    </row>
    <row r="313" spans="2:95">
      <c r="B313" s="320">
        <v>246</v>
      </c>
      <c r="C313" s="329"/>
      <c r="D313" s="328"/>
      <c r="S313" s="6"/>
      <c r="U313" s="320">
        <v>246</v>
      </c>
      <c r="V313" s="329"/>
      <c r="W313" s="328"/>
      <c r="AL313" s="6"/>
      <c r="AN313" s="320">
        <v>246</v>
      </c>
      <c r="AO313" s="329"/>
      <c r="AP313" s="328"/>
      <c r="BE313" s="6"/>
      <c r="BG313" s="320">
        <v>246</v>
      </c>
      <c r="BH313" s="329"/>
      <c r="BI313" s="328"/>
      <c r="BX313" s="6"/>
      <c r="BZ313" s="320">
        <v>246</v>
      </c>
      <c r="CA313" s="329"/>
      <c r="CB313" s="328"/>
      <c r="CQ313" s="6"/>
    </row>
    <row r="314" spans="2:95">
      <c r="B314" s="320">
        <v>247</v>
      </c>
      <c r="C314" s="329"/>
      <c r="D314" s="328"/>
      <c r="S314" s="6"/>
      <c r="U314" s="320">
        <v>247</v>
      </c>
      <c r="V314" s="329"/>
      <c r="W314" s="328"/>
      <c r="AL314" s="6"/>
      <c r="AN314" s="320">
        <v>247</v>
      </c>
      <c r="AO314" s="329"/>
      <c r="AP314" s="328"/>
      <c r="BE314" s="6"/>
      <c r="BG314" s="320">
        <v>247</v>
      </c>
      <c r="BH314" s="329"/>
      <c r="BI314" s="328"/>
      <c r="BX314" s="6"/>
      <c r="BZ314" s="320">
        <v>247</v>
      </c>
      <c r="CA314" s="329"/>
      <c r="CB314" s="328"/>
      <c r="CQ314" s="6"/>
    </row>
    <row r="315" spans="2:95">
      <c r="B315" s="320">
        <v>248</v>
      </c>
      <c r="C315" s="329"/>
      <c r="D315" s="328"/>
      <c r="S315" s="6"/>
      <c r="U315" s="320">
        <v>248</v>
      </c>
      <c r="V315" s="329"/>
      <c r="W315" s="328"/>
      <c r="AL315" s="6"/>
      <c r="AN315" s="320">
        <v>248</v>
      </c>
      <c r="AO315" s="329"/>
      <c r="AP315" s="328"/>
      <c r="BE315" s="6"/>
      <c r="BG315" s="320">
        <v>248</v>
      </c>
      <c r="BH315" s="329"/>
      <c r="BI315" s="328"/>
      <c r="BX315" s="6"/>
      <c r="BZ315" s="320">
        <v>248</v>
      </c>
      <c r="CA315" s="329"/>
      <c r="CB315" s="328"/>
      <c r="CQ315" s="6"/>
    </row>
    <row r="316" spans="2:95">
      <c r="B316" s="320">
        <v>249</v>
      </c>
      <c r="C316" s="329"/>
      <c r="D316" s="328"/>
      <c r="S316" s="6"/>
      <c r="U316" s="320">
        <v>249</v>
      </c>
      <c r="V316" s="329"/>
      <c r="W316" s="328"/>
      <c r="AL316" s="6"/>
      <c r="AN316" s="320">
        <v>249</v>
      </c>
      <c r="AO316" s="329"/>
      <c r="AP316" s="328"/>
      <c r="BE316" s="6"/>
      <c r="BG316" s="320">
        <v>249</v>
      </c>
      <c r="BH316" s="329"/>
      <c r="BI316" s="328"/>
      <c r="BX316" s="6"/>
      <c r="BZ316" s="320">
        <v>249</v>
      </c>
      <c r="CA316" s="329"/>
      <c r="CB316" s="328"/>
      <c r="CQ316" s="6"/>
    </row>
    <row r="317" spans="2:95">
      <c r="B317" s="320">
        <v>250</v>
      </c>
      <c r="C317" s="329"/>
      <c r="D317" s="328"/>
      <c r="S317" s="6"/>
      <c r="U317" s="320">
        <v>250</v>
      </c>
      <c r="V317" s="329"/>
      <c r="W317" s="328"/>
      <c r="AL317" s="6"/>
      <c r="AN317" s="320">
        <v>250</v>
      </c>
      <c r="AO317" s="329"/>
      <c r="AP317" s="328"/>
      <c r="BE317" s="6"/>
      <c r="BG317" s="320">
        <v>250</v>
      </c>
      <c r="BH317" s="329"/>
      <c r="BI317" s="328"/>
      <c r="BX317" s="6"/>
      <c r="BZ317" s="320">
        <v>250</v>
      </c>
      <c r="CA317" s="329"/>
      <c r="CB317" s="328"/>
      <c r="CQ317" s="6"/>
    </row>
    <row r="318" spans="2:95">
      <c r="B318" s="320">
        <v>251</v>
      </c>
      <c r="C318" s="329"/>
      <c r="D318" s="328"/>
      <c r="S318" s="6"/>
      <c r="U318" s="320">
        <v>251</v>
      </c>
      <c r="V318" s="329"/>
      <c r="W318" s="328"/>
      <c r="AL318" s="6"/>
      <c r="AN318" s="320">
        <v>251</v>
      </c>
      <c r="AO318" s="329"/>
      <c r="AP318" s="328"/>
      <c r="BE318" s="6"/>
      <c r="BG318" s="320">
        <v>251</v>
      </c>
      <c r="BH318" s="329"/>
      <c r="BI318" s="328"/>
      <c r="BX318" s="6"/>
      <c r="BZ318" s="320">
        <v>251</v>
      </c>
      <c r="CA318" s="329"/>
      <c r="CB318" s="328"/>
      <c r="CQ318" s="6"/>
    </row>
    <row r="319" spans="2:95">
      <c r="B319" s="320">
        <v>252</v>
      </c>
      <c r="C319" s="329"/>
      <c r="D319" s="328"/>
      <c r="S319" s="6"/>
      <c r="U319" s="320">
        <v>252</v>
      </c>
      <c r="V319" s="329"/>
      <c r="W319" s="328"/>
      <c r="AL319" s="6"/>
      <c r="AN319" s="320">
        <v>252</v>
      </c>
      <c r="AO319" s="329"/>
      <c r="AP319" s="328"/>
      <c r="BE319" s="6"/>
      <c r="BG319" s="320">
        <v>252</v>
      </c>
      <c r="BH319" s="329"/>
      <c r="BI319" s="328"/>
      <c r="BX319" s="6"/>
      <c r="BZ319" s="320">
        <v>252</v>
      </c>
      <c r="CA319" s="329"/>
      <c r="CB319" s="328"/>
      <c r="CQ319" s="6"/>
    </row>
    <row r="320" spans="2:95">
      <c r="B320" s="320">
        <v>253</v>
      </c>
      <c r="C320" s="329"/>
      <c r="D320" s="328"/>
      <c r="S320" s="6"/>
      <c r="U320" s="320">
        <v>253</v>
      </c>
      <c r="V320" s="329"/>
      <c r="W320" s="328"/>
      <c r="AL320" s="6"/>
      <c r="AN320" s="320">
        <v>253</v>
      </c>
      <c r="AO320" s="329"/>
      <c r="AP320" s="328"/>
      <c r="BE320" s="6"/>
      <c r="BG320" s="320">
        <v>253</v>
      </c>
      <c r="BH320" s="329"/>
      <c r="BI320" s="328"/>
      <c r="BX320" s="6"/>
      <c r="BZ320" s="320">
        <v>253</v>
      </c>
      <c r="CA320" s="329"/>
      <c r="CB320" s="328"/>
      <c r="CQ320" s="6"/>
    </row>
    <row r="321" spans="2:95">
      <c r="B321" s="320">
        <v>254</v>
      </c>
      <c r="C321" s="329"/>
      <c r="D321" s="328"/>
      <c r="S321" s="6"/>
      <c r="U321" s="320">
        <v>254</v>
      </c>
      <c r="V321" s="329"/>
      <c r="W321" s="328"/>
      <c r="AL321" s="6"/>
      <c r="AN321" s="320">
        <v>254</v>
      </c>
      <c r="AO321" s="329"/>
      <c r="AP321" s="328"/>
      <c r="BE321" s="6"/>
      <c r="BG321" s="320">
        <v>254</v>
      </c>
      <c r="BH321" s="329"/>
      <c r="BI321" s="328"/>
      <c r="BX321" s="6"/>
      <c r="BZ321" s="320">
        <v>254</v>
      </c>
      <c r="CA321" s="329"/>
      <c r="CB321" s="328"/>
      <c r="CQ321" s="6"/>
    </row>
    <row r="322" spans="2:95">
      <c r="B322" s="320">
        <v>255</v>
      </c>
      <c r="C322" s="329"/>
      <c r="D322" s="328"/>
      <c r="S322" s="6"/>
      <c r="U322" s="320">
        <v>255</v>
      </c>
      <c r="V322" s="329"/>
      <c r="W322" s="328"/>
      <c r="AL322" s="6"/>
      <c r="AN322" s="320">
        <v>255</v>
      </c>
      <c r="AO322" s="329"/>
      <c r="AP322" s="328"/>
      <c r="BE322" s="6"/>
      <c r="BG322" s="320">
        <v>255</v>
      </c>
      <c r="BH322" s="329"/>
      <c r="BI322" s="328"/>
      <c r="BX322" s="6"/>
      <c r="BZ322" s="320">
        <v>255</v>
      </c>
      <c r="CA322" s="329"/>
      <c r="CB322" s="328"/>
      <c r="CQ322" s="6"/>
    </row>
    <row r="323" spans="2:95">
      <c r="B323" s="320">
        <v>256</v>
      </c>
      <c r="C323" s="329"/>
      <c r="D323" s="328"/>
      <c r="S323" s="6"/>
      <c r="U323" s="320">
        <v>256</v>
      </c>
      <c r="V323" s="329"/>
      <c r="W323" s="328"/>
      <c r="AL323" s="6"/>
      <c r="AN323" s="320">
        <v>256</v>
      </c>
      <c r="AO323" s="329"/>
      <c r="AP323" s="328"/>
      <c r="BE323" s="6"/>
      <c r="BG323" s="320">
        <v>256</v>
      </c>
      <c r="BH323" s="329"/>
      <c r="BI323" s="328"/>
      <c r="BX323" s="6"/>
      <c r="BZ323" s="320">
        <v>256</v>
      </c>
      <c r="CA323" s="329"/>
      <c r="CB323" s="328"/>
      <c r="CQ323" s="6"/>
    </row>
    <row r="324" spans="2:95">
      <c r="B324" s="320">
        <v>257</v>
      </c>
      <c r="C324" s="329"/>
      <c r="D324" s="328"/>
      <c r="S324" s="6"/>
      <c r="U324" s="320">
        <v>257</v>
      </c>
      <c r="V324" s="329"/>
      <c r="W324" s="328"/>
      <c r="AL324" s="6"/>
      <c r="AN324" s="320">
        <v>257</v>
      </c>
      <c r="AO324" s="329"/>
      <c r="AP324" s="328"/>
      <c r="BE324" s="6"/>
      <c r="BG324" s="320">
        <v>257</v>
      </c>
      <c r="BH324" s="329"/>
      <c r="BI324" s="328"/>
      <c r="BX324" s="6"/>
      <c r="BZ324" s="320">
        <v>257</v>
      </c>
      <c r="CA324" s="329"/>
      <c r="CB324" s="328"/>
      <c r="CQ324" s="6"/>
    </row>
    <row r="325" spans="2:95">
      <c r="B325" s="320">
        <v>258</v>
      </c>
      <c r="C325" s="329"/>
      <c r="D325" s="328"/>
      <c r="S325" s="6"/>
      <c r="U325" s="320">
        <v>258</v>
      </c>
      <c r="V325" s="329"/>
      <c r="W325" s="328"/>
      <c r="AL325" s="6"/>
      <c r="AN325" s="320">
        <v>258</v>
      </c>
      <c r="AO325" s="329"/>
      <c r="AP325" s="328"/>
      <c r="BE325" s="6"/>
      <c r="BG325" s="320">
        <v>258</v>
      </c>
      <c r="BH325" s="329"/>
      <c r="BI325" s="328"/>
      <c r="BX325" s="6"/>
      <c r="BZ325" s="320">
        <v>258</v>
      </c>
      <c r="CA325" s="329"/>
      <c r="CB325" s="328"/>
      <c r="CQ325" s="6"/>
    </row>
    <row r="326" spans="2:95">
      <c r="B326" s="320">
        <v>259</v>
      </c>
      <c r="C326" s="329"/>
      <c r="D326" s="328"/>
      <c r="S326" s="6"/>
      <c r="U326" s="320">
        <v>259</v>
      </c>
      <c r="V326" s="329"/>
      <c r="W326" s="328"/>
      <c r="AL326" s="6"/>
      <c r="AN326" s="320">
        <v>259</v>
      </c>
      <c r="AO326" s="329"/>
      <c r="AP326" s="328"/>
      <c r="BE326" s="6"/>
      <c r="BG326" s="320">
        <v>259</v>
      </c>
      <c r="BH326" s="329"/>
      <c r="BI326" s="328"/>
      <c r="BX326" s="6"/>
      <c r="BZ326" s="320">
        <v>259</v>
      </c>
      <c r="CA326" s="329"/>
      <c r="CB326" s="328"/>
      <c r="CQ326" s="6"/>
    </row>
    <row r="327" spans="2:95">
      <c r="B327" s="320">
        <v>260</v>
      </c>
      <c r="C327" s="329"/>
      <c r="D327" s="328"/>
      <c r="S327" s="6"/>
      <c r="U327" s="320">
        <v>260</v>
      </c>
      <c r="V327" s="329"/>
      <c r="W327" s="328"/>
      <c r="AL327" s="6"/>
      <c r="AN327" s="320">
        <v>260</v>
      </c>
      <c r="AO327" s="329"/>
      <c r="AP327" s="328"/>
      <c r="BE327" s="6"/>
      <c r="BG327" s="320">
        <v>260</v>
      </c>
      <c r="BH327" s="329"/>
      <c r="BI327" s="328"/>
      <c r="BX327" s="6"/>
      <c r="BZ327" s="320">
        <v>260</v>
      </c>
      <c r="CA327" s="329"/>
      <c r="CB327" s="328"/>
      <c r="CQ327" s="6"/>
    </row>
    <row r="328" spans="2:95">
      <c r="B328" s="320">
        <v>261</v>
      </c>
      <c r="C328" s="329"/>
      <c r="D328" s="328"/>
      <c r="S328" s="6"/>
      <c r="U328" s="320">
        <v>261</v>
      </c>
      <c r="V328" s="329"/>
      <c r="W328" s="328"/>
      <c r="AL328" s="6"/>
      <c r="AN328" s="320">
        <v>261</v>
      </c>
      <c r="AO328" s="329"/>
      <c r="AP328" s="328"/>
      <c r="BE328" s="6"/>
      <c r="BG328" s="320">
        <v>261</v>
      </c>
      <c r="BH328" s="329"/>
      <c r="BI328" s="328"/>
      <c r="BX328" s="6"/>
      <c r="BZ328" s="320">
        <v>261</v>
      </c>
      <c r="CA328" s="329"/>
      <c r="CB328" s="328"/>
      <c r="CQ328" s="6"/>
    </row>
    <row r="329" spans="2:95">
      <c r="B329" s="320">
        <v>262</v>
      </c>
      <c r="C329" s="329"/>
      <c r="D329" s="328"/>
      <c r="S329" s="6"/>
      <c r="U329" s="320">
        <v>262</v>
      </c>
      <c r="V329" s="329"/>
      <c r="W329" s="328"/>
      <c r="AL329" s="6"/>
      <c r="AN329" s="320">
        <v>262</v>
      </c>
      <c r="AO329" s="329"/>
      <c r="AP329" s="328"/>
      <c r="BE329" s="6"/>
      <c r="BG329" s="320">
        <v>262</v>
      </c>
      <c r="BH329" s="329"/>
      <c r="BI329" s="328"/>
      <c r="BX329" s="6"/>
      <c r="BZ329" s="320">
        <v>262</v>
      </c>
      <c r="CA329" s="329"/>
      <c r="CB329" s="328"/>
      <c r="CQ329" s="6"/>
    </row>
    <row r="330" spans="2:95">
      <c r="B330" s="320">
        <v>263</v>
      </c>
      <c r="C330" s="329"/>
      <c r="D330" s="328"/>
      <c r="S330" s="6"/>
      <c r="U330" s="320">
        <v>263</v>
      </c>
      <c r="V330" s="329"/>
      <c r="W330" s="328"/>
      <c r="AL330" s="6"/>
      <c r="AN330" s="320">
        <v>263</v>
      </c>
      <c r="AO330" s="329"/>
      <c r="AP330" s="328"/>
      <c r="BE330" s="6"/>
      <c r="BG330" s="320">
        <v>263</v>
      </c>
      <c r="BH330" s="329"/>
      <c r="BI330" s="328"/>
      <c r="BX330" s="6"/>
      <c r="BZ330" s="320">
        <v>263</v>
      </c>
      <c r="CA330" s="329"/>
      <c r="CB330" s="328"/>
      <c r="CQ330" s="6"/>
    </row>
    <row r="331" spans="2:95">
      <c r="B331" s="320">
        <v>264</v>
      </c>
      <c r="C331" s="329"/>
      <c r="D331" s="328"/>
      <c r="S331" s="6"/>
      <c r="U331" s="320">
        <v>264</v>
      </c>
      <c r="V331" s="329"/>
      <c r="W331" s="328"/>
      <c r="AL331" s="6"/>
      <c r="AN331" s="320">
        <v>264</v>
      </c>
      <c r="AO331" s="329"/>
      <c r="AP331" s="328"/>
      <c r="BE331" s="6"/>
      <c r="BG331" s="320">
        <v>264</v>
      </c>
      <c r="BH331" s="329"/>
      <c r="BI331" s="328"/>
      <c r="BX331" s="6"/>
      <c r="BZ331" s="320">
        <v>264</v>
      </c>
      <c r="CA331" s="329"/>
      <c r="CB331" s="328"/>
      <c r="CQ331" s="6"/>
    </row>
    <row r="332" spans="2:95">
      <c r="B332" s="320">
        <v>265</v>
      </c>
      <c r="C332" s="329"/>
      <c r="D332" s="328"/>
      <c r="S332" s="6"/>
      <c r="U332" s="320">
        <v>265</v>
      </c>
      <c r="V332" s="329"/>
      <c r="W332" s="328"/>
      <c r="AL332" s="6"/>
      <c r="AN332" s="320">
        <v>265</v>
      </c>
      <c r="AO332" s="329"/>
      <c r="AP332" s="328"/>
      <c r="BE332" s="6"/>
      <c r="BG332" s="320">
        <v>265</v>
      </c>
      <c r="BH332" s="329"/>
      <c r="BI332" s="328"/>
      <c r="BX332" s="6"/>
      <c r="BZ332" s="320">
        <v>265</v>
      </c>
      <c r="CA332" s="329"/>
      <c r="CB332" s="328"/>
      <c r="CQ332" s="6"/>
    </row>
    <row r="333" spans="2:95">
      <c r="B333" s="320">
        <v>266</v>
      </c>
      <c r="C333" s="329"/>
      <c r="D333" s="328"/>
      <c r="S333" s="6"/>
      <c r="U333" s="320">
        <v>266</v>
      </c>
      <c r="V333" s="329"/>
      <c r="W333" s="328"/>
      <c r="AL333" s="6"/>
      <c r="AN333" s="320">
        <v>266</v>
      </c>
      <c r="AO333" s="329"/>
      <c r="AP333" s="328"/>
      <c r="BE333" s="6"/>
      <c r="BG333" s="320">
        <v>266</v>
      </c>
      <c r="BH333" s="329"/>
      <c r="BI333" s="328"/>
      <c r="BX333" s="6"/>
      <c r="BZ333" s="320">
        <v>266</v>
      </c>
      <c r="CA333" s="329"/>
      <c r="CB333" s="328"/>
      <c r="CQ333" s="6"/>
    </row>
    <row r="334" spans="2:95">
      <c r="B334" s="320">
        <v>267</v>
      </c>
      <c r="C334" s="329"/>
      <c r="D334" s="328"/>
      <c r="S334" s="6"/>
      <c r="U334" s="320">
        <v>267</v>
      </c>
      <c r="V334" s="329"/>
      <c r="W334" s="328"/>
      <c r="AL334" s="6"/>
      <c r="AN334" s="320">
        <v>267</v>
      </c>
      <c r="AO334" s="329"/>
      <c r="AP334" s="328"/>
      <c r="BE334" s="6"/>
      <c r="BG334" s="320">
        <v>267</v>
      </c>
      <c r="BH334" s="329"/>
      <c r="BI334" s="328"/>
      <c r="BX334" s="6"/>
      <c r="BZ334" s="320">
        <v>267</v>
      </c>
      <c r="CA334" s="329"/>
      <c r="CB334" s="328"/>
      <c r="CQ334" s="6"/>
    </row>
    <row r="335" spans="2:95">
      <c r="B335" s="320">
        <v>268</v>
      </c>
      <c r="C335" s="329"/>
      <c r="D335" s="328"/>
      <c r="S335" s="6"/>
      <c r="U335" s="320">
        <v>268</v>
      </c>
      <c r="V335" s="329"/>
      <c r="W335" s="328"/>
      <c r="AL335" s="6"/>
      <c r="AN335" s="320">
        <v>268</v>
      </c>
      <c r="AO335" s="329"/>
      <c r="AP335" s="328"/>
      <c r="BE335" s="6"/>
      <c r="BG335" s="320">
        <v>268</v>
      </c>
      <c r="BH335" s="329"/>
      <c r="BI335" s="328"/>
      <c r="BX335" s="6"/>
      <c r="BZ335" s="320">
        <v>268</v>
      </c>
      <c r="CA335" s="329"/>
      <c r="CB335" s="328"/>
      <c r="CQ335" s="6"/>
    </row>
    <row r="336" spans="2:95">
      <c r="B336" s="320">
        <v>269</v>
      </c>
      <c r="C336" s="329"/>
      <c r="D336" s="328"/>
      <c r="S336" s="6"/>
      <c r="U336" s="320">
        <v>269</v>
      </c>
      <c r="V336" s="329"/>
      <c r="W336" s="328"/>
      <c r="AL336" s="6"/>
      <c r="AN336" s="320">
        <v>269</v>
      </c>
      <c r="AO336" s="329"/>
      <c r="AP336" s="328"/>
      <c r="BE336" s="6"/>
      <c r="BG336" s="320">
        <v>269</v>
      </c>
      <c r="BH336" s="329"/>
      <c r="BI336" s="328"/>
      <c r="BX336" s="6"/>
      <c r="BZ336" s="320">
        <v>269</v>
      </c>
      <c r="CA336" s="329"/>
      <c r="CB336" s="328"/>
      <c r="CQ336" s="6"/>
    </row>
    <row r="337" spans="2:95">
      <c r="B337" s="320">
        <v>270</v>
      </c>
      <c r="C337" s="329"/>
      <c r="D337" s="328"/>
      <c r="S337" s="6"/>
      <c r="U337" s="320">
        <v>270</v>
      </c>
      <c r="V337" s="329"/>
      <c r="W337" s="328"/>
      <c r="AL337" s="6"/>
      <c r="AN337" s="320">
        <v>270</v>
      </c>
      <c r="AO337" s="329"/>
      <c r="AP337" s="328"/>
      <c r="BE337" s="6"/>
      <c r="BG337" s="320">
        <v>270</v>
      </c>
      <c r="BH337" s="329"/>
      <c r="BI337" s="328"/>
      <c r="BX337" s="6"/>
      <c r="BZ337" s="320">
        <v>270</v>
      </c>
      <c r="CA337" s="329"/>
      <c r="CB337" s="328"/>
      <c r="CQ337" s="6"/>
    </row>
    <row r="338" spans="2:95">
      <c r="B338" s="320">
        <v>271</v>
      </c>
      <c r="C338" s="329"/>
      <c r="D338" s="328"/>
      <c r="S338" s="6"/>
      <c r="U338" s="320">
        <v>271</v>
      </c>
      <c r="V338" s="329"/>
      <c r="W338" s="328"/>
      <c r="AL338" s="6"/>
      <c r="AN338" s="320">
        <v>271</v>
      </c>
      <c r="AO338" s="329"/>
      <c r="AP338" s="328"/>
      <c r="BE338" s="6"/>
      <c r="BG338" s="320">
        <v>271</v>
      </c>
      <c r="BH338" s="329"/>
      <c r="BI338" s="328"/>
      <c r="BX338" s="6"/>
      <c r="BZ338" s="320">
        <v>271</v>
      </c>
      <c r="CA338" s="329"/>
      <c r="CB338" s="328"/>
      <c r="CQ338" s="6"/>
    </row>
    <row r="339" spans="2:95">
      <c r="B339" s="320">
        <v>272</v>
      </c>
      <c r="C339" s="329"/>
      <c r="D339" s="328"/>
      <c r="S339" s="6"/>
      <c r="U339" s="320">
        <v>272</v>
      </c>
      <c r="V339" s="329"/>
      <c r="W339" s="328"/>
      <c r="AL339" s="6"/>
      <c r="AN339" s="320">
        <v>272</v>
      </c>
      <c r="AO339" s="329"/>
      <c r="AP339" s="328"/>
      <c r="BE339" s="6"/>
      <c r="BG339" s="320">
        <v>272</v>
      </c>
      <c r="BH339" s="329"/>
      <c r="BI339" s="328"/>
      <c r="BX339" s="6"/>
      <c r="BZ339" s="320">
        <v>272</v>
      </c>
      <c r="CA339" s="329"/>
      <c r="CB339" s="328"/>
      <c r="CQ339" s="6"/>
    </row>
    <row r="340" spans="2:95">
      <c r="B340" s="320">
        <v>273</v>
      </c>
      <c r="C340" s="329"/>
      <c r="D340" s="328"/>
      <c r="S340" s="6"/>
      <c r="U340" s="320">
        <v>273</v>
      </c>
      <c r="V340" s="329"/>
      <c r="W340" s="328"/>
      <c r="AL340" s="6"/>
      <c r="AN340" s="320">
        <v>273</v>
      </c>
      <c r="AO340" s="329"/>
      <c r="AP340" s="328"/>
      <c r="BE340" s="6"/>
      <c r="BG340" s="320">
        <v>273</v>
      </c>
      <c r="BH340" s="329"/>
      <c r="BI340" s="328"/>
      <c r="BX340" s="6"/>
      <c r="BZ340" s="320">
        <v>273</v>
      </c>
      <c r="CA340" s="329"/>
      <c r="CB340" s="328"/>
      <c r="CQ340" s="6"/>
    </row>
    <row r="341" spans="2:95">
      <c r="B341" s="320">
        <v>274</v>
      </c>
      <c r="C341" s="329"/>
      <c r="D341" s="328"/>
      <c r="S341" s="6"/>
      <c r="U341" s="320">
        <v>274</v>
      </c>
      <c r="V341" s="329"/>
      <c r="W341" s="328"/>
      <c r="AL341" s="6"/>
      <c r="AN341" s="320">
        <v>274</v>
      </c>
      <c r="AO341" s="329"/>
      <c r="AP341" s="328"/>
      <c r="BE341" s="6"/>
      <c r="BG341" s="320">
        <v>274</v>
      </c>
      <c r="BH341" s="329"/>
      <c r="BI341" s="328"/>
      <c r="BX341" s="6"/>
      <c r="BZ341" s="320">
        <v>274</v>
      </c>
      <c r="CA341" s="329"/>
      <c r="CB341" s="328"/>
      <c r="CQ341" s="6"/>
    </row>
    <row r="342" spans="2:95">
      <c r="B342" s="320">
        <v>275</v>
      </c>
      <c r="C342" s="329"/>
      <c r="D342" s="328"/>
      <c r="S342" s="6"/>
      <c r="U342" s="320">
        <v>275</v>
      </c>
      <c r="V342" s="329"/>
      <c r="W342" s="328"/>
      <c r="AL342" s="6"/>
      <c r="AN342" s="320">
        <v>275</v>
      </c>
      <c r="AO342" s="329"/>
      <c r="AP342" s="328"/>
      <c r="BE342" s="6"/>
      <c r="BG342" s="320">
        <v>275</v>
      </c>
      <c r="BH342" s="329"/>
      <c r="BI342" s="328"/>
      <c r="BX342" s="6"/>
      <c r="BZ342" s="320">
        <v>275</v>
      </c>
      <c r="CA342" s="329"/>
      <c r="CB342" s="328"/>
      <c r="CQ342" s="6"/>
    </row>
    <row r="343" spans="2:95">
      <c r="B343" s="320">
        <v>276</v>
      </c>
      <c r="C343" s="329"/>
      <c r="D343" s="328"/>
      <c r="S343" s="6"/>
      <c r="U343" s="320">
        <v>276</v>
      </c>
      <c r="V343" s="329"/>
      <c r="W343" s="328"/>
      <c r="AL343" s="6"/>
      <c r="AN343" s="320">
        <v>276</v>
      </c>
      <c r="AO343" s="329"/>
      <c r="AP343" s="328"/>
      <c r="BE343" s="6"/>
      <c r="BG343" s="320">
        <v>276</v>
      </c>
      <c r="BH343" s="329"/>
      <c r="BI343" s="328"/>
      <c r="BX343" s="6"/>
      <c r="BZ343" s="320">
        <v>276</v>
      </c>
      <c r="CA343" s="329"/>
      <c r="CB343" s="328"/>
      <c r="CQ343" s="6"/>
    </row>
    <row r="344" spans="2:95">
      <c r="B344" s="320">
        <v>277</v>
      </c>
      <c r="C344" s="329"/>
      <c r="D344" s="328"/>
      <c r="S344" s="6"/>
      <c r="U344" s="320">
        <v>277</v>
      </c>
      <c r="V344" s="329"/>
      <c r="W344" s="328"/>
      <c r="AL344" s="6"/>
      <c r="AN344" s="320">
        <v>277</v>
      </c>
      <c r="AO344" s="329"/>
      <c r="AP344" s="328"/>
      <c r="BE344" s="6"/>
      <c r="BG344" s="320">
        <v>277</v>
      </c>
      <c r="BH344" s="329"/>
      <c r="BI344" s="328"/>
      <c r="BX344" s="6"/>
      <c r="BZ344" s="320">
        <v>277</v>
      </c>
      <c r="CA344" s="329"/>
      <c r="CB344" s="328"/>
      <c r="CQ344" s="6"/>
    </row>
    <row r="345" spans="2:95">
      <c r="B345" s="320">
        <v>278</v>
      </c>
      <c r="C345" s="329"/>
      <c r="D345" s="328"/>
      <c r="S345" s="6"/>
      <c r="U345" s="320">
        <v>278</v>
      </c>
      <c r="V345" s="329"/>
      <c r="W345" s="328"/>
      <c r="AL345" s="6"/>
      <c r="AN345" s="320">
        <v>278</v>
      </c>
      <c r="AO345" s="329"/>
      <c r="AP345" s="328"/>
      <c r="BE345" s="6"/>
      <c r="BG345" s="320">
        <v>278</v>
      </c>
      <c r="BH345" s="329"/>
      <c r="BI345" s="328"/>
      <c r="BX345" s="6"/>
      <c r="BZ345" s="320">
        <v>278</v>
      </c>
      <c r="CA345" s="329"/>
      <c r="CB345" s="328"/>
      <c r="CQ345" s="6"/>
    </row>
    <row r="346" spans="2:95">
      <c r="B346" s="320">
        <v>279</v>
      </c>
      <c r="C346" s="329"/>
      <c r="D346" s="328"/>
      <c r="S346" s="6"/>
      <c r="U346" s="320">
        <v>279</v>
      </c>
      <c r="V346" s="329"/>
      <c r="W346" s="328"/>
      <c r="AL346" s="6"/>
      <c r="AN346" s="320">
        <v>279</v>
      </c>
      <c r="AO346" s="329"/>
      <c r="AP346" s="328"/>
      <c r="BE346" s="6"/>
      <c r="BG346" s="320">
        <v>279</v>
      </c>
      <c r="BH346" s="329"/>
      <c r="BI346" s="328"/>
      <c r="BX346" s="6"/>
      <c r="BZ346" s="320">
        <v>279</v>
      </c>
      <c r="CA346" s="329"/>
      <c r="CB346" s="328"/>
      <c r="CQ346" s="6"/>
    </row>
    <row r="347" spans="2:95">
      <c r="B347" s="320">
        <v>280</v>
      </c>
      <c r="C347" s="329"/>
      <c r="D347" s="328"/>
      <c r="S347" s="6"/>
      <c r="U347" s="320">
        <v>280</v>
      </c>
      <c r="V347" s="329"/>
      <c r="W347" s="328"/>
      <c r="AL347" s="6"/>
      <c r="AN347" s="320">
        <v>280</v>
      </c>
      <c r="AO347" s="329"/>
      <c r="AP347" s="328"/>
      <c r="BE347" s="6"/>
      <c r="BG347" s="320">
        <v>280</v>
      </c>
      <c r="BH347" s="329"/>
      <c r="BI347" s="328"/>
      <c r="BX347" s="6"/>
      <c r="BZ347" s="320">
        <v>280</v>
      </c>
      <c r="CA347" s="329"/>
      <c r="CB347" s="328"/>
      <c r="CQ347" s="6"/>
    </row>
    <row r="348" spans="2:95">
      <c r="B348" s="320">
        <v>281</v>
      </c>
      <c r="C348" s="329"/>
      <c r="D348" s="328"/>
      <c r="S348" s="6"/>
      <c r="U348" s="320">
        <v>281</v>
      </c>
      <c r="V348" s="329"/>
      <c r="W348" s="328"/>
      <c r="AL348" s="6"/>
      <c r="AN348" s="320">
        <v>281</v>
      </c>
      <c r="AO348" s="329"/>
      <c r="AP348" s="328"/>
      <c r="BE348" s="6"/>
      <c r="BG348" s="320">
        <v>281</v>
      </c>
      <c r="BH348" s="329"/>
      <c r="BI348" s="328"/>
      <c r="BX348" s="6"/>
      <c r="BZ348" s="320">
        <v>281</v>
      </c>
      <c r="CA348" s="329"/>
      <c r="CB348" s="328"/>
      <c r="CQ348" s="6"/>
    </row>
    <row r="349" spans="2:95">
      <c r="B349" s="320">
        <v>282</v>
      </c>
      <c r="C349" s="329"/>
      <c r="D349" s="328"/>
      <c r="S349" s="6"/>
      <c r="U349" s="320">
        <v>282</v>
      </c>
      <c r="V349" s="329"/>
      <c r="W349" s="328"/>
      <c r="AL349" s="6"/>
      <c r="AN349" s="320">
        <v>282</v>
      </c>
      <c r="AO349" s="329"/>
      <c r="AP349" s="328"/>
      <c r="BE349" s="6"/>
      <c r="BG349" s="320">
        <v>282</v>
      </c>
      <c r="BH349" s="329"/>
      <c r="BI349" s="328"/>
      <c r="BX349" s="6"/>
      <c r="BZ349" s="320">
        <v>282</v>
      </c>
      <c r="CA349" s="329"/>
      <c r="CB349" s="328"/>
      <c r="CQ349" s="6"/>
    </row>
    <row r="350" spans="2:95">
      <c r="B350" s="320">
        <v>283</v>
      </c>
      <c r="C350" s="329"/>
      <c r="D350" s="328"/>
      <c r="S350" s="6"/>
      <c r="U350" s="320">
        <v>283</v>
      </c>
      <c r="V350" s="329"/>
      <c r="W350" s="328"/>
      <c r="AL350" s="6"/>
      <c r="AN350" s="320">
        <v>283</v>
      </c>
      <c r="AO350" s="329"/>
      <c r="AP350" s="328"/>
      <c r="BE350" s="6"/>
      <c r="BG350" s="320">
        <v>283</v>
      </c>
      <c r="BH350" s="329"/>
      <c r="BI350" s="328"/>
      <c r="BX350" s="6"/>
      <c r="BZ350" s="320">
        <v>283</v>
      </c>
      <c r="CA350" s="329"/>
      <c r="CB350" s="328"/>
      <c r="CQ350" s="6"/>
    </row>
    <row r="351" spans="2:95">
      <c r="B351" s="320">
        <v>284</v>
      </c>
      <c r="C351" s="329"/>
      <c r="D351" s="328"/>
      <c r="S351" s="6"/>
      <c r="U351" s="320">
        <v>284</v>
      </c>
      <c r="V351" s="329"/>
      <c r="W351" s="328"/>
      <c r="AL351" s="6"/>
      <c r="AN351" s="320">
        <v>284</v>
      </c>
      <c r="AO351" s="329"/>
      <c r="AP351" s="328"/>
      <c r="BE351" s="6"/>
      <c r="BG351" s="320">
        <v>284</v>
      </c>
      <c r="BH351" s="329"/>
      <c r="BI351" s="328"/>
      <c r="BX351" s="6"/>
      <c r="BZ351" s="320">
        <v>284</v>
      </c>
      <c r="CA351" s="329"/>
      <c r="CB351" s="328"/>
      <c r="CQ351" s="6"/>
    </row>
    <row r="352" spans="2:95">
      <c r="B352" s="320">
        <v>285</v>
      </c>
      <c r="C352" s="329"/>
      <c r="D352" s="328"/>
      <c r="S352" s="6"/>
      <c r="U352" s="320">
        <v>285</v>
      </c>
      <c r="V352" s="329"/>
      <c r="W352" s="328"/>
      <c r="AL352" s="6"/>
      <c r="AN352" s="320">
        <v>285</v>
      </c>
      <c r="AO352" s="329"/>
      <c r="AP352" s="328"/>
      <c r="BE352" s="6"/>
      <c r="BG352" s="320">
        <v>285</v>
      </c>
      <c r="BH352" s="329"/>
      <c r="BI352" s="328"/>
      <c r="BX352" s="6"/>
      <c r="BZ352" s="320">
        <v>285</v>
      </c>
      <c r="CA352" s="329"/>
      <c r="CB352" s="328"/>
      <c r="CQ352" s="6"/>
    </row>
    <row r="353" spans="1:95">
      <c r="B353" s="320">
        <v>286</v>
      </c>
      <c r="C353" s="329"/>
      <c r="D353" s="328"/>
      <c r="S353" s="6"/>
      <c r="U353" s="320">
        <v>286</v>
      </c>
      <c r="V353" s="329"/>
      <c r="W353" s="328"/>
      <c r="AL353" s="6"/>
      <c r="AN353" s="320">
        <v>286</v>
      </c>
      <c r="AO353" s="329"/>
      <c r="AP353" s="328"/>
      <c r="BE353" s="6"/>
      <c r="BG353" s="320">
        <v>286</v>
      </c>
      <c r="BH353" s="329"/>
      <c r="BI353" s="328"/>
      <c r="BX353" s="6"/>
      <c r="BZ353" s="320">
        <v>286</v>
      </c>
      <c r="CA353" s="329"/>
      <c r="CB353" s="328"/>
      <c r="CQ353" s="6"/>
    </row>
    <row r="354" spans="1:95">
      <c r="B354" s="320">
        <v>287</v>
      </c>
      <c r="C354" s="329"/>
      <c r="D354" s="328"/>
      <c r="S354" s="6"/>
      <c r="U354" s="320">
        <v>287</v>
      </c>
      <c r="V354" s="329"/>
      <c r="W354" s="328"/>
      <c r="AL354" s="6"/>
      <c r="AN354" s="320">
        <v>287</v>
      </c>
      <c r="AO354" s="329"/>
      <c r="AP354" s="328"/>
      <c r="BE354" s="6"/>
      <c r="BG354" s="320">
        <v>287</v>
      </c>
      <c r="BH354" s="329"/>
      <c r="BI354" s="328"/>
      <c r="BX354" s="6"/>
      <c r="BZ354" s="320">
        <v>287</v>
      </c>
      <c r="CA354" s="329"/>
      <c r="CB354" s="328"/>
      <c r="CQ354" s="6"/>
    </row>
    <row r="355" spans="1:95">
      <c r="B355" s="320">
        <v>288</v>
      </c>
      <c r="C355" s="329"/>
      <c r="D355" s="328"/>
      <c r="S355" s="6"/>
      <c r="U355" s="320">
        <v>288</v>
      </c>
      <c r="V355" s="329"/>
      <c r="W355" s="328"/>
      <c r="AL355" s="6"/>
      <c r="AN355" s="320">
        <v>288</v>
      </c>
      <c r="AO355" s="329"/>
      <c r="AP355" s="328"/>
      <c r="BE355" s="6"/>
      <c r="BG355" s="320">
        <v>288</v>
      </c>
      <c r="BH355" s="329"/>
      <c r="BI355" s="328"/>
      <c r="BX355" s="6"/>
      <c r="BZ355" s="320">
        <v>288</v>
      </c>
      <c r="CA355" s="329"/>
      <c r="CB355" s="328"/>
      <c r="CQ355" s="6"/>
    </row>
    <row r="356" spans="1:95">
      <c r="B356" s="320">
        <v>289</v>
      </c>
      <c r="C356" s="329"/>
      <c r="D356" s="328"/>
      <c r="S356" s="6"/>
      <c r="U356" s="320">
        <v>289</v>
      </c>
      <c r="V356" s="329"/>
      <c r="W356" s="328"/>
      <c r="AL356" s="6"/>
      <c r="AN356" s="320">
        <v>289</v>
      </c>
      <c r="AO356" s="329"/>
      <c r="AP356" s="328"/>
      <c r="BE356" s="6"/>
      <c r="BG356" s="320">
        <v>289</v>
      </c>
      <c r="BH356" s="329"/>
      <c r="BI356" s="328"/>
      <c r="BX356" s="6"/>
      <c r="BZ356" s="320">
        <v>289</v>
      </c>
      <c r="CA356" s="329"/>
      <c r="CB356" s="328"/>
      <c r="CQ356" s="6"/>
    </row>
    <row r="357" spans="1:95">
      <c r="B357" s="320">
        <v>290</v>
      </c>
      <c r="C357" s="329"/>
      <c r="D357" s="328"/>
      <c r="S357" s="6"/>
      <c r="U357" s="320">
        <v>290</v>
      </c>
      <c r="V357" s="329"/>
      <c r="W357" s="328"/>
      <c r="AL357" s="6"/>
      <c r="AN357" s="320">
        <v>290</v>
      </c>
      <c r="AO357" s="329"/>
      <c r="AP357" s="328"/>
      <c r="BE357" s="6"/>
      <c r="BG357" s="320">
        <v>290</v>
      </c>
      <c r="BH357" s="329"/>
      <c r="BI357" s="328"/>
      <c r="BX357" s="6"/>
      <c r="BZ357" s="320">
        <v>290</v>
      </c>
      <c r="CA357" s="329"/>
      <c r="CB357" s="328"/>
      <c r="CQ357" s="6"/>
    </row>
    <row r="358" spans="1:95">
      <c r="B358" s="320">
        <v>291</v>
      </c>
      <c r="C358" s="329"/>
      <c r="D358" s="328"/>
      <c r="S358" s="6"/>
      <c r="U358" s="320">
        <v>291</v>
      </c>
      <c r="V358" s="329"/>
      <c r="W358" s="328"/>
      <c r="AL358" s="6"/>
      <c r="AN358" s="320">
        <v>291</v>
      </c>
      <c r="AO358" s="329"/>
      <c r="AP358" s="328"/>
      <c r="BE358" s="6"/>
      <c r="BG358" s="320">
        <v>291</v>
      </c>
      <c r="BH358" s="329"/>
      <c r="BI358" s="328"/>
      <c r="BX358" s="6"/>
      <c r="BZ358" s="320">
        <v>291</v>
      </c>
      <c r="CA358" s="329"/>
      <c r="CB358" s="328"/>
      <c r="CQ358" s="6"/>
    </row>
    <row r="359" spans="1:95">
      <c r="B359" s="320">
        <v>292</v>
      </c>
      <c r="C359" s="329"/>
      <c r="D359" s="328"/>
      <c r="S359" s="6"/>
      <c r="U359" s="320">
        <v>292</v>
      </c>
      <c r="V359" s="329"/>
      <c r="W359" s="328"/>
      <c r="AL359" s="6"/>
      <c r="AN359" s="320">
        <v>292</v>
      </c>
      <c r="AO359" s="329"/>
      <c r="AP359" s="328"/>
      <c r="BE359" s="6"/>
      <c r="BG359" s="320">
        <v>292</v>
      </c>
      <c r="BH359" s="329"/>
      <c r="BI359" s="328"/>
      <c r="BX359" s="6"/>
      <c r="BZ359" s="320">
        <v>292</v>
      </c>
      <c r="CA359" s="329"/>
      <c r="CB359" s="328"/>
      <c r="CQ359" s="6"/>
    </row>
    <row r="360" spans="1:95">
      <c r="B360" s="320">
        <v>293</v>
      </c>
      <c r="C360" s="329"/>
      <c r="D360" s="328"/>
      <c r="S360" s="6"/>
      <c r="U360" s="320">
        <v>293</v>
      </c>
      <c r="V360" s="329"/>
      <c r="W360" s="328"/>
      <c r="AL360" s="6"/>
      <c r="AN360" s="320">
        <v>293</v>
      </c>
      <c r="AO360" s="329"/>
      <c r="AP360" s="328"/>
      <c r="BE360" s="6"/>
      <c r="BG360" s="320">
        <v>293</v>
      </c>
      <c r="BH360" s="329"/>
      <c r="BI360" s="328"/>
      <c r="BX360" s="6"/>
      <c r="BZ360" s="320">
        <v>293</v>
      </c>
      <c r="CA360" s="329"/>
      <c r="CB360" s="328"/>
      <c r="CQ360" s="6"/>
    </row>
    <row r="361" spans="1:95">
      <c r="B361" s="320">
        <v>294</v>
      </c>
      <c r="C361" s="329"/>
      <c r="D361" s="328"/>
      <c r="S361" s="6"/>
      <c r="U361" s="320">
        <v>294</v>
      </c>
      <c r="V361" s="329"/>
      <c r="W361" s="328"/>
      <c r="AL361" s="6"/>
      <c r="AN361" s="320">
        <v>294</v>
      </c>
      <c r="AO361" s="329"/>
      <c r="AP361" s="328"/>
      <c r="BE361" s="6"/>
      <c r="BG361" s="320">
        <v>294</v>
      </c>
      <c r="BH361" s="329"/>
      <c r="BI361" s="328"/>
      <c r="BX361" s="6"/>
      <c r="BZ361" s="320">
        <v>294</v>
      </c>
      <c r="CA361" s="329"/>
      <c r="CB361" s="328"/>
      <c r="CQ361" s="6"/>
    </row>
    <row r="362" spans="1:95">
      <c r="B362" s="320">
        <v>295</v>
      </c>
      <c r="C362" s="329"/>
      <c r="D362" s="328"/>
      <c r="S362" s="6"/>
      <c r="U362" s="320">
        <v>295</v>
      </c>
      <c r="V362" s="329"/>
      <c r="W362" s="328"/>
      <c r="AL362" s="6"/>
      <c r="AN362" s="320">
        <v>295</v>
      </c>
      <c r="AO362" s="329"/>
      <c r="AP362" s="328"/>
      <c r="BE362" s="6"/>
      <c r="BG362" s="320">
        <v>295</v>
      </c>
      <c r="BH362" s="329"/>
      <c r="BI362" s="328"/>
      <c r="BX362" s="6"/>
      <c r="BZ362" s="320">
        <v>295</v>
      </c>
      <c r="CA362" s="329"/>
      <c r="CB362" s="328"/>
      <c r="CQ362" s="6"/>
    </row>
    <row r="363" spans="1:95">
      <c r="B363" s="320">
        <v>296</v>
      </c>
      <c r="C363" s="329"/>
      <c r="D363" s="328"/>
      <c r="S363" s="6"/>
      <c r="U363" s="320">
        <v>296</v>
      </c>
      <c r="V363" s="329"/>
      <c r="W363" s="328"/>
      <c r="AL363" s="6"/>
      <c r="AN363" s="320">
        <v>296</v>
      </c>
      <c r="AO363" s="329"/>
      <c r="AP363" s="328"/>
      <c r="BE363" s="6"/>
      <c r="BG363" s="320">
        <v>296</v>
      </c>
      <c r="BH363" s="329"/>
      <c r="BI363" s="328"/>
      <c r="BX363" s="6"/>
      <c r="BZ363" s="320">
        <v>296</v>
      </c>
      <c r="CA363" s="329"/>
      <c r="CB363" s="328"/>
      <c r="CQ363" s="6"/>
    </row>
    <row r="364" spans="1:95">
      <c r="B364" s="320">
        <v>297</v>
      </c>
      <c r="C364" s="329"/>
      <c r="D364" s="328"/>
      <c r="S364" s="6"/>
      <c r="U364" s="320">
        <v>297</v>
      </c>
      <c r="V364" s="329"/>
      <c r="W364" s="328"/>
      <c r="AL364" s="6"/>
      <c r="AN364" s="320">
        <v>297</v>
      </c>
      <c r="AO364" s="329"/>
      <c r="AP364" s="328"/>
      <c r="BE364" s="6"/>
      <c r="BG364" s="320">
        <v>297</v>
      </c>
      <c r="BH364" s="329"/>
      <c r="BI364" s="328"/>
      <c r="BX364" s="6"/>
      <c r="BZ364" s="320">
        <v>297</v>
      </c>
      <c r="CA364" s="329"/>
      <c r="CB364" s="328"/>
      <c r="CQ364" s="6"/>
    </row>
    <row r="365" spans="1:95">
      <c r="B365" s="320">
        <v>298</v>
      </c>
      <c r="C365" s="329"/>
      <c r="D365" s="328"/>
      <c r="S365" s="6"/>
      <c r="U365" s="320">
        <v>298</v>
      </c>
      <c r="V365" s="329"/>
      <c r="W365" s="328"/>
      <c r="AL365" s="6"/>
      <c r="AN365" s="320">
        <v>298</v>
      </c>
      <c r="AO365" s="329"/>
      <c r="AP365" s="328"/>
      <c r="BE365" s="6"/>
      <c r="BG365" s="320">
        <v>298</v>
      </c>
      <c r="BH365" s="329"/>
      <c r="BI365" s="328"/>
      <c r="BX365" s="6"/>
      <c r="BZ365" s="320">
        <v>298</v>
      </c>
      <c r="CA365" s="329"/>
      <c r="CB365" s="328"/>
      <c r="CQ365" s="6"/>
    </row>
    <row r="366" spans="1:95">
      <c r="B366" s="320">
        <v>299</v>
      </c>
      <c r="C366" s="329"/>
      <c r="D366" s="328"/>
      <c r="S366" s="6"/>
      <c r="U366" s="320">
        <v>299</v>
      </c>
      <c r="V366" s="329"/>
      <c r="W366" s="328"/>
      <c r="AL366" s="6"/>
      <c r="AN366" s="320">
        <v>299</v>
      </c>
      <c r="AO366" s="329"/>
      <c r="AP366" s="328"/>
      <c r="BE366" s="6"/>
      <c r="BG366" s="320">
        <v>299</v>
      </c>
      <c r="BH366" s="329"/>
      <c r="BI366" s="328"/>
      <c r="BX366" s="6"/>
      <c r="BZ366" s="320">
        <v>299</v>
      </c>
      <c r="CA366" s="329"/>
      <c r="CB366" s="328"/>
      <c r="CQ366" s="6"/>
    </row>
    <row r="367" spans="1:95">
      <c r="B367" s="320">
        <v>300</v>
      </c>
      <c r="C367" s="329"/>
      <c r="D367" s="328"/>
      <c r="S367" s="6"/>
      <c r="U367" s="320">
        <v>300</v>
      </c>
      <c r="V367" s="329"/>
      <c r="W367" s="328"/>
      <c r="AL367" s="6"/>
      <c r="AN367" s="320">
        <v>300</v>
      </c>
      <c r="AO367" s="329"/>
      <c r="AP367" s="328"/>
      <c r="BE367" s="6"/>
      <c r="BG367" s="320">
        <v>300</v>
      </c>
      <c r="BH367" s="329"/>
      <c r="BI367" s="328"/>
      <c r="BX367" s="6"/>
      <c r="BZ367" s="320">
        <v>300</v>
      </c>
      <c r="CA367" s="329"/>
      <c r="CB367" s="328"/>
      <c r="CQ367" s="6"/>
    </row>
    <row r="368" spans="1:95">
      <c r="A368" s="40"/>
      <c r="B368" s="40"/>
      <c r="C368" s="40"/>
      <c r="D368" s="40"/>
      <c r="E368" s="40"/>
      <c r="F368" s="40"/>
      <c r="G368" s="40"/>
      <c r="H368" s="40"/>
      <c r="I368" s="40"/>
      <c r="J368" s="40"/>
      <c r="K368" s="40"/>
      <c r="L368" s="40"/>
      <c r="M368" s="40"/>
      <c r="N368" s="40"/>
      <c r="O368" s="40"/>
      <c r="P368" s="40"/>
      <c r="Q368" s="40"/>
      <c r="R368" s="40"/>
      <c r="S368" s="41"/>
      <c r="T368" s="40"/>
      <c r="U368" s="40"/>
      <c r="V368" s="40"/>
      <c r="W368" s="40"/>
      <c r="X368" s="40"/>
      <c r="Y368" s="40"/>
      <c r="Z368" s="40"/>
      <c r="AA368" s="40"/>
      <c r="AB368" s="40"/>
      <c r="AC368" s="40"/>
      <c r="AD368" s="40"/>
      <c r="AE368" s="40"/>
      <c r="AF368" s="40"/>
      <c r="AG368" s="40"/>
      <c r="AH368" s="40"/>
      <c r="AI368" s="40"/>
      <c r="AJ368" s="40"/>
      <c r="AK368" s="40"/>
      <c r="AL368" s="41"/>
      <c r="AM368" s="40"/>
      <c r="AN368" s="40"/>
      <c r="AO368" s="40"/>
      <c r="AP368" s="40"/>
      <c r="AQ368" s="40"/>
      <c r="AR368" s="40"/>
      <c r="AS368" s="40"/>
      <c r="AT368" s="40"/>
      <c r="AU368" s="40"/>
      <c r="AV368" s="40"/>
      <c r="AW368" s="40"/>
      <c r="AX368" s="40"/>
      <c r="AY368" s="40"/>
      <c r="AZ368" s="40"/>
      <c r="BA368" s="40"/>
      <c r="BB368" s="40"/>
      <c r="BC368" s="40"/>
      <c r="BD368" s="40"/>
      <c r="BE368" s="41"/>
      <c r="BF368" s="40"/>
      <c r="BG368" s="40"/>
      <c r="BH368" s="40"/>
      <c r="BI368" s="40"/>
      <c r="BJ368" s="40"/>
      <c r="BK368" s="40"/>
      <c r="BL368" s="40"/>
      <c r="BM368" s="40"/>
      <c r="BN368" s="40"/>
      <c r="BO368" s="40"/>
      <c r="BP368" s="40"/>
      <c r="BQ368" s="40"/>
      <c r="BR368" s="40"/>
      <c r="BS368" s="40"/>
      <c r="BT368" s="40"/>
      <c r="BU368" s="40"/>
      <c r="BV368" s="40"/>
      <c r="BW368" s="40"/>
      <c r="BX368" s="41"/>
      <c r="BY368" s="40"/>
      <c r="BZ368" s="40"/>
      <c r="CA368" s="40"/>
      <c r="CB368" s="40"/>
      <c r="CC368" s="40"/>
      <c r="CD368" s="40"/>
      <c r="CE368" s="40"/>
      <c r="CF368" s="40"/>
      <c r="CG368" s="40"/>
      <c r="CH368" s="40"/>
      <c r="CI368" s="40"/>
      <c r="CJ368" s="40"/>
      <c r="CK368" s="40"/>
      <c r="CL368" s="40"/>
      <c r="CM368" s="40"/>
      <c r="CN368" s="40"/>
      <c r="CO368" s="40"/>
      <c r="CP368" s="40"/>
      <c r="CQ368" s="41"/>
    </row>
  </sheetData>
  <sheetProtection algorithmName="SHA-512" hashValue="W2JMqBOZ34TTSN84w8g+kzQ3Cw7TBD+kSSVqIacOfD5FOzjEK94aaGvoB4kEkqBeQqlSB4aYkJbfn3yUL2k/Tg==" saltValue="zWNKE8XDGkRTChgmOcWaBQ==" spinCount="100000" sheet="1" scenarios="1"/>
  <protectedRanges>
    <protectedRange sqref="BY5:CQ18 BY21:CQ42 CA46:CB47 CE46:CF47 CA51:CB53" name="Range5"/>
    <protectedRange sqref="BF5:BX18 BF21:BX42 BH46:BI47 BL46:BM47 BH50 BH53:BI55 BH61" name="Range4"/>
    <protectedRange sqref="A5:S18 A21:S42 C46:D47 G46:H47 C50 C53:D55 C61" name="Range1"/>
    <protectedRange sqref="T5:AL18 T21:AL42 V46:W47 Z46:AA47 V50 V53:W55 V61" name="Range2"/>
    <protectedRange sqref="AM5:BE18 AM21:BE42 AO46:AP47 AS46:AT47 AO50 AO53:AP55 AO61" name="Range3"/>
    <protectedRange sqref="C68:D367" name="Range1_1"/>
    <protectedRange sqref="V68:W367" name="Range1_2"/>
    <protectedRange sqref="AO68:AP367" name="Range1_3"/>
    <protectedRange sqref="BH68:BI367" name="Range1_4"/>
    <protectedRange sqref="CA68:CB367" name="Range1_5"/>
    <protectedRange sqref="C56:D57 V56:W57 AO56:AP57 BH56:BI57" name="Range1_6"/>
  </protectedRanges>
  <mergeCells count="153">
    <mergeCell ref="C62:D62"/>
    <mergeCell ref="A61:B61"/>
    <mergeCell ref="V61:W61"/>
    <mergeCell ref="AO61:AP61"/>
    <mergeCell ref="C61:D61"/>
    <mergeCell ref="AM61:AN61"/>
    <mergeCell ref="T50:U50"/>
    <mergeCell ref="CC47:CD47"/>
    <mergeCell ref="A5:S5"/>
    <mergeCell ref="A46:B46"/>
    <mergeCell ref="C46:D46"/>
    <mergeCell ref="E46:F46"/>
    <mergeCell ref="G46:H46"/>
    <mergeCell ref="N46:O46"/>
    <mergeCell ref="P46:R46"/>
    <mergeCell ref="A50:B50"/>
    <mergeCell ref="A47:B47"/>
    <mergeCell ref="C47:D47"/>
    <mergeCell ref="E47:F47"/>
    <mergeCell ref="G47:H47"/>
    <mergeCell ref="BY47:BZ47"/>
    <mergeCell ref="BY46:BZ46"/>
    <mergeCell ref="CA46:CB46"/>
    <mergeCell ref="CA47:CB47"/>
    <mergeCell ref="A1:S1"/>
    <mergeCell ref="BY1:CQ1"/>
    <mergeCell ref="D3:J3"/>
    <mergeCell ref="O3:S3"/>
    <mergeCell ref="CB3:CH3"/>
    <mergeCell ref="CM3:CQ3"/>
    <mergeCell ref="T1:AL1"/>
    <mergeCell ref="W3:AC3"/>
    <mergeCell ref="AH3:AL3"/>
    <mergeCell ref="AP3:AV3"/>
    <mergeCell ref="AM1:BE1"/>
    <mergeCell ref="BA3:BE3"/>
    <mergeCell ref="BF1:BX1"/>
    <mergeCell ref="BI3:BO3"/>
    <mergeCell ref="BT3:BX3"/>
    <mergeCell ref="CC46:CD46"/>
    <mergeCell ref="T47:U47"/>
    <mergeCell ref="V47:W47"/>
    <mergeCell ref="X47:Y47"/>
    <mergeCell ref="Z47:AA47"/>
    <mergeCell ref="T46:U46"/>
    <mergeCell ref="AZ46:BA46"/>
    <mergeCell ref="AS46:AT46"/>
    <mergeCell ref="AQ46:AR46"/>
    <mergeCell ref="BL46:BM46"/>
    <mergeCell ref="BS46:BT46"/>
    <mergeCell ref="BU46:BW46"/>
    <mergeCell ref="BF46:BG46"/>
    <mergeCell ref="BJ46:BK46"/>
    <mergeCell ref="A54:B54"/>
    <mergeCell ref="C54:D54"/>
    <mergeCell ref="AO51:AP51"/>
    <mergeCell ref="BH53:BI53"/>
    <mergeCell ref="C50:D50"/>
    <mergeCell ref="CA50:CB50"/>
    <mergeCell ref="AM50:AN50"/>
    <mergeCell ref="CA52:CB52"/>
    <mergeCell ref="A57:B57"/>
    <mergeCell ref="A56:B56"/>
    <mergeCell ref="C56:D56"/>
    <mergeCell ref="A55:B55"/>
    <mergeCell ref="AM57:AN57"/>
    <mergeCell ref="AO57:AP57"/>
    <mergeCell ref="V54:W54"/>
    <mergeCell ref="BH51:BI51"/>
    <mergeCell ref="CL46:CM46"/>
    <mergeCell ref="CA53:CB53"/>
    <mergeCell ref="C55:D55"/>
    <mergeCell ref="AO53:AP53"/>
    <mergeCell ref="AM54:AN54"/>
    <mergeCell ref="V55:W55"/>
    <mergeCell ref="AO54:AP54"/>
    <mergeCell ref="C53:D53"/>
    <mergeCell ref="V53:W53"/>
    <mergeCell ref="T55:U55"/>
    <mergeCell ref="T54:U54"/>
    <mergeCell ref="V51:W51"/>
    <mergeCell ref="BH54:BI54"/>
    <mergeCell ref="BF54:BG54"/>
    <mergeCell ref="AO55:AP55"/>
    <mergeCell ref="CE46:CF46"/>
    <mergeCell ref="CE47:CF47"/>
    <mergeCell ref="CL50:CM50"/>
    <mergeCell ref="CA51:CB51"/>
    <mergeCell ref="CL51:CM51"/>
    <mergeCell ref="BF50:BG50"/>
    <mergeCell ref="BH50:BI50"/>
    <mergeCell ref="C51:D51"/>
    <mergeCell ref="AM55:AN55"/>
    <mergeCell ref="CL52:CM52"/>
    <mergeCell ref="C57:D57"/>
    <mergeCell ref="C58:D58"/>
    <mergeCell ref="C59:D59"/>
    <mergeCell ref="C60:D60"/>
    <mergeCell ref="AO58:AP58"/>
    <mergeCell ref="BF61:BG61"/>
    <mergeCell ref="T61:U61"/>
    <mergeCell ref="T57:U57"/>
    <mergeCell ref="V57:W57"/>
    <mergeCell ref="V58:W58"/>
    <mergeCell ref="AO56:AP56"/>
    <mergeCell ref="BH61:BI61"/>
    <mergeCell ref="BH58:BI58"/>
    <mergeCell ref="BH59:BI59"/>
    <mergeCell ref="T56:U56"/>
    <mergeCell ref="V56:W56"/>
    <mergeCell ref="AO59:AP59"/>
    <mergeCell ref="AO60:AP60"/>
    <mergeCell ref="V59:W59"/>
    <mergeCell ref="AM56:AN56"/>
    <mergeCell ref="X61:AL61"/>
    <mergeCell ref="F67:R67"/>
    <mergeCell ref="BF5:BX5"/>
    <mergeCell ref="BF47:BG47"/>
    <mergeCell ref="BH47:BI47"/>
    <mergeCell ref="BJ47:BK47"/>
    <mergeCell ref="BL47:BM47"/>
    <mergeCell ref="AM5:BE5"/>
    <mergeCell ref="BB46:BD46"/>
    <mergeCell ref="AQ47:AR47"/>
    <mergeCell ref="AS47:AT47"/>
    <mergeCell ref="BH46:BI46"/>
    <mergeCell ref="T5:AL5"/>
    <mergeCell ref="V46:W46"/>
    <mergeCell ref="X46:Y46"/>
    <mergeCell ref="Z46:AA46"/>
    <mergeCell ref="AG46:AH46"/>
    <mergeCell ref="AI46:AK46"/>
    <mergeCell ref="AO50:AP50"/>
    <mergeCell ref="AM46:AN46"/>
    <mergeCell ref="AO46:AP46"/>
    <mergeCell ref="AM47:AN47"/>
    <mergeCell ref="AO47:AP47"/>
    <mergeCell ref="V50:W50"/>
    <mergeCell ref="V60:W60"/>
    <mergeCell ref="BH62:BI62"/>
    <mergeCell ref="AO62:AP62"/>
    <mergeCell ref="V62:W62"/>
    <mergeCell ref="Y67:AK67"/>
    <mergeCell ref="AR67:BD67"/>
    <mergeCell ref="BK67:BW67"/>
    <mergeCell ref="CD67:CP67"/>
    <mergeCell ref="BH60:BI60"/>
    <mergeCell ref="BF55:BG55"/>
    <mergeCell ref="BH55:BI55"/>
    <mergeCell ref="BF56:BG56"/>
    <mergeCell ref="BH56:BI56"/>
    <mergeCell ref="BF57:BG57"/>
    <mergeCell ref="BH57:BI57"/>
  </mergeCells>
  <phoneticPr fontId="0" type="noConversion"/>
  <conditionalFormatting sqref="C62">
    <cfRule type="expression" dxfId="248" priority="35" stopIfTrue="1">
      <formula>C62="PASS"</formula>
    </cfRule>
    <cfRule type="expression" dxfId="247" priority="36" stopIfTrue="1">
      <formula>C62="FAIL"</formula>
    </cfRule>
  </conditionalFormatting>
  <conditionalFormatting sqref="C53:D53">
    <cfRule type="cellIs" dxfId="246" priority="16" operator="lessThan">
      <formula>200</formula>
    </cfRule>
  </conditionalFormatting>
  <conditionalFormatting sqref="C56:D56">
    <cfRule type="expression" dxfId="245" priority="9">
      <formula>$C$56&lt;0.4*$C$57</formula>
    </cfRule>
  </conditionalFormatting>
  <conditionalFormatting sqref="C57:D57">
    <cfRule type="expression" dxfId="244" priority="10">
      <formula>$C$57&lt;0.4*$C$56</formula>
    </cfRule>
  </conditionalFormatting>
  <conditionalFormatting sqref="V62">
    <cfRule type="expression" dxfId="243" priority="25" stopIfTrue="1">
      <formula>V62="PASS"</formula>
    </cfRule>
    <cfRule type="expression" dxfId="242" priority="26" stopIfTrue="1">
      <formula>V62="FAIL"</formula>
    </cfRule>
  </conditionalFormatting>
  <conditionalFormatting sqref="V53:W53">
    <cfRule type="cellIs" dxfId="241" priority="15" operator="lessThan">
      <formula>200</formula>
    </cfRule>
  </conditionalFormatting>
  <conditionalFormatting sqref="V56:W56">
    <cfRule type="expression" dxfId="240" priority="1">
      <formula>$V$56&lt;0.4*$V$57</formula>
    </cfRule>
  </conditionalFormatting>
  <conditionalFormatting sqref="V57:W57">
    <cfRule type="expression" dxfId="239" priority="8">
      <formula>$V$57&lt;0.4*$V$56</formula>
    </cfRule>
  </conditionalFormatting>
  <conditionalFormatting sqref="AO62">
    <cfRule type="expression" dxfId="238" priority="21" stopIfTrue="1">
      <formula>AO62="PASS"</formula>
    </cfRule>
    <cfRule type="expression" dxfId="237" priority="22" stopIfTrue="1">
      <formula>AO62="FAIL"</formula>
    </cfRule>
  </conditionalFormatting>
  <conditionalFormatting sqref="AO53:AP53">
    <cfRule type="cellIs" dxfId="236" priority="14" operator="lessThan">
      <formula>200</formula>
    </cfRule>
  </conditionalFormatting>
  <conditionalFormatting sqref="AO56:AP56">
    <cfRule type="expression" dxfId="235" priority="5">
      <formula>$AO$56&lt;0.4*$AO$57</formula>
    </cfRule>
  </conditionalFormatting>
  <conditionalFormatting sqref="AO57:AP57">
    <cfRule type="expression" dxfId="234" priority="6">
      <formula>$AO$57&lt;0.4*$AO$56</formula>
    </cfRule>
  </conditionalFormatting>
  <conditionalFormatting sqref="BH62">
    <cfRule type="expression" dxfId="233" priority="17" stopIfTrue="1">
      <formula>BH62="PASS"</formula>
    </cfRule>
    <cfRule type="expression" dxfId="232" priority="18" stopIfTrue="1">
      <formula>BH62="FAIL"</formula>
    </cfRule>
  </conditionalFormatting>
  <conditionalFormatting sqref="BH53:BI53">
    <cfRule type="cellIs" dxfId="231" priority="13" operator="lessThan">
      <formula>200</formula>
    </cfRule>
  </conditionalFormatting>
  <conditionalFormatting sqref="BH56:BI56">
    <cfRule type="expression" dxfId="230" priority="3">
      <formula>$BH$56&lt;0.4*$BH$57</formula>
    </cfRule>
  </conditionalFormatting>
  <conditionalFormatting sqref="BH57:BI57">
    <cfRule type="expression" dxfId="229" priority="4">
      <formula>$BH$57&lt;0.4*$BH$56</formula>
    </cfRule>
  </conditionalFormatting>
  <printOptions horizontalCentered="1"/>
  <pageMargins left="0.39370078740157483" right="0.39370078740157483" top="0.39370078740157483" bottom="0.39370078740157483" header="0.51181102362204722" footer="0.51181102362204722"/>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9">
    <tabColor rgb="FF9999FF"/>
  </sheetPr>
  <dimension ref="A1:BX361"/>
  <sheetViews>
    <sheetView showGridLines="0" zoomScaleNormal="100" zoomScaleSheetLayoutView="100" workbookViewId="0">
      <selection sqref="A1:S1"/>
    </sheetView>
  </sheetViews>
  <sheetFormatPr defaultColWidth="11.42578125" defaultRowHeight="12.75"/>
  <cols>
    <col min="1" max="76" width="5" style="51" customWidth="1"/>
    <col min="77" max="16384" width="11.42578125" style="51"/>
  </cols>
  <sheetData>
    <row r="1" spans="1:76">
      <c r="A1" s="640" t="s">
        <v>464</v>
      </c>
      <c r="B1" s="640"/>
      <c r="C1" s="640"/>
      <c r="D1" s="640"/>
      <c r="E1" s="640"/>
      <c r="F1" s="640"/>
      <c r="G1" s="640"/>
      <c r="H1" s="640"/>
      <c r="I1" s="640"/>
      <c r="J1" s="640"/>
      <c r="K1" s="640"/>
      <c r="L1" s="640"/>
      <c r="M1" s="640"/>
      <c r="N1" s="640"/>
      <c r="O1" s="640"/>
      <c r="P1" s="640"/>
      <c r="Q1" s="640"/>
      <c r="R1" s="640"/>
      <c r="S1" s="640"/>
      <c r="T1" s="640" t="s">
        <v>465</v>
      </c>
      <c r="U1" s="640"/>
      <c r="V1" s="640"/>
      <c r="W1" s="640"/>
      <c r="X1" s="640"/>
      <c r="Y1" s="640"/>
      <c r="Z1" s="640"/>
      <c r="AA1" s="640"/>
      <c r="AB1" s="640"/>
      <c r="AC1" s="640"/>
      <c r="AD1" s="640"/>
      <c r="AE1" s="640"/>
      <c r="AF1" s="640"/>
      <c r="AG1" s="640"/>
      <c r="AH1" s="640"/>
      <c r="AI1" s="640"/>
      <c r="AJ1" s="640"/>
      <c r="AK1" s="640"/>
      <c r="AL1" s="640"/>
      <c r="AM1" s="640" t="s">
        <v>466</v>
      </c>
      <c r="AN1" s="640"/>
      <c r="AO1" s="640"/>
      <c r="AP1" s="640"/>
      <c r="AQ1" s="640"/>
      <c r="AR1" s="640"/>
      <c r="AS1" s="640"/>
      <c r="AT1" s="640"/>
      <c r="AU1" s="640"/>
      <c r="AV1" s="640"/>
      <c r="AW1" s="640"/>
      <c r="AX1" s="640"/>
      <c r="AY1" s="640"/>
      <c r="AZ1" s="640"/>
      <c r="BA1" s="640"/>
      <c r="BB1" s="640"/>
      <c r="BC1" s="640"/>
      <c r="BD1" s="640"/>
      <c r="BE1" s="640"/>
      <c r="BF1" s="640" t="s">
        <v>467</v>
      </c>
      <c r="BG1" s="640"/>
      <c r="BH1" s="640"/>
      <c r="BI1" s="640"/>
      <c r="BJ1" s="640"/>
      <c r="BK1" s="640"/>
      <c r="BL1" s="640"/>
      <c r="BM1" s="640"/>
      <c r="BN1" s="640"/>
      <c r="BO1" s="640"/>
      <c r="BP1" s="640"/>
      <c r="BQ1" s="640"/>
      <c r="BR1" s="640"/>
      <c r="BS1" s="640"/>
      <c r="BT1" s="640"/>
      <c r="BU1" s="640"/>
      <c r="BV1" s="640"/>
      <c r="BW1" s="640"/>
      <c r="BX1" s="640"/>
    </row>
    <row r="3" spans="1:76">
      <c r="A3" s="51" t="s">
        <v>17</v>
      </c>
      <c r="D3" s="641" t="str">
        <f>IF('Cover Sheet'!$D$15&gt;0,'Cover Sheet'!$D$15,"")</f>
        <v/>
      </c>
      <c r="E3" s="641"/>
      <c r="F3" s="641"/>
      <c r="G3" s="641"/>
      <c r="H3" s="641"/>
      <c r="I3" s="641"/>
      <c r="J3" s="641"/>
      <c r="K3" s="51" t="s">
        <v>18</v>
      </c>
      <c r="O3" s="641" t="str">
        <f>IF('Cover Sheet'!O15&gt;0,'Cover Sheet'!O15,"")</f>
        <v/>
      </c>
      <c r="P3" s="641"/>
      <c r="Q3" s="641"/>
      <c r="R3" s="641"/>
      <c r="S3" s="641"/>
      <c r="T3" s="51" t="s">
        <v>17</v>
      </c>
      <c r="W3" s="641" t="str">
        <f>IF('Cover Sheet'!$D$15&gt;0,'Cover Sheet'!$D$15,"")</f>
        <v/>
      </c>
      <c r="X3" s="641"/>
      <c r="Y3" s="641"/>
      <c r="Z3" s="641"/>
      <c r="AA3" s="641"/>
      <c r="AB3" s="641"/>
      <c r="AC3" s="641"/>
      <c r="AD3" s="51" t="s">
        <v>18</v>
      </c>
      <c r="AH3" s="641" t="str">
        <f>IF('Cover Sheet'!O15&gt;0,'Cover Sheet'!O15,"")</f>
        <v/>
      </c>
      <c r="AI3" s="641"/>
      <c r="AJ3" s="641"/>
      <c r="AK3" s="641"/>
      <c r="AL3" s="641"/>
      <c r="AM3" s="51" t="s">
        <v>17</v>
      </c>
      <c r="AP3" s="641" t="str">
        <f>IF('Cover Sheet'!$D$15&gt;0,'Cover Sheet'!$D$15,"")</f>
        <v/>
      </c>
      <c r="AQ3" s="641"/>
      <c r="AR3" s="641"/>
      <c r="AS3" s="641"/>
      <c r="AT3" s="641"/>
      <c r="AU3" s="641"/>
      <c r="AV3" s="641"/>
      <c r="AW3" s="51" t="s">
        <v>18</v>
      </c>
      <c r="BA3" s="641" t="str">
        <f>IF('Cover Sheet'!O15&gt;0,'Cover Sheet'!O15,"")</f>
        <v/>
      </c>
      <c r="BB3" s="641"/>
      <c r="BC3" s="641"/>
      <c r="BD3" s="641"/>
      <c r="BE3" s="641"/>
      <c r="BF3" s="51" t="s">
        <v>17</v>
      </c>
      <c r="BI3" s="641" t="str">
        <f>IF('Cover Sheet'!$D$15&gt;0,'Cover Sheet'!$D$15,"")</f>
        <v/>
      </c>
      <c r="BJ3" s="641"/>
      <c r="BK3" s="641"/>
      <c r="BL3" s="641"/>
      <c r="BM3" s="641"/>
      <c r="BN3" s="641"/>
      <c r="BO3" s="641"/>
      <c r="BP3" s="51" t="s">
        <v>18</v>
      </c>
      <c r="BT3" s="641" t="str">
        <f>IF('Cover Sheet'!O15&gt;0,'Cover Sheet'!O15,"")</f>
        <v/>
      </c>
      <c r="BU3" s="641"/>
      <c r="BV3" s="641"/>
      <c r="BW3" s="641"/>
      <c r="BX3" s="641"/>
    </row>
    <row r="5" spans="1:76" ht="12.75" customHeight="1">
      <c r="A5" s="600"/>
      <c r="B5" s="601"/>
      <c r="C5" s="601"/>
      <c r="D5" s="601"/>
      <c r="E5" s="601"/>
      <c r="F5" s="601"/>
      <c r="G5" s="601"/>
      <c r="H5" s="601"/>
      <c r="I5" s="601"/>
      <c r="J5" s="601"/>
      <c r="K5" s="601"/>
      <c r="L5" s="601"/>
      <c r="M5" s="601"/>
      <c r="N5" s="601"/>
      <c r="O5" s="601"/>
      <c r="P5" s="601"/>
      <c r="Q5" s="601"/>
      <c r="R5" s="601"/>
      <c r="S5" s="602"/>
      <c r="T5" s="600"/>
      <c r="U5" s="601"/>
      <c r="V5" s="601"/>
      <c r="W5" s="601"/>
      <c r="X5" s="601"/>
      <c r="Y5" s="601"/>
      <c r="Z5" s="601"/>
      <c r="AA5" s="601"/>
      <c r="AB5" s="601"/>
      <c r="AC5" s="601"/>
      <c r="AD5" s="601"/>
      <c r="AE5" s="601"/>
      <c r="AF5" s="601"/>
      <c r="AG5" s="601"/>
      <c r="AH5" s="601"/>
      <c r="AI5" s="601"/>
      <c r="AJ5" s="601"/>
      <c r="AK5" s="601"/>
      <c r="AL5" s="602"/>
      <c r="AM5" s="600"/>
      <c r="AN5" s="601"/>
      <c r="AO5" s="601"/>
      <c r="AP5" s="601"/>
      <c r="AQ5" s="601"/>
      <c r="AR5" s="601"/>
      <c r="AS5" s="601"/>
      <c r="AT5" s="601"/>
      <c r="AU5" s="601"/>
      <c r="AV5" s="601"/>
      <c r="AW5" s="601"/>
      <c r="AX5" s="601"/>
      <c r="AY5" s="601"/>
      <c r="AZ5" s="601"/>
      <c r="BA5" s="601"/>
      <c r="BB5" s="601"/>
      <c r="BC5" s="601"/>
      <c r="BD5" s="601"/>
      <c r="BE5" s="602"/>
      <c r="BF5" s="600"/>
      <c r="BG5" s="601"/>
      <c r="BH5" s="601"/>
      <c r="BI5" s="601"/>
      <c r="BJ5" s="601"/>
      <c r="BK5" s="601"/>
      <c r="BL5" s="601"/>
      <c r="BM5" s="601"/>
      <c r="BN5" s="601"/>
      <c r="BO5" s="601"/>
      <c r="BP5" s="601"/>
      <c r="BQ5" s="601"/>
      <c r="BR5" s="601"/>
      <c r="BS5" s="601"/>
      <c r="BT5" s="601"/>
      <c r="BU5" s="601"/>
      <c r="BV5" s="601"/>
      <c r="BW5" s="601"/>
      <c r="BX5" s="602"/>
    </row>
    <row r="6" spans="1:76">
      <c r="A6" s="14"/>
      <c r="B6" s="14"/>
      <c r="C6" s="12"/>
      <c r="D6" s="14"/>
      <c r="E6" s="12"/>
      <c r="F6" s="12"/>
      <c r="G6" s="12"/>
      <c r="H6" s="12"/>
      <c r="I6" s="12"/>
      <c r="J6" s="12"/>
      <c r="K6" s="12"/>
      <c r="L6" s="12"/>
      <c r="M6" s="12"/>
      <c r="N6" s="12"/>
      <c r="O6" s="12"/>
      <c r="P6" s="12"/>
      <c r="Q6" s="12"/>
      <c r="R6" s="12"/>
      <c r="S6" s="13"/>
      <c r="T6" s="14"/>
      <c r="U6" s="14"/>
      <c r="V6" s="12"/>
      <c r="W6" s="14"/>
      <c r="X6" s="12"/>
      <c r="Y6" s="12"/>
      <c r="Z6" s="12"/>
      <c r="AA6" s="12"/>
      <c r="AB6" s="12"/>
      <c r="AC6" s="12"/>
      <c r="AD6" s="12"/>
      <c r="AE6" s="12"/>
      <c r="AF6" s="12"/>
      <c r="AG6" s="12"/>
      <c r="AH6" s="12"/>
      <c r="AI6" s="12"/>
      <c r="AJ6" s="12"/>
      <c r="AK6" s="12"/>
      <c r="AL6" s="13"/>
      <c r="AM6" s="14"/>
      <c r="AN6" s="14"/>
      <c r="AO6" s="12"/>
      <c r="AP6" s="14"/>
      <c r="AQ6" s="12"/>
      <c r="AR6" s="12"/>
      <c r="AS6" s="12"/>
      <c r="AT6" s="12"/>
      <c r="AU6" s="12"/>
      <c r="AV6" s="12"/>
      <c r="AW6" s="12"/>
      <c r="AX6" s="12"/>
      <c r="AY6" s="12"/>
      <c r="AZ6" s="12"/>
      <c r="BA6" s="12"/>
      <c r="BB6" s="12"/>
      <c r="BC6" s="12"/>
      <c r="BD6" s="12"/>
      <c r="BE6" s="13"/>
      <c r="BF6" s="14"/>
      <c r="BG6" s="14"/>
      <c r="BH6" s="12"/>
      <c r="BI6" s="14"/>
      <c r="BJ6" s="12"/>
      <c r="BK6" s="12"/>
      <c r="BL6" s="12"/>
      <c r="BM6" s="12"/>
      <c r="BN6" s="12"/>
      <c r="BO6" s="12"/>
      <c r="BP6" s="12"/>
      <c r="BQ6" s="12"/>
      <c r="BR6" s="12"/>
      <c r="BS6" s="12"/>
      <c r="BT6" s="12"/>
      <c r="BU6" s="12"/>
      <c r="BV6" s="12"/>
      <c r="BW6" s="12"/>
      <c r="BX6" s="13"/>
    </row>
    <row r="7" spans="1:76">
      <c r="A7" s="14"/>
      <c r="B7" s="14" t="s">
        <v>152</v>
      </c>
      <c r="C7" s="12"/>
      <c r="D7" s="14"/>
      <c r="E7" s="12"/>
      <c r="F7" s="12"/>
      <c r="G7" s="12"/>
      <c r="H7" s="12"/>
      <c r="I7" s="12"/>
      <c r="J7" s="12"/>
      <c r="K7" s="12"/>
      <c r="L7" s="12"/>
      <c r="M7" s="12"/>
      <c r="N7" s="12"/>
      <c r="O7" s="12"/>
      <c r="P7" s="12"/>
      <c r="Q7" s="12"/>
      <c r="R7" s="12"/>
      <c r="S7" s="13"/>
      <c r="T7" s="14"/>
      <c r="U7" s="14" t="s">
        <v>152</v>
      </c>
      <c r="V7" s="12"/>
      <c r="W7" s="14"/>
      <c r="X7" s="12"/>
      <c r="Y7" s="12"/>
      <c r="Z7" s="12"/>
      <c r="AA7" s="12"/>
      <c r="AB7" s="12"/>
      <c r="AC7" s="12"/>
      <c r="AD7" s="12"/>
      <c r="AE7" s="12"/>
      <c r="AF7" s="12"/>
      <c r="AG7" s="12"/>
      <c r="AH7" s="12"/>
      <c r="AI7" s="12"/>
      <c r="AJ7" s="12"/>
      <c r="AK7" s="12"/>
      <c r="AL7" s="13"/>
      <c r="AM7" s="14"/>
      <c r="AN7" s="14" t="s">
        <v>152</v>
      </c>
      <c r="AO7" s="12"/>
      <c r="AP7" s="14"/>
      <c r="AQ7" s="12"/>
      <c r="AR7" s="12"/>
      <c r="AS7" s="12"/>
      <c r="AT7" s="12"/>
      <c r="AU7" s="12"/>
      <c r="AV7" s="12"/>
      <c r="AW7" s="12"/>
      <c r="AX7" s="12"/>
      <c r="AY7" s="12"/>
      <c r="AZ7" s="12"/>
      <c r="BA7" s="12"/>
      <c r="BB7" s="12"/>
      <c r="BC7" s="12"/>
      <c r="BD7" s="12"/>
      <c r="BE7" s="13"/>
      <c r="BF7" s="14"/>
      <c r="BG7" s="14" t="s">
        <v>152</v>
      </c>
      <c r="BH7" s="12"/>
      <c r="BI7" s="14"/>
      <c r="BJ7" s="12"/>
      <c r="BK7" s="12"/>
      <c r="BL7" s="12"/>
      <c r="BM7" s="12"/>
      <c r="BN7" s="12"/>
      <c r="BO7" s="12"/>
      <c r="BP7" s="12"/>
      <c r="BQ7" s="12"/>
      <c r="BR7" s="12"/>
      <c r="BS7" s="12"/>
      <c r="BT7" s="12"/>
      <c r="BU7" s="12"/>
      <c r="BV7" s="12"/>
      <c r="BW7" s="12"/>
      <c r="BX7" s="13"/>
    </row>
    <row r="8" spans="1:76">
      <c r="A8" s="14"/>
      <c r="B8" s="143"/>
      <c r="C8" s="12"/>
      <c r="D8" s="14"/>
      <c r="E8" s="12"/>
      <c r="F8" s="12"/>
      <c r="G8" s="12"/>
      <c r="H8" s="12"/>
      <c r="I8" s="12"/>
      <c r="J8" s="12"/>
      <c r="K8" s="12"/>
      <c r="L8" s="12"/>
      <c r="M8" s="12"/>
      <c r="N8" s="12"/>
      <c r="O8" s="12"/>
      <c r="P8" s="12"/>
      <c r="Q8" s="12"/>
      <c r="R8" s="12"/>
      <c r="S8" s="13"/>
      <c r="T8" s="14"/>
      <c r="U8" s="143"/>
      <c r="V8" s="12"/>
      <c r="W8" s="14"/>
      <c r="X8" s="12"/>
      <c r="Y8" s="12"/>
      <c r="Z8" s="12"/>
      <c r="AA8" s="12"/>
      <c r="AB8" s="12"/>
      <c r="AC8" s="12"/>
      <c r="AD8" s="12"/>
      <c r="AE8" s="12"/>
      <c r="AF8" s="12"/>
      <c r="AG8" s="12"/>
      <c r="AH8" s="12"/>
      <c r="AI8" s="12"/>
      <c r="AJ8" s="12"/>
      <c r="AK8" s="12"/>
      <c r="AL8" s="13"/>
      <c r="AM8" s="14"/>
      <c r="AN8" s="143"/>
      <c r="AO8" s="12"/>
      <c r="AP8" s="14"/>
      <c r="AQ8" s="12"/>
      <c r="AR8" s="12"/>
      <c r="AS8" s="12"/>
      <c r="AT8" s="12"/>
      <c r="AU8" s="12"/>
      <c r="AV8" s="12"/>
      <c r="AW8" s="12"/>
      <c r="AX8" s="12"/>
      <c r="AY8" s="12"/>
      <c r="AZ8" s="12"/>
      <c r="BA8" s="12"/>
      <c r="BB8" s="12"/>
      <c r="BC8" s="12"/>
      <c r="BD8" s="12"/>
      <c r="BE8" s="13"/>
      <c r="BF8" s="14"/>
      <c r="BG8" s="143"/>
      <c r="BH8" s="12"/>
      <c r="BI8" s="14"/>
      <c r="BJ8" s="12"/>
      <c r="BK8" s="12"/>
      <c r="BL8" s="12"/>
      <c r="BM8" s="12"/>
      <c r="BN8" s="12"/>
      <c r="BO8" s="12"/>
      <c r="BP8" s="12"/>
      <c r="BQ8" s="12"/>
      <c r="BR8" s="12"/>
      <c r="BS8" s="12"/>
      <c r="BT8" s="12"/>
      <c r="BU8" s="12"/>
      <c r="BV8" s="12"/>
      <c r="BW8" s="12"/>
      <c r="BX8" s="13"/>
    </row>
    <row r="9" spans="1:76">
      <c r="A9" s="14"/>
      <c r="B9" s="14" t="s">
        <v>153</v>
      </c>
      <c r="C9" s="12"/>
      <c r="D9" s="14"/>
      <c r="E9" s="12"/>
      <c r="F9" s="12"/>
      <c r="G9" s="12"/>
      <c r="H9" s="12"/>
      <c r="I9" s="12"/>
      <c r="J9" s="12"/>
      <c r="K9" s="12"/>
      <c r="L9" s="12"/>
      <c r="M9" s="12"/>
      <c r="N9" s="12"/>
      <c r="O9" s="12"/>
      <c r="P9" s="12"/>
      <c r="Q9" s="12"/>
      <c r="R9" s="12"/>
      <c r="S9" s="13"/>
      <c r="T9" s="14"/>
      <c r="U9" s="14" t="s">
        <v>153</v>
      </c>
      <c r="V9" s="12"/>
      <c r="W9" s="14"/>
      <c r="X9" s="12"/>
      <c r="Y9" s="12"/>
      <c r="Z9" s="12"/>
      <c r="AA9" s="12"/>
      <c r="AB9" s="12"/>
      <c r="AC9" s="12"/>
      <c r="AD9" s="12"/>
      <c r="AE9" s="12"/>
      <c r="AF9" s="12"/>
      <c r="AG9" s="12"/>
      <c r="AH9" s="12"/>
      <c r="AI9" s="12"/>
      <c r="AJ9" s="12"/>
      <c r="AK9" s="12"/>
      <c r="AL9" s="13"/>
      <c r="AM9" s="14"/>
      <c r="AN9" s="14" t="s">
        <v>153</v>
      </c>
      <c r="AO9" s="12"/>
      <c r="AP9" s="14"/>
      <c r="AQ9" s="12"/>
      <c r="AR9" s="12"/>
      <c r="AS9" s="12"/>
      <c r="AT9" s="12"/>
      <c r="AU9" s="12"/>
      <c r="AV9" s="12"/>
      <c r="AW9" s="12"/>
      <c r="AX9" s="12"/>
      <c r="AY9" s="12"/>
      <c r="AZ9" s="12"/>
      <c r="BA9" s="12"/>
      <c r="BB9" s="12"/>
      <c r="BC9" s="12"/>
      <c r="BD9" s="12"/>
      <c r="BE9" s="13"/>
      <c r="BF9" s="14"/>
      <c r="BG9" s="14" t="s">
        <v>153</v>
      </c>
      <c r="BH9" s="12"/>
      <c r="BI9" s="14"/>
      <c r="BJ9" s="12"/>
      <c r="BK9" s="12"/>
      <c r="BL9" s="12"/>
      <c r="BM9" s="12"/>
      <c r="BN9" s="12"/>
      <c r="BO9" s="12"/>
      <c r="BP9" s="12"/>
      <c r="BQ9" s="12"/>
      <c r="BR9" s="12"/>
      <c r="BS9" s="12"/>
      <c r="BT9" s="12"/>
      <c r="BU9" s="12"/>
      <c r="BV9" s="12"/>
      <c r="BW9" s="12"/>
      <c r="BX9" s="13"/>
    </row>
    <row r="10" spans="1:76">
      <c r="A10" s="14"/>
      <c r="B10" s="143"/>
      <c r="C10" s="12"/>
      <c r="D10" s="12"/>
      <c r="E10" s="12"/>
      <c r="F10" s="12"/>
      <c r="G10" s="12"/>
      <c r="H10" s="12"/>
      <c r="I10" s="12"/>
      <c r="J10" s="12"/>
      <c r="K10" s="12"/>
      <c r="L10" s="12"/>
      <c r="M10" s="12"/>
      <c r="N10" s="12"/>
      <c r="O10" s="12"/>
      <c r="P10" s="12"/>
      <c r="Q10" s="12"/>
      <c r="R10" s="12"/>
      <c r="S10" s="13"/>
      <c r="T10" s="14"/>
      <c r="U10" s="143"/>
      <c r="V10" s="12"/>
      <c r="W10" s="12"/>
      <c r="X10" s="12"/>
      <c r="Y10" s="12"/>
      <c r="Z10" s="12"/>
      <c r="AA10" s="12"/>
      <c r="AB10" s="12"/>
      <c r="AC10" s="12"/>
      <c r="AD10" s="12"/>
      <c r="AE10" s="12"/>
      <c r="AF10" s="12"/>
      <c r="AG10" s="12"/>
      <c r="AH10" s="12"/>
      <c r="AI10" s="12"/>
      <c r="AJ10" s="12"/>
      <c r="AK10" s="12"/>
      <c r="AL10" s="13"/>
      <c r="AM10" s="14"/>
      <c r="AN10" s="143"/>
      <c r="AO10" s="12"/>
      <c r="AP10" s="12"/>
      <c r="AQ10" s="12"/>
      <c r="AR10" s="12"/>
      <c r="AS10" s="12"/>
      <c r="AT10" s="12"/>
      <c r="AU10" s="12"/>
      <c r="AV10" s="12"/>
      <c r="AW10" s="12"/>
      <c r="AX10" s="12"/>
      <c r="AY10" s="12"/>
      <c r="AZ10" s="12"/>
      <c r="BA10" s="12"/>
      <c r="BB10" s="12"/>
      <c r="BC10" s="12"/>
      <c r="BD10" s="12"/>
      <c r="BE10" s="13"/>
      <c r="BF10" s="14"/>
      <c r="BG10" s="143"/>
      <c r="BH10" s="12"/>
      <c r="BI10" s="12"/>
      <c r="BJ10" s="12"/>
      <c r="BK10" s="12"/>
      <c r="BL10" s="12"/>
      <c r="BM10" s="12"/>
      <c r="BN10" s="12"/>
      <c r="BO10" s="12"/>
      <c r="BP10" s="12"/>
      <c r="BQ10" s="12"/>
      <c r="BR10" s="12"/>
      <c r="BS10" s="12"/>
      <c r="BT10" s="12"/>
      <c r="BU10" s="12"/>
      <c r="BV10" s="12"/>
      <c r="BW10" s="12"/>
      <c r="BX10" s="13"/>
    </row>
    <row r="11" spans="1:76">
      <c r="A11" s="11"/>
      <c r="B11" s="14" t="s">
        <v>154</v>
      </c>
      <c r="C11" s="12"/>
      <c r="D11" s="12"/>
      <c r="E11" s="12"/>
      <c r="F11" s="12"/>
      <c r="G11" s="12"/>
      <c r="H11" s="12"/>
      <c r="I11" s="12"/>
      <c r="J11" s="12"/>
      <c r="K11" s="12"/>
      <c r="L11" s="12"/>
      <c r="M11" s="12"/>
      <c r="N11" s="12"/>
      <c r="O11" s="12"/>
      <c r="P11" s="12"/>
      <c r="Q11" s="12"/>
      <c r="R11" s="12"/>
      <c r="S11" s="13"/>
      <c r="T11" s="11"/>
      <c r="U11" s="14" t="s">
        <v>154</v>
      </c>
      <c r="V11" s="12"/>
      <c r="W11" s="12"/>
      <c r="X11" s="12"/>
      <c r="Y11" s="12"/>
      <c r="Z11" s="12"/>
      <c r="AA11" s="12"/>
      <c r="AB11" s="12"/>
      <c r="AC11" s="12"/>
      <c r="AD11" s="12"/>
      <c r="AE11" s="12"/>
      <c r="AF11" s="12"/>
      <c r="AG11" s="12"/>
      <c r="AH11" s="12"/>
      <c r="AI11" s="12"/>
      <c r="AJ11" s="12"/>
      <c r="AK11" s="12"/>
      <c r="AL11" s="13"/>
      <c r="AM11" s="11"/>
      <c r="AN11" s="14" t="s">
        <v>154</v>
      </c>
      <c r="AO11" s="12"/>
      <c r="AP11" s="12"/>
      <c r="AQ11" s="12"/>
      <c r="AR11" s="12"/>
      <c r="AS11" s="12"/>
      <c r="AT11" s="12"/>
      <c r="AU11" s="12"/>
      <c r="AV11" s="12"/>
      <c r="AW11" s="12"/>
      <c r="AX11" s="12"/>
      <c r="AY11" s="12"/>
      <c r="AZ11" s="12"/>
      <c r="BA11" s="12"/>
      <c r="BB11" s="12"/>
      <c r="BC11" s="12"/>
      <c r="BD11" s="12"/>
      <c r="BE11" s="13"/>
      <c r="BF11" s="11"/>
      <c r="BG11" s="14" t="s">
        <v>154</v>
      </c>
      <c r="BH11" s="12"/>
      <c r="BI11" s="12"/>
      <c r="BJ11" s="12"/>
      <c r="BK11" s="12"/>
      <c r="BL11" s="12"/>
      <c r="BM11" s="12"/>
      <c r="BN11" s="12"/>
      <c r="BO11" s="12"/>
      <c r="BP11" s="12"/>
      <c r="BQ11" s="12"/>
      <c r="BR11" s="12"/>
      <c r="BS11" s="12"/>
      <c r="BT11" s="12"/>
      <c r="BU11" s="12"/>
      <c r="BV11" s="12"/>
      <c r="BW11" s="12"/>
      <c r="BX11" s="13"/>
    </row>
    <row r="12" spans="1:76">
      <c r="A12" s="63"/>
      <c r="B12" s="64"/>
      <c r="C12" s="64"/>
      <c r="D12" s="64"/>
      <c r="E12" s="64"/>
      <c r="F12" s="64"/>
      <c r="G12" s="64"/>
      <c r="H12" s="64"/>
      <c r="I12" s="64"/>
      <c r="J12" s="64"/>
      <c r="K12" s="64"/>
      <c r="L12" s="64"/>
      <c r="M12" s="64"/>
      <c r="N12" s="64"/>
      <c r="O12" s="64"/>
      <c r="P12" s="64"/>
      <c r="Q12" s="64"/>
      <c r="R12" s="64"/>
      <c r="S12" s="65"/>
      <c r="T12" s="63"/>
      <c r="U12" s="64"/>
      <c r="V12" s="64"/>
      <c r="W12" s="64"/>
      <c r="X12" s="64"/>
      <c r="Y12" s="64"/>
      <c r="Z12" s="64"/>
      <c r="AA12" s="64"/>
      <c r="AB12" s="64"/>
      <c r="AC12" s="64"/>
      <c r="AD12" s="64"/>
      <c r="AE12" s="64"/>
      <c r="AF12" s="64"/>
      <c r="AG12" s="64"/>
      <c r="AH12" s="64"/>
      <c r="AI12" s="64"/>
      <c r="AJ12" s="64"/>
      <c r="AK12" s="64"/>
      <c r="AL12" s="65"/>
      <c r="AM12" s="63"/>
      <c r="AN12" s="64"/>
      <c r="AO12" s="64"/>
      <c r="AP12" s="64"/>
      <c r="AQ12" s="64"/>
      <c r="AR12" s="64"/>
      <c r="AS12" s="64"/>
      <c r="AT12" s="64"/>
      <c r="AU12" s="64"/>
      <c r="AV12" s="64"/>
      <c r="AW12" s="64"/>
      <c r="AX12" s="64"/>
      <c r="AY12" s="64"/>
      <c r="AZ12" s="64"/>
      <c r="BA12" s="64"/>
      <c r="BB12" s="64"/>
      <c r="BC12" s="64"/>
      <c r="BD12" s="64"/>
      <c r="BE12" s="65"/>
      <c r="BF12" s="63"/>
      <c r="BG12" s="64"/>
      <c r="BH12" s="64"/>
      <c r="BI12" s="64"/>
      <c r="BJ12" s="64"/>
      <c r="BK12" s="64"/>
      <c r="BL12" s="64"/>
      <c r="BM12" s="64"/>
      <c r="BN12" s="64"/>
      <c r="BO12" s="64"/>
      <c r="BP12" s="64"/>
      <c r="BQ12" s="64"/>
      <c r="BR12" s="64"/>
      <c r="BS12" s="64"/>
      <c r="BT12" s="64"/>
      <c r="BU12" s="64"/>
      <c r="BV12" s="64"/>
      <c r="BW12" s="64"/>
      <c r="BX12" s="65"/>
    </row>
    <row r="13" spans="1:76">
      <c r="A13" s="63"/>
      <c r="B13" s="64"/>
      <c r="C13" s="64"/>
      <c r="D13" s="64"/>
      <c r="E13" s="64"/>
      <c r="F13" s="64"/>
      <c r="G13" s="67"/>
      <c r="H13" s="64"/>
      <c r="I13" s="64"/>
      <c r="J13" s="64"/>
      <c r="K13" s="64"/>
      <c r="L13" s="64"/>
      <c r="M13" s="64"/>
      <c r="N13" s="64"/>
      <c r="O13" s="64"/>
      <c r="P13" s="64"/>
      <c r="Q13" s="64"/>
      <c r="R13" s="64"/>
      <c r="S13" s="65"/>
      <c r="T13" s="63"/>
      <c r="U13" s="64"/>
      <c r="V13" s="64"/>
      <c r="W13" s="64"/>
      <c r="X13" s="64"/>
      <c r="Y13" s="64"/>
      <c r="Z13" s="67"/>
      <c r="AA13" s="64"/>
      <c r="AB13" s="64"/>
      <c r="AC13" s="64"/>
      <c r="AD13" s="64"/>
      <c r="AE13" s="64"/>
      <c r="AF13" s="64"/>
      <c r="AG13" s="64"/>
      <c r="AH13" s="64"/>
      <c r="AI13" s="64"/>
      <c r="AJ13" s="64"/>
      <c r="AK13" s="64"/>
      <c r="AL13" s="65"/>
      <c r="AM13" s="63"/>
      <c r="AN13" s="64"/>
      <c r="AO13" s="64"/>
      <c r="AP13" s="64"/>
      <c r="AQ13" s="64"/>
      <c r="AR13" s="64"/>
      <c r="AS13" s="67"/>
      <c r="AT13" s="64"/>
      <c r="AU13" s="64"/>
      <c r="AV13" s="64"/>
      <c r="AW13" s="64"/>
      <c r="AX13" s="64"/>
      <c r="AY13" s="64"/>
      <c r="AZ13" s="64"/>
      <c r="BA13" s="64"/>
      <c r="BB13" s="64"/>
      <c r="BC13" s="64"/>
      <c r="BD13" s="64"/>
      <c r="BE13" s="65"/>
      <c r="BF13" s="63"/>
      <c r="BG13" s="64"/>
      <c r="BH13" s="64"/>
      <c r="BI13" s="64"/>
      <c r="BJ13" s="64"/>
      <c r="BK13" s="64"/>
      <c r="BL13" s="67"/>
      <c r="BM13" s="64"/>
      <c r="BN13" s="64"/>
      <c r="BO13" s="64"/>
      <c r="BP13" s="64"/>
      <c r="BQ13" s="64"/>
      <c r="BR13" s="64"/>
      <c r="BS13" s="64"/>
      <c r="BT13" s="64"/>
      <c r="BU13" s="64"/>
      <c r="BV13" s="64"/>
      <c r="BW13" s="64"/>
      <c r="BX13" s="65"/>
    </row>
    <row r="14" spans="1:76">
      <c r="A14" s="63"/>
      <c r="B14" s="64"/>
      <c r="C14" s="64"/>
      <c r="D14" s="64"/>
      <c r="E14" s="64"/>
      <c r="F14" s="64"/>
      <c r="G14" s="64"/>
      <c r="H14" s="64"/>
      <c r="I14" s="64"/>
      <c r="J14" s="64"/>
      <c r="K14" s="64"/>
      <c r="L14" s="64"/>
      <c r="M14" s="64"/>
      <c r="N14" s="64"/>
      <c r="O14" s="64"/>
      <c r="P14" s="64"/>
      <c r="Q14" s="64"/>
      <c r="R14" s="64"/>
      <c r="S14" s="65"/>
      <c r="T14" s="63"/>
      <c r="U14" s="64"/>
      <c r="V14" s="64"/>
      <c r="W14" s="64"/>
      <c r="X14" s="64"/>
      <c r="Y14" s="64"/>
      <c r="Z14" s="64"/>
      <c r="AA14" s="64"/>
      <c r="AB14" s="64"/>
      <c r="AC14" s="64"/>
      <c r="AD14" s="64"/>
      <c r="AE14" s="64"/>
      <c r="AF14" s="64"/>
      <c r="AG14" s="64"/>
      <c r="AH14" s="64"/>
      <c r="AI14" s="64"/>
      <c r="AJ14" s="64"/>
      <c r="AK14" s="64"/>
      <c r="AL14" s="65"/>
      <c r="AM14" s="63"/>
      <c r="AN14" s="64"/>
      <c r="AO14" s="64"/>
      <c r="AP14" s="64"/>
      <c r="AQ14" s="64"/>
      <c r="AR14" s="64"/>
      <c r="AS14" s="64"/>
      <c r="AT14" s="64"/>
      <c r="AU14" s="64"/>
      <c r="AV14" s="64"/>
      <c r="AW14" s="64"/>
      <c r="AX14" s="64"/>
      <c r="AY14" s="64"/>
      <c r="AZ14" s="64"/>
      <c r="BA14" s="64"/>
      <c r="BB14" s="64"/>
      <c r="BC14" s="64"/>
      <c r="BD14" s="64"/>
      <c r="BE14" s="65"/>
      <c r="BF14" s="63"/>
      <c r="BG14" s="64"/>
      <c r="BH14" s="64"/>
      <c r="BI14" s="64"/>
      <c r="BJ14" s="64"/>
      <c r="BK14" s="64"/>
      <c r="BL14" s="64"/>
      <c r="BM14" s="64"/>
      <c r="BN14" s="64"/>
      <c r="BO14" s="64"/>
      <c r="BP14" s="64"/>
      <c r="BQ14" s="64"/>
      <c r="BR14" s="64"/>
      <c r="BS14" s="64"/>
      <c r="BT14" s="64"/>
      <c r="BU14" s="64"/>
      <c r="BV14" s="64"/>
      <c r="BW14" s="64"/>
      <c r="BX14" s="65"/>
    </row>
    <row r="15" spans="1:76">
      <c r="A15" s="63"/>
      <c r="B15" s="64"/>
      <c r="C15" s="64"/>
      <c r="D15" s="64"/>
      <c r="E15" s="64"/>
      <c r="F15" s="64"/>
      <c r="G15" s="64"/>
      <c r="H15" s="64"/>
      <c r="I15" s="64"/>
      <c r="J15" s="64"/>
      <c r="K15" s="64"/>
      <c r="L15" s="64"/>
      <c r="M15" s="64"/>
      <c r="N15" s="64"/>
      <c r="O15" s="64"/>
      <c r="P15" s="64"/>
      <c r="Q15" s="64"/>
      <c r="R15" s="64"/>
      <c r="S15" s="65"/>
      <c r="T15" s="63"/>
      <c r="U15" s="64"/>
      <c r="V15" s="64"/>
      <c r="W15" s="64"/>
      <c r="X15" s="64"/>
      <c r="Y15" s="64"/>
      <c r="Z15" s="64"/>
      <c r="AA15" s="64"/>
      <c r="AB15" s="64"/>
      <c r="AC15" s="64"/>
      <c r="AD15" s="64"/>
      <c r="AE15" s="64"/>
      <c r="AF15" s="64"/>
      <c r="AG15" s="64"/>
      <c r="AH15" s="64"/>
      <c r="AI15" s="64"/>
      <c r="AJ15" s="64"/>
      <c r="AK15" s="64"/>
      <c r="AL15" s="65"/>
      <c r="AM15" s="63"/>
      <c r="AN15" s="64"/>
      <c r="AO15" s="64"/>
      <c r="AP15" s="64"/>
      <c r="AQ15" s="64"/>
      <c r="AR15" s="64"/>
      <c r="AS15" s="64"/>
      <c r="AT15" s="64"/>
      <c r="AU15" s="64"/>
      <c r="AV15" s="64"/>
      <c r="AW15" s="64"/>
      <c r="AX15" s="64"/>
      <c r="AY15" s="64"/>
      <c r="AZ15" s="64"/>
      <c r="BA15" s="64"/>
      <c r="BB15" s="64"/>
      <c r="BC15" s="64"/>
      <c r="BD15" s="64"/>
      <c r="BE15" s="65"/>
      <c r="BF15" s="63"/>
      <c r="BG15" s="64"/>
      <c r="BH15" s="64"/>
      <c r="BI15" s="64"/>
      <c r="BJ15" s="64"/>
      <c r="BK15" s="64"/>
      <c r="BL15" s="64"/>
      <c r="BM15" s="64"/>
      <c r="BN15" s="64"/>
      <c r="BO15" s="64"/>
      <c r="BP15" s="64"/>
      <c r="BQ15" s="64"/>
      <c r="BR15" s="64"/>
      <c r="BS15" s="64"/>
      <c r="BT15" s="64"/>
      <c r="BU15" s="64"/>
      <c r="BV15" s="64"/>
      <c r="BW15" s="64"/>
      <c r="BX15" s="65"/>
    </row>
    <row r="16" spans="1:76">
      <c r="A16" s="63"/>
      <c r="B16" s="64"/>
      <c r="C16" s="64"/>
      <c r="D16" s="64"/>
      <c r="E16" s="64"/>
      <c r="F16" s="64"/>
      <c r="G16" s="64"/>
      <c r="H16" s="64"/>
      <c r="I16" s="64"/>
      <c r="J16" s="64"/>
      <c r="K16" s="64"/>
      <c r="L16" s="64"/>
      <c r="M16" s="64"/>
      <c r="N16" s="64"/>
      <c r="O16" s="64"/>
      <c r="P16" s="64"/>
      <c r="Q16" s="64"/>
      <c r="R16" s="64"/>
      <c r="S16" s="65"/>
      <c r="T16" s="63"/>
      <c r="U16" s="64"/>
      <c r="V16" s="64"/>
      <c r="W16" s="64"/>
      <c r="X16" s="64"/>
      <c r="Y16" s="64"/>
      <c r="Z16" s="64"/>
      <c r="AA16" s="64"/>
      <c r="AB16" s="64"/>
      <c r="AC16" s="64"/>
      <c r="AD16" s="64"/>
      <c r="AE16" s="64"/>
      <c r="AF16" s="64"/>
      <c r="AG16" s="64"/>
      <c r="AH16" s="64"/>
      <c r="AI16" s="64"/>
      <c r="AJ16" s="64"/>
      <c r="AK16" s="64"/>
      <c r="AL16" s="65"/>
      <c r="AM16" s="63"/>
      <c r="AN16" s="64"/>
      <c r="AO16" s="64"/>
      <c r="AP16" s="64"/>
      <c r="AQ16" s="64"/>
      <c r="AR16" s="64"/>
      <c r="AS16" s="64"/>
      <c r="AT16" s="64"/>
      <c r="AU16" s="64"/>
      <c r="AV16" s="64"/>
      <c r="AW16" s="64"/>
      <c r="AX16" s="64"/>
      <c r="AY16" s="64"/>
      <c r="AZ16" s="64"/>
      <c r="BA16" s="64"/>
      <c r="BB16" s="64"/>
      <c r="BC16" s="64"/>
      <c r="BD16" s="64"/>
      <c r="BE16" s="65"/>
      <c r="BF16" s="63"/>
      <c r="BG16" s="64"/>
      <c r="BH16" s="64"/>
      <c r="BI16" s="64"/>
      <c r="BJ16" s="64"/>
      <c r="BK16" s="64"/>
      <c r="BL16" s="64"/>
      <c r="BM16" s="64"/>
      <c r="BN16" s="64"/>
      <c r="BO16" s="64"/>
      <c r="BP16" s="64"/>
      <c r="BQ16" s="64"/>
      <c r="BR16" s="64"/>
      <c r="BS16" s="64"/>
      <c r="BT16" s="64"/>
      <c r="BU16" s="64"/>
      <c r="BV16" s="64"/>
      <c r="BW16" s="64"/>
      <c r="BX16" s="65"/>
    </row>
    <row r="17" spans="1:76">
      <c r="A17" s="63"/>
      <c r="B17" s="64"/>
      <c r="C17" s="64"/>
      <c r="D17" s="64"/>
      <c r="E17" s="64"/>
      <c r="F17" s="64"/>
      <c r="G17" s="64"/>
      <c r="H17" s="64"/>
      <c r="I17" s="64"/>
      <c r="J17" s="64"/>
      <c r="K17" s="64"/>
      <c r="L17" s="64"/>
      <c r="M17" s="64"/>
      <c r="N17" s="64"/>
      <c r="O17" s="64"/>
      <c r="P17" s="64"/>
      <c r="Q17" s="64"/>
      <c r="R17" s="64"/>
      <c r="S17" s="65"/>
      <c r="T17" s="63"/>
      <c r="U17" s="64"/>
      <c r="V17" s="64"/>
      <c r="W17" s="64"/>
      <c r="X17" s="64"/>
      <c r="Y17" s="64"/>
      <c r="Z17" s="64"/>
      <c r="AA17" s="64"/>
      <c r="AB17" s="64"/>
      <c r="AC17" s="64"/>
      <c r="AD17" s="64"/>
      <c r="AE17" s="64"/>
      <c r="AF17" s="64"/>
      <c r="AG17" s="64"/>
      <c r="AH17" s="64"/>
      <c r="AI17" s="64"/>
      <c r="AJ17" s="64"/>
      <c r="AK17" s="64"/>
      <c r="AL17" s="65"/>
      <c r="AM17" s="63"/>
      <c r="AN17" s="64"/>
      <c r="AO17" s="64"/>
      <c r="AP17" s="64"/>
      <c r="AQ17" s="64"/>
      <c r="AR17" s="64"/>
      <c r="AS17" s="64"/>
      <c r="AT17" s="64"/>
      <c r="AU17" s="64"/>
      <c r="AV17" s="64"/>
      <c r="AW17" s="64"/>
      <c r="AX17" s="64"/>
      <c r="AY17" s="64"/>
      <c r="AZ17" s="64"/>
      <c r="BA17" s="64"/>
      <c r="BB17" s="64"/>
      <c r="BC17" s="64"/>
      <c r="BD17" s="64"/>
      <c r="BE17" s="65"/>
      <c r="BF17" s="63"/>
      <c r="BG17" s="64"/>
      <c r="BH17" s="64"/>
      <c r="BI17" s="64"/>
      <c r="BJ17" s="64"/>
      <c r="BK17" s="64"/>
      <c r="BL17" s="64"/>
      <c r="BM17" s="64"/>
      <c r="BN17" s="64"/>
      <c r="BO17" s="64"/>
      <c r="BP17" s="64"/>
      <c r="BQ17" s="64"/>
      <c r="BR17" s="64"/>
      <c r="BS17" s="64"/>
      <c r="BT17" s="64"/>
      <c r="BU17" s="64"/>
      <c r="BV17" s="64"/>
      <c r="BW17" s="64"/>
      <c r="BX17" s="65"/>
    </row>
    <row r="18" spans="1:76">
      <c r="A18" s="68"/>
      <c r="B18" s="69"/>
      <c r="C18" s="69"/>
      <c r="D18" s="69"/>
      <c r="E18" s="70"/>
      <c r="F18" s="70"/>
      <c r="G18" s="69"/>
      <c r="H18" s="70"/>
      <c r="I18" s="69"/>
      <c r="J18" s="69"/>
      <c r="K18" s="69"/>
      <c r="L18" s="69"/>
      <c r="M18" s="69"/>
      <c r="N18" s="69"/>
      <c r="O18" s="69"/>
      <c r="P18" s="69"/>
      <c r="Q18" s="69"/>
      <c r="R18" s="69"/>
      <c r="S18" s="71"/>
      <c r="T18" s="68"/>
      <c r="U18" s="69"/>
      <c r="V18" s="69"/>
      <c r="W18" s="69"/>
      <c r="X18" s="70"/>
      <c r="Y18" s="70"/>
      <c r="Z18" s="69"/>
      <c r="AA18" s="70"/>
      <c r="AB18" s="69"/>
      <c r="AC18" s="69"/>
      <c r="AD18" s="69"/>
      <c r="AE18" s="69"/>
      <c r="AF18" s="69"/>
      <c r="AG18" s="69"/>
      <c r="AH18" s="69"/>
      <c r="AI18" s="69"/>
      <c r="AJ18" s="69"/>
      <c r="AK18" s="69"/>
      <c r="AL18" s="71"/>
      <c r="AM18" s="68"/>
      <c r="AN18" s="69"/>
      <c r="AO18" s="69"/>
      <c r="AP18" s="69"/>
      <c r="AQ18" s="70"/>
      <c r="AR18" s="70"/>
      <c r="AS18" s="69"/>
      <c r="AT18" s="70"/>
      <c r="AU18" s="69"/>
      <c r="AV18" s="69"/>
      <c r="AW18" s="69"/>
      <c r="AX18" s="69"/>
      <c r="AY18" s="69"/>
      <c r="AZ18" s="69"/>
      <c r="BA18" s="69"/>
      <c r="BB18" s="69"/>
      <c r="BC18" s="69"/>
      <c r="BD18" s="69"/>
      <c r="BE18" s="71"/>
      <c r="BF18" s="68"/>
      <c r="BG18" s="69"/>
      <c r="BH18" s="69"/>
      <c r="BI18" s="69"/>
      <c r="BJ18" s="70"/>
      <c r="BK18" s="70"/>
      <c r="BL18" s="69"/>
      <c r="BM18" s="70"/>
      <c r="BN18" s="69"/>
      <c r="BO18" s="69"/>
      <c r="BP18" s="69"/>
      <c r="BQ18" s="69"/>
      <c r="BR18" s="69"/>
      <c r="BS18" s="69"/>
      <c r="BT18" s="69"/>
      <c r="BU18" s="69"/>
      <c r="BV18" s="69"/>
      <c r="BW18" s="69"/>
      <c r="BX18" s="71"/>
    </row>
    <row r="19" spans="1:76">
      <c r="A19" s="293" t="s">
        <v>207</v>
      </c>
      <c r="B19" s="330"/>
      <c r="C19" s="330"/>
      <c r="D19" s="330"/>
      <c r="E19" s="330"/>
      <c r="F19" s="330"/>
      <c r="G19" s="330"/>
      <c r="H19" s="330"/>
      <c r="I19" s="330"/>
      <c r="J19" s="330"/>
      <c r="K19" s="330"/>
      <c r="L19" s="330"/>
      <c r="M19" s="330"/>
      <c r="N19" s="330"/>
      <c r="O19" s="330"/>
      <c r="P19" s="330"/>
      <c r="Q19" s="330"/>
      <c r="R19" s="330"/>
      <c r="S19" s="331"/>
      <c r="T19" s="293" t="s">
        <v>208</v>
      </c>
      <c r="U19" s="330"/>
      <c r="V19" s="330"/>
      <c r="W19" s="330"/>
      <c r="X19" s="330"/>
      <c r="Y19" s="330"/>
      <c r="Z19" s="330"/>
      <c r="AA19" s="330"/>
      <c r="AB19" s="330"/>
      <c r="AC19" s="330"/>
      <c r="AD19" s="330"/>
      <c r="AE19" s="330"/>
      <c r="AF19" s="330"/>
      <c r="AG19" s="330"/>
      <c r="AH19" s="330"/>
      <c r="AI19" s="330"/>
      <c r="AJ19" s="330"/>
      <c r="AK19" s="330"/>
      <c r="AL19" s="331"/>
      <c r="AM19" s="293" t="s">
        <v>209</v>
      </c>
      <c r="AN19" s="330"/>
      <c r="AO19" s="330"/>
      <c r="AP19" s="330"/>
      <c r="AQ19" s="330"/>
      <c r="AR19" s="330"/>
      <c r="AS19" s="330"/>
      <c r="AT19" s="330"/>
      <c r="AU19" s="330"/>
      <c r="AV19" s="330"/>
      <c r="AW19" s="330"/>
      <c r="AX19" s="330"/>
      <c r="AY19" s="330"/>
      <c r="AZ19" s="330"/>
      <c r="BA19" s="330"/>
      <c r="BB19" s="330"/>
      <c r="BC19" s="330"/>
      <c r="BD19" s="330"/>
      <c r="BE19" s="331"/>
      <c r="BF19" s="293" t="s">
        <v>210</v>
      </c>
      <c r="BG19" s="330"/>
      <c r="BH19" s="330"/>
      <c r="BI19" s="330"/>
      <c r="BJ19" s="330"/>
      <c r="BK19" s="330"/>
      <c r="BL19" s="330"/>
      <c r="BM19" s="330"/>
      <c r="BN19" s="330"/>
      <c r="BO19" s="330"/>
      <c r="BP19" s="330"/>
      <c r="BQ19" s="330"/>
      <c r="BR19" s="330"/>
      <c r="BS19" s="330"/>
      <c r="BT19" s="330"/>
      <c r="BU19" s="330"/>
      <c r="BV19" s="330"/>
      <c r="BW19" s="330"/>
      <c r="BX19" s="331"/>
    </row>
    <row r="20" spans="1:76">
      <c r="A20" s="332"/>
      <c r="B20" s="330"/>
      <c r="C20" s="330"/>
      <c r="D20" s="330"/>
      <c r="E20" s="330"/>
      <c r="F20" s="330"/>
      <c r="G20" s="330"/>
      <c r="H20" s="330"/>
      <c r="I20" s="330"/>
      <c r="J20" s="330"/>
      <c r="K20" s="330"/>
      <c r="L20" s="330"/>
      <c r="M20" s="330"/>
      <c r="N20" s="330"/>
      <c r="O20" s="330"/>
      <c r="P20" s="330"/>
      <c r="Q20" s="330"/>
      <c r="R20" s="330"/>
      <c r="S20" s="331"/>
      <c r="T20" s="332"/>
      <c r="U20" s="330"/>
      <c r="V20" s="330"/>
      <c r="W20" s="330"/>
      <c r="X20" s="330"/>
      <c r="Y20" s="330"/>
      <c r="Z20" s="330"/>
      <c r="AA20" s="330"/>
      <c r="AB20" s="330"/>
      <c r="AC20" s="330"/>
      <c r="AD20" s="330"/>
      <c r="AE20" s="330"/>
      <c r="AF20" s="330"/>
      <c r="AG20" s="330"/>
      <c r="AH20" s="330"/>
      <c r="AI20" s="330"/>
      <c r="AJ20" s="330"/>
      <c r="AK20" s="330"/>
      <c r="AL20" s="331"/>
      <c r="AM20" s="332"/>
      <c r="AN20" s="330"/>
      <c r="AO20" s="330"/>
      <c r="AP20" s="330"/>
      <c r="AQ20" s="330"/>
      <c r="AR20" s="330"/>
      <c r="AS20" s="330"/>
      <c r="AT20" s="330"/>
      <c r="AU20" s="330"/>
      <c r="AV20" s="330"/>
      <c r="AW20" s="330"/>
      <c r="AX20" s="330"/>
      <c r="AY20" s="330"/>
      <c r="AZ20" s="330"/>
      <c r="BA20" s="330"/>
      <c r="BB20" s="330"/>
      <c r="BC20" s="330"/>
      <c r="BD20" s="330"/>
      <c r="BE20" s="331"/>
      <c r="BF20" s="332"/>
      <c r="BG20" s="330"/>
      <c r="BH20" s="330"/>
      <c r="BI20" s="330"/>
      <c r="BJ20" s="330"/>
      <c r="BK20" s="330"/>
      <c r="BL20" s="330"/>
      <c r="BM20" s="330"/>
      <c r="BN20" s="330"/>
      <c r="BO20" s="330"/>
      <c r="BP20" s="330"/>
      <c r="BQ20" s="330"/>
      <c r="BR20" s="330"/>
      <c r="BS20" s="330"/>
      <c r="BT20" s="330"/>
      <c r="BU20" s="330"/>
      <c r="BV20" s="330"/>
      <c r="BW20" s="330"/>
      <c r="BX20" s="331"/>
    </row>
    <row r="21" spans="1:76">
      <c r="A21" s="8"/>
      <c r="B21" s="9"/>
      <c r="C21" s="9"/>
      <c r="D21" s="9"/>
      <c r="E21" s="9"/>
      <c r="F21" s="9"/>
      <c r="G21" s="9"/>
      <c r="H21" s="9"/>
      <c r="I21" s="9"/>
      <c r="J21" s="9"/>
      <c r="K21" s="9"/>
      <c r="L21" s="9"/>
      <c r="M21" s="9"/>
      <c r="N21" s="9"/>
      <c r="O21" s="9"/>
      <c r="P21" s="9"/>
      <c r="Q21" s="9"/>
      <c r="R21" s="9"/>
      <c r="S21" s="10"/>
      <c r="T21" s="8"/>
      <c r="U21" s="9"/>
      <c r="V21" s="9"/>
      <c r="W21" s="9"/>
      <c r="X21" s="9"/>
      <c r="Y21" s="9"/>
      <c r="Z21" s="9"/>
      <c r="AA21" s="9"/>
      <c r="AB21" s="9"/>
      <c r="AC21" s="9"/>
      <c r="AD21" s="9"/>
      <c r="AE21" s="9"/>
      <c r="AF21" s="9"/>
      <c r="AG21" s="9"/>
      <c r="AH21" s="9"/>
      <c r="AI21" s="9"/>
      <c r="AJ21" s="9"/>
      <c r="AK21" s="9"/>
      <c r="AL21" s="10"/>
      <c r="AM21" s="8"/>
      <c r="AN21" s="9"/>
      <c r="AO21" s="9"/>
      <c r="AP21" s="9"/>
      <c r="AQ21" s="9"/>
      <c r="AR21" s="9"/>
      <c r="AS21" s="9"/>
      <c r="AT21" s="9"/>
      <c r="AU21" s="9"/>
      <c r="AV21" s="9"/>
      <c r="AW21" s="9"/>
      <c r="AX21" s="9"/>
      <c r="AY21" s="9"/>
      <c r="AZ21" s="9"/>
      <c r="BA21" s="9"/>
      <c r="BB21" s="9"/>
      <c r="BC21" s="9"/>
      <c r="BD21" s="9"/>
      <c r="BE21" s="10"/>
      <c r="BF21" s="8"/>
      <c r="BG21" s="9"/>
      <c r="BH21" s="9"/>
      <c r="BI21" s="9"/>
      <c r="BJ21" s="9"/>
      <c r="BK21" s="9"/>
      <c r="BL21" s="9"/>
      <c r="BM21" s="9"/>
      <c r="BN21" s="9"/>
      <c r="BO21" s="9"/>
      <c r="BP21" s="9"/>
      <c r="BQ21" s="9"/>
      <c r="BR21" s="9"/>
      <c r="BS21" s="9"/>
      <c r="BT21" s="9"/>
      <c r="BU21" s="9"/>
      <c r="BV21" s="9"/>
      <c r="BW21" s="9"/>
      <c r="BX21" s="10"/>
    </row>
    <row r="22" spans="1:76">
      <c r="A22" s="11"/>
      <c r="B22" s="12"/>
      <c r="C22" s="12"/>
      <c r="D22" s="12"/>
      <c r="E22" s="12"/>
      <c r="F22" s="12"/>
      <c r="G22" s="12"/>
      <c r="H22" s="12"/>
      <c r="I22" s="12"/>
      <c r="J22" s="12"/>
      <c r="K22" s="12"/>
      <c r="L22" s="12"/>
      <c r="M22" s="12"/>
      <c r="N22" s="12"/>
      <c r="O22" s="12"/>
      <c r="P22" s="12"/>
      <c r="Q22" s="12"/>
      <c r="R22" s="12"/>
      <c r="S22" s="13"/>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row>
    <row r="23" spans="1:76">
      <c r="A23" s="11"/>
      <c r="B23" s="14" t="s">
        <v>157</v>
      </c>
      <c r="C23" s="12"/>
      <c r="D23" s="12"/>
      <c r="E23" s="12"/>
      <c r="F23" s="12"/>
      <c r="G23" s="12"/>
      <c r="H23" s="12"/>
      <c r="I23" s="12"/>
      <c r="J23" s="12"/>
      <c r="K23" s="12"/>
      <c r="L23" s="12"/>
      <c r="M23" s="12"/>
      <c r="N23" s="12"/>
      <c r="O23" s="12"/>
      <c r="P23" s="12"/>
      <c r="Q23" s="12"/>
      <c r="R23" s="12"/>
      <c r="S23" s="13"/>
      <c r="T23" s="11"/>
      <c r="U23" s="14" t="s">
        <v>157</v>
      </c>
      <c r="V23" s="12"/>
      <c r="W23" s="12"/>
      <c r="X23" s="12"/>
      <c r="Y23" s="12"/>
      <c r="Z23" s="12"/>
      <c r="AA23" s="12"/>
      <c r="AB23" s="12"/>
      <c r="AC23" s="12"/>
      <c r="AD23" s="12"/>
      <c r="AE23" s="12"/>
      <c r="AF23" s="12"/>
      <c r="AG23" s="12"/>
      <c r="AH23" s="12"/>
      <c r="AI23" s="12"/>
      <c r="AJ23" s="12"/>
      <c r="AK23" s="12"/>
      <c r="AL23" s="13"/>
      <c r="AM23" s="11"/>
      <c r="AN23" s="14" t="s">
        <v>157</v>
      </c>
      <c r="AO23" s="12"/>
      <c r="AP23" s="12"/>
      <c r="AQ23" s="12"/>
      <c r="AR23" s="12"/>
      <c r="AS23" s="12"/>
      <c r="AT23" s="12"/>
      <c r="AU23" s="12"/>
      <c r="AV23" s="12"/>
      <c r="AW23" s="12"/>
      <c r="AX23" s="12"/>
      <c r="AY23" s="12"/>
      <c r="AZ23" s="12"/>
      <c r="BA23" s="12"/>
      <c r="BB23" s="12"/>
      <c r="BC23" s="12"/>
      <c r="BD23" s="12"/>
      <c r="BE23" s="13"/>
      <c r="BF23" s="11"/>
      <c r="BG23" s="14" t="s">
        <v>157</v>
      </c>
      <c r="BH23" s="12"/>
      <c r="BI23" s="12"/>
      <c r="BJ23" s="12"/>
      <c r="BK23" s="12"/>
      <c r="BL23" s="12"/>
      <c r="BM23" s="12"/>
      <c r="BN23" s="12"/>
      <c r="BO23" s="12"/>
      <c r="BP23" s="12"/>
      <c r="BQ23" s="12"/>
      <c r="BR23" s="12"/>
      <c r="BS23" s="12"/>
      <c r="BT23" s="12"/>
      <c r="BU23" s="12"/>
      <c r="BV23" s="12"/>
      <c r="BW23" s="12"/>
      <c r="BX23" s="13"/>
    </row>
    <row r="24" spans="1:76">
      <c r="A24" s="11"/>
      <c r="B24" s="12"/>
      <c r="C24" s="12"/>
      <c r="D24" s="12"/>
      <c r="E24" s="12"/>
      <c r="F24" s="12"/>
      <c r="G24" s="12"/>
      <c r="H24" s="12"/>
      <c r="I24" s="12"/>
      <c r="J24" s="12"/>
      <c r="K24" s="12"/>
      <c r="L24" s="12"/>
      <c r="M24" s="12"/>
      <c r="N24" s="12"/>
      <c r="O24" s="12"/>
      <c r="P24" s="12"/>
      <c r="Q24" s="12"/>
      <c r="R24" s="12"/>
      <c r="S24" s="13"/>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row>
    <row r="25" spans="1:76">
      <c r="A25" s="11"/>
      <c r="B25" s="14" t="s">
        <v>158</v>
      </c>
      <c r="C25" s="12"/>
      <c r="D25" s="12"/>
      <c r="E25" s="12"/>
      <c r="F25" s="12"/>
      <c r="G25" s="12"/>
      <c r="H25" s="12"/>
      <c r="I25" s="12"/>
      <c r="J25" s="12"/>
      <c r="K25" s="12"/>
      <c r="L25" s="12"/>
      <c r="M25" s="12"/>
      <c r="N25" s="12"/>
      <c r="O25" s="12"/>
      <c r="P25" s="12"/>
      <c r="Q25" s="12"/>
      <c r="R25" s="12"/>
      <c r="S25" s="13"/>
      <c r="T25" s="11"/>
      <c r="U25" s="14" t="s">
        <v>158</v>
      </c>
      <c r="V25" s="12"/>
      <c r="W25" s="12"/>
      <c r="X25" s="12"/>
      <c r="Y25" s="12"/>
      <c r="Z25" s="12"/>
      <c r="AA25" s="12"/>
      <c r="AB25" s="12"/>
      <c r="AC25" s="12"/>
      <c r="AD25" s="12"/>
      <c r="AE25" s="12"/>
      <c r="AF25" s="12"/>
      <c r="AG25" s="12"/>
      <c r="AH25" s="12"/>
      <c r="AI25" s="12"/>
      <c r="AJ25" s="12"/>
      <c r="AK25" s="12"/>
      <c r="AL25" s="13"/>
      <c r="AM25" s="11"/>
      <c r="AN25" s="14" t="s">
        <v>158</v>
      </c>
      <c r="AO25" s="12"/>
      <c r="AP25" s="12"/>
      <c r="AQ25" s="12"/>
      <c r="AR25" s="12"/>
      <c r="AS25" s="12"/>
      <c r="AT25" s="12"/>
      <c r="AU25" s="12"/>
      <c r="AV25" s="12"/>
      <c r="AW25" s="12"/>
      <c r="AX25" s="12"/>
      <c r="AY25" s="12"/>
      <c r="AZ25" s="12"/>
      <c r="BA25" s="12"/>
      <c r="BB25" s="12"/>
      <c r="BC25" s="12"/>
      <c r="BD25" s="12"/>
      <c r="BE25" s="13"/>
      <c r="BF25" s="11"/>
      <c r="BG25" s="14" t="s">
        <v>158</v>
      </c>
      <c r="BH25" s="12"/>
      <c r="BI25" s="12"/>
      <c r="BJ25" s="12"/>
      <c r="BK25" s="12"/>
      <c r="BL25" s="12"/>
      <c r="BM25" s="12"/>
      <c r="BN25" s="12"/>
      <c r="BO25" s="12"/>
      <c r="BP25" s="12"/>
      <c r="BQ25" s="12"/>
      <c r="BR25" s="12"/>
      <c r="BS25" s="12"/>
      <c r="BT25" s="12"/>
      <c r="BU25" s="12"/>
      <c r="BV25" s="12"/>
      <c r="BW25" s="12"/>
      <c r="BX25" s="13"/>
    </row>
    <row r="26" spans="1:76">
      <c r="A26" s="63"/>
      <c r="B26" s="12"/>
      <c r="C26" s="64"/>
      <c r="D26" s="64"/>
      <c r="E26" s="64"/>
      <c r="F26" s="64"/>
      <c r="G26" s="64"/>
      <c r="H26" s="64"/>
      <c r="I26" s="64"/>
      <c r="J26" s="64"/>
      <c r="K26" s="64"/>
      <c r="L26" s="64"/>
      <c r="M26" s="64"/>
      <c r="N26" s="64"/>
      <c r="O26" s="64"/>
      <c r="P26" s="64"/>
      <c r="Q26" s="64"/>
      <c r="R26" s="64"/>
      <c r="S26" s="65"/>
      <c r="T26" s="63"/>
      <c r="U26" s="12"/>
      <c r="V26" s="64"/>
      <c r="W26" s="64"/>
      <c r="X26" s="64"/>
      <c r="Y26" s="64"/>
      <c r="Z26" s="64"/>
      <c r="AA26" s="64"/>
      <c r="AB26" s="64"/>
      <c r="AC26" s="64"/>
      <c r="AD26" s="64"/>
      <c r="AE26" s="64"/>
      <c r="AF26" s="64"/>
      <c r="AG26" s="64"/>
      <c r="AH26" s="64"/>
      <c r="AI26" s="64"/>
      <c r="AJ26" s="64"/>
      <c r="AK26" s="64"/>
      <c r="AL26" s="65"/>
      <c r="AM26" s="63"/>
      <c r="AN26" s="12"/>
      <c r="AO26" s="64"/>
      <c r="AP26" s="64"/>
      <c r="AQ26" s="64"/>
      <c r="AR26" s="64"/>
      <c r="AS26" s="64"/>
      <c r="AT26" s="64"/>
      <c r="AU26" s="64"/>
      <c r="AV26" s="64"/>
      <c r="AW26" s="64"/>
      <c r="AX26" s="64"/>
      <c r="AY26" s="64"/>
      <c r="AZ26" s="64"/>
      <c r="BA26" s="64"/>
      <c r="BB26" s="64"/>
      <c r="BC26" s="64"/>
      <c r="BD26" s="64"/>
      <c r="BE26" s="65"/>
      <c r="BF26" s="63"/>
      <c r="BG26" s="12"/>
      <c r="BH26" s="64"/>
      <c r="BI26" s="64"/>
      <c r="BJ26" s="64"/>
      <c r="BK26" s="64"/>
      <c r="BL26" s="64"/>
      <c r="BM26" s="64"/>
      <c r="BN26" s="64"/>
      <c r="BO26" s="64"/>
      <c r="BP26" s="64"/>
      <c r="BQ26" s="64"/>
      <c r="BR26" s="64"/>
      <c r="BS26" s="64"/>
      <c r="BT26" s="64"/>
      <c r="BU26" s="64"/>
      <c r="BV26" s="64"/>
      <c r="BW26" s="64"/>
      <c r="BX26" s="65"/>
    </row>
    <row r="27" spans="1:76">
      <c r="A27" s="63"/>
      <c r="B27" s="14" t="s">
        <v>159</v>
      </c>
      <c r="C27" s="64"/>
      <c r="D27" s="64"/>
      <c r="E27" s="64"/>
      <c r="F27" s="64"/>
      <c r="G27" s="64"/>
      <c r="H27" s="64"/>
      <c r="I27" s="64"/>
      <c r="J27" s="64"/>
      <c r="K27" s="64"/>
      <c r="L27" s="64"/>
      <c r="M27" s="64"/>
      <c r="N27" s="64"/>
      <c r="O27" s="64"/>
      <c r="P27" s="64"/>
      <c r="Q27" s="64"/>
      <c r="R27" s="64"/>
      <c r="S27" s="65"/>
      <c r="T27" s="63"/>
      <c r="U27" s="14" t="s">
        <v>159</v>
      </c>
      <c r="V27" s="64"/>
      <c r="W27" s="64"/>
      <c r="X27" s="64"/>
      <c r="Y27" s="64"/>
      <c r="Z27" s="64"/>
      <c r="AA27" s="64"/>
      <c r="AB27" s="64"/>
      <c r="AC27" s="64"/>
      <c r="AD27" s="64"/>
      <c r="AE27" s="64"/>
      <c r="AF27" s="64"/>
      <c r="AG27" s="64"/>
      <c r="AH27" s="64"/>
      <c r="AI27" s="64"/>
      <c r="AJ27" s="64"/>
      <c r="AK27" s="64"/>
      <c r="AL27" s="65"/>
      <c r="AM27" s="63"/>
      <c r="AN27" s="14" t="s">
        <v>159</v>
      </c>
      <c r="AO27" s="64"/>
      <c r="AP27" s="64"/>
      <c r="AQ27" s="64"/>
      <c r="AR27" s="64"/>
      <c r="AS27" s="64"/>
      <c r="AT27" s="64"/>
      <c r="AU27" s="64"/>
      <c r="AV27" s="64"/>
      <c r="AW27" s="64"/>
      <c r="AX27" s="64"/>
      <c r="AY27" s="64"/>
      <c r="AZ27" s="64"/>
      <c r="BA27" s="64"/>
      <c r="BB27" s="64"/>
      <c r="BC27" s="64"/>
      <c r="BD27" s="64"/>
      <c r="BE27" s="65"/>
      <c r="BF27" s="63"/>
      <c r="BG27" s="14" t="s">
        <v>159</v>
      </c>
      <c r="BH27" s="64"/>
      <c r="BI27" s="64"/>
      <c r="BJ27" s="64"/>
      <c r="BK27" s="64"/>
      <c r="BL27" s="64"/>
      <c r="BM27" s="64"/>
      <c r="BN27" s="64"/>
      <c r="BO27" s="64"/>
      <c r="BP27" s="64"/>
      <c r="BQ27" s="64"/>
      <c r="BR27" s="64"/>
      <c r="BS27" s="64"/>
      <c r="BT27" s="64"/>
      <c r="BU27" s="64"/>
      <c r="BV27" s="64"/>
      <c r="BW27" s="64"/>
      <c r="BX27" s="65"/>
    </row>
    <row r="28" spans="1:76">
      <c r="A28" s="63"/>
      <c r="B28" s="64"/>
      <c r="C28" s="64"/>
      <c r="D28" s="64"/>
      <c r="E28" s="64"/>
      <c r="F28" s="64"/>
      <c r="G28" s="64"/>
      <c r="H28" s="64"/>
      <c r="I28" s="64"/>
      <c r="J28" s="64"/>
      <c r="K28" s="64"/>
      <c r="L28" s="64"/>
      <c r="M28" s="64"/>
      <c r="N28" s="64"/>
      <c r="O28" s="64"/>
      <c r="P28" s="64"/>
      <c r="Q28" s="64"/>
      <c r="R28" s="64"/>
      <c r="S28" s="65"/>
      <c r="T28" s="63"/>
      <c r="U28" s="64"/>
      <c r="V28" s="64"/>
      <c r="W28" s="64"/>
      <c r="X28" s="64"/>
      <c r="Y28" s="64"/>
      <c r="Z28" s="64"/>
      <c r="AA28" s="64"/>
      <c r="AB28" s="64"/>
      <c r="AC28" s="64"/>
      <c r="AD28" s="64"/>
      <c r="AE28" s="64"/>
      <c r="AF28" s="64"/>
      <c r="AG28" s="64"/>
      <c r="AH28" s="64"/>
      <c r="AI28" s="64"/>
      <c r="AJ28" s="64"/>
      <c r="AK28" s="64"/>
      <c r="AL28" s="65"/>
      <c r="AM28" s="63"/>
      <c r="AN28" s="64"/>
      <c r="AO28" s="64"/>
      <c r="AP28" s="64"/>
      <c r="AQ28" s="64"/>
      <c r="AR28" s="64"/>
      <c r="AS28" s="64"/>
      <c r="AT28" s="64"/>
      <c r="AU28" s="64"/>
      <c r="AV28" s="64"/>
      <c r="AW28" s="64"/>
      <c r="AX28" s="64"/>
      <c r="AY28" s="64"/>
      <c r="AZ28" s="64"/>
      <c r="BA28" s="64"/>
      <c r="BB28" s="64"/>
      <c r="BC28" s="64"/>
      <c r="BD28" s="64"/>
      <c r="BE28" s="65"/>
      <c r="BF28" s="63"/>
      <c r="BG28" s="64"/>
      <c r="BH28" s="64"/>
      <c r="BI28" s="64"/>
      <c r="BJ28" s="64"/>
      <c r="BK28" s="64"/>
      <c r="BL28" s="64"/>
      <c r="BM28" s="64"/>
      <c r="BN28" s="64"/>
      <c r="BO28" s="64"/>
      <c r="BP28" s="64"/>
      <c r="BQ28" s="64"/>
      <c r="BR28" s="64"/>
      <c r="BS28" s="64"/>
      <c r="BT28" s="64"/>
      <c r="BU28" s="64"/>
      <c r="BV28" s="64"/>
      <c r="BW28" s="64"/>
      <c r="BX28" s="65"/>
    </row>
    <row r="29" spans="1:76">
      <c r="A29" s="63"/>
      <c r="B29" s="64"/>
      <c r="C29" s="64"/>
      <c r="D29" s="64"/>
      <c r="E29" s="64"/>
      <c r="F29" s="64"/>
      <c r="G29" s="64"/>
      <c r="H29" s="64"/>
      <c r="I29" s="64"/>
      <c r="J29" s="64"/>
      <c r="K29" s="64"/>
      <c r="L29" s="64"/>
      <c r="M29" s="64"/>
      <c r="N29" s="64"/>
      <c r="O29" s="64"/>
      <c r="P29" s="64"/>
      <c r="Q29" s="64"/>
      <c r="R29" s="64"/>
      <c r="S29" s="65"/>
      <c r="T29" s="63"/>
      <c r="U29" s="64"/>
      <c r="V29" s="64"/>
      <c r="W29" s="64"/>
      <c r="X29" s="64"/>
      <c r="Y29" s="64"/>
      <c r="Z29" s="64"/>
      <c r="AA29" s="64"/>
      <c r="AB29" s="64"/>
      <c r="AC29" s="64"/>
      <c r="AD29" s="64"/>
      <c r="AE29" s="64"/>
      <c r="AF29" s="64"/>
      <c r="AG29" s="64"/>
      <c r="AH29" s="64"/>
      <c r="AI29" s="64"/>
      <c r="AJ29" s="64"/>
      <c r="AK29" s="64"/>
      <c r="AL29" s="65"/>
      <c r="AM29" s="63"/>
      <c r="AN29" s="64"/>
      <c r="AO29" s="64"/>
      <c r="AP29" s="64"/>
      <c r="AQ29" s="64"/>
      <c r="AR29" s="64"/>
      <c r="AS29" s="64"/>
      <c r="AT29" s="64"/>
      <c r="AU29" s="64"/>
      <c r="AV29" s="64"/>
      <c r="AW29" s="64"/>
      <c r="AX29" s="64"/>
      <c r="AY29" s="64"/>
      <c r="AZ29" s="64"/>
      <c r="BA29" s="64"/>
      <c r="BB29" s="64"/>
      <c r="BC29" s="64"/>
      <c r="BD29" s="64"/>
      <c r="BE29" s="65"/>
      <c r="BF29" s="63"/>
      <c r="BG29" s="64"/>
      <c r="BH29" s="64"/>
      <c r="BI29" s="64"/>
      <c r="BJ29" s="64"/>
      <c r="BK29" s="64"/>
      <c r="BL29" s="64"/>
      <c r="BM29" s="64"/>
      <c r="BN29" s="64"/>
      <c r="BO29" s="64"/>
      <c r="BP29" s="64"/>
      <c r="BQ29" s="64"/>
      <c r="BR29" s="64"/>
      <c r="BS29" s="64"/>
      <c r="BT29" s="64"/>
      <c r="BU29" s="64"/>
      <c r="BV29" s="64"/>
      <c r="BW29" s="64"/>
      <c r="BX29" s="65"/>
    </row>
    <row r="30" spans="1:76">
      <c r="A30" s="63"/>
      <c r="B30" s="64"/>
      <c r="C30" s="64"/>
      <c r="D30" s="64"/>
      <c r="E30" s="64"/>
      <c r="F30" s="64"/>
      <c r="G30" s="64"/>
      <c r="H30" s="64"/>
      <c r="I30" s="64"/>
      <c r="J30" s="64"/>
      <c r="K30" s="64"/>
      <c r="L30" s="64"/>
      <c r="M30" s="64"/>
      <c r="N30" s="64"/>
      <c r="O30" s="64"/>
      <c r="P30" s="64"/>
      <c r="Q30" s="64"/>
      <c r="R30" s="64"/>
      <c r="S30" s="65"/>
      <c r="T30" s="63"/>
      <c r="U30" s="64"/>
      <c r="V30" s="64"/>
      <c r="W30" s="64"/>
      <c r="X30" s="64"/>
      <c r="Y30" s="64"/>
      <c r="Z30" s="64"/>
      <c r="AA30" s="64"/>
      <c r="AB30" s="64"/>
      <c r="AC30" s="64"/>
      <c r="AD30" s="64"/>
      <c r="AE30" s="64"/>
      <c r="AF30" s="64"/>
      <c r="AG30" s="64"/>
      <c r="AH30" s="64"/>
      <c r="AI30" s="64"/>
      <c r="AJ30" s="64"/>
      <c r="AK30" s="64"/>
      <c r="AL30" s="65"/>
      <c r="AM30" s="63"/>
      <c r="AN30" s="64"/>
      <c r="AO30" s="64"/>
      <c r="AP30" s="64"/>
      <c r="AQ30" s="64"/>
      <c r="AR30" s="64"/>
      <c r="AS30" s="64"/>
      <c r="AT30" s="64"/>
      <c r="AU30" s="64"/>
      <c r="AV30" s="64"/>
      <c r="AW30" s="64"/>
      <c r="AX30" s="64"/>
      <c r="AY30" s="64"/>
      <c r="AZ30" s="64"/>
      <c r="BA30" s="64"/>
      <c r="BB30" s="64"/>
      <c r="BC30" s="64"/>
      <c r="BD30" s="64"/>
      <c r="BE30" s="65"/>
      <c r="BF30" s="63"/>
      <c r="BG30" s="64"/>
      <c r="BH30" s="64"/>
      <c r="BI30" s="64"/>
      <c r="BJ30" s="64"/>
      <c r="BK30" s="64"/>
      <c r="BL30" s="64"/>
      <c r="BM30" s="64"/>
      <c r="BN30" s="64"/>
      <c r="BO30" s="64"/>
      <c r="BP30" s="64"/>
      <c r="BQ30" s="64"/>
      <c r="BR30" s="64"/>
      <c r="BS30" s="64"/>
      <c r="BT30" s="64"/>
      <c r="BU30" s="64"/>
      <c r="BV30" s="64"/>
      <c r="BW30" s="64"/>
      <c r="BX30" s="65"/>
    </row>
    <row r="31" spans="1:76">
      <c r="A31" s="63"/>
      <c r="B31" s="64"/>
      <c r="C31" s="64"/>
      <c r="D31" s="64"/>
      <c r="E31" s="64"/>
      <c r="F31" s="64"/>
      <c r="G31" s="64"/>
      <c r="H31" s="64"/>
      <c r="I31" s="64"/>
      <c r="J31" s="64"/>
      <c r="K31" s="64"/>
      <c r="L31" s="64"/>
      <c r="M31" s="64"/>
      <c r="N31" s="64"/>
      <c r="O31" s="64"/>
      <c r="P31" s="64"/>
      <c r="Q31" s="64"/>
      <c r="R31" s="64"/>
      <c r="S31" s="65"/>
      <c r="T31" s="63"/>
      <c r="U31" s="64"/>
      <c r="V31" s="64"/>
      <c r="W31" s="64"/>
      <c r="X31" s="64"/>
      <c r="Y31" s="64"/>
      <c r="Z31" s="64"/>
      <c r="AA31" s="64"/>
      <c r="AB31" s="64"/>
      <c r="AC31" s="64"/>
      <c r="AD31" s="64"/>
      <c r="AE31" s="64"/>
      <c r="AF31" s="64"/>
      <c r="AG31" s="64"/>
      <c r="AH31" s="64"/>
      <c r="AI31" s="64"/>
      <c r="AJ31" s="64"/>
      <c r="AK31" s="64"/>
      <c r="AL31" s="65"/>
      <c r="AM31" s="63"/>
      <c r="AN31" s="64"/>
      <c r="AO31" s="64"/>
      <c r="AP31" s="64"/>
      <c r="AQ31" s="64"/>
      <c r="AR31" s="64"/>
      <c r="AS31" s="64"/>
      <c r="AT31" s="64"/>
      <c r="AU31" s="64"/>
      <c r="AV31" s="64"/>
      <c r="AW31" s="64"/>
      <c r="AX31" s="64"/>
      <c r="AY31" s="64"/>
      <c r="AZ31" s="64"/>
      <c r="BA31" s="64"/>
      <c r="BB31" s="64"/>
      <c r="BC31" s="64"/>
      <c r="BD31" s="64"/>
      <c r="BE31" s="65"/>
      <c r="BF31" s="63"/>
      <c r="BG31" s="64"/>
      <c r="BH31" s="64"/>
      <c r="BI31" s="64"/>
      <c r="BJ31" s="64"/>
      <c r="BK31" s="64"/>
      <c r="BL31" s="64"/>
      <c r="BM31" s="64"/>
      <c r="BN31" s="64"/>
      <c r="BO31" s="64"/>
      <c r="BP31" s="64"/>
      <c r="BQ31" s="64"/>
      <c r="BR31" s="64"/>
      <c r="BS31" s="64"/>
      <c r="BT31" s="64"/>
      <c r="BU31" s="64"/>
      <c r="BV31" s="64"/>
      <c r="BW31" s="64"/>
      <c r="BX31" s="65"/>
    </row>
    <row r="32" spans="1:76">
      <c r="A32" s="63"/>
      <c r="B32" s="64"/>
      <c r="C32" s="64"/>
      <c r="D32" s="64"/>
      <c r="E32" s="66"/>
      <c r="F32" s="66"/>
      <c r="G32" s="67"/>
      <c r="H32" s="64"/>
      <c r="I32" s="64"/>
      <c r="J32" s="64"/>
      <c r="K32" s="64"/>
      <c r="L32" s="64"/>
      <c r="M32" s="64"/>
      <c r="N32" s="64"/>
      <c r="O32" s="64"/>
      <c r="P32" s="64"/>
      <c r="Q32" s="64"/>
      <c r="R32" s="64"/>
      <c r="S32" s="65"/>
      <c r="T32" s="63"/>
      <c r="U32" s="64"/>
      <c r="V32" s="64"/>
      <c r="W32" s="64"/>
      <c r="X32" s="66"/>
      <c r="Y32" s="66"/>
      <c r="Z32" s="67"/>
      <c r="AA32" s="64"/>
      <c r="AB32" s="64"/>
      <c r="AC32" s="64"/>
      <c r="AD32" s="64"/>
      <c r="AE32" s="64"/>
      <c r="AF32" s="64"/>
      <c r="AG32" s="64"/>
      <c r="AH32" s="64"/>
      <c r="AI32" s="64"/>
      <c r="AJ32" s="64"/>
      <c r="AK32" s="64"/>
      <c r="AL32" s="65"/>
      <c r="AM32" s="63"/>
      <c r="AN32" s="64"/>
      <c r="AO32" s="64"/>
      <c r="AP32" s="64"/>
      <c r="AQ32" s="66"/>
      <c r="AR32" s="66"/>
      <c r="AS32" s="67"/>
      <c r="AT32" s="64"/>
      <c r="AU32" s="64"/>
      <c r="AV32" s="64"/>
      <c r="AW32" s="64"/>
      <c r="AX32" s="64"/>
      <c r="AY32" s="64"/>
      <c r="AZ32" s="64"/>
      <c r="BA32" s="64"/>
      <c r="BB32" s="64"/>
      <c r="BC32" s="64"/>
      <c r="BD32" s="64"/>
      <c r="BE32" s="65"/>
      <c r="BF32" s="63"/>
      <c r="BG32" s="64"/>
      <c r="BH32" s="64"/>
      <c r="BI32" s="64"/>
      <c r="BJ32" s="66"/>
      <c r="BK32" s="66"/>
      <c r="BL32" s="67"/>
      <c r="BM32" s="64"/>
      <c r="BN32" s="64"/>
      <c r="BO32" s="64"/>
      <c r="BP32" s="64"/>
      <c r="BQ32" s="64"/>
      <c r="BR32" s="64"/>
      <c r="BS32" s="64"/>
      <c r="BT32" s="64"/>
      <c r="BU32" s="64"/>
      <c r="BV32" s="64"/>
      <c r="BW32" s="64"/>
      <c r="BX32" s="65"/>
    </row>
    <row r="33" spans="1:76">
      <c r="A33" s="63"/>
      <c r="B33" s="64"/>
      <c r="C33" s="64"/>
      <c r="D33" s="67"/>
      <c r="E33" s="66"/>
      <c r="F33" s="64"/>
      <c r="G33" s="66"/>
      <c r="H33" s="64"/>
      <c r="I33" s="64"/>
      <c r="J33" s="64"/>
      <c r="K33" s="64"/>
      <c r="L33" s="64"/>
      <c r="M33" s="64"/>
      <c r="N33" s="64"/>
      <c r="O33" s="64"/>
      <c r="P33" s="64"/>
      <c r="Q33" s="64"/>
      <c r="R33" s="64"/>
      <c r="S33" s="65"/>
      <c r="T33" s="63"/>
      <c r="U33" s="64"/>
      <c r="V33" s="64"/>
      <c r="W33" s="67"/>
      <c r="X33" s="66"/>
      <c r="Y33" s="64"/>
      <c r="Z33" s="66"/>
      <c r="AA33" s="64"/>
      <c r="AB33" s="64"/>
      <c r="AC33" s="64"/>
      <c r="AD33" s="64"/>
      <c r="AE33" s="64"/>
      <c r="AF33" s="64"/>
      <c r="AG33" s="64"/>
      <c r="AH33" s="64"/>
      <c r="AI33" s="64"/>
      <c r="AJ33" s="64"/>
      <c r="AK33" s="64"/>
      <c r="AL33" s="65"/>
      <c r="AM33" s="63"/>
      <c r="AN33" s="64"/>
      <c r="AO33" s="64"/>
      <c r="AP33" s="67"/>
      <c r="AQ33" s="66"/>
      <c r="AR33" s="64"/>
      <c r="AS33" s="66"/>
      <c r="AT33" s="64"/>
      <c r="AU33" s="64"/>
      <c r="AV33" s="64"/>
      <c r="AW33" s="64"/>
      <c r="AX33" s="64"/>
      <c r="AY33" s="64"/>
      <c r="AZ33" s="64"/>
      <c r="BA33" s="64"/>
      <c r="BB33" s="64"/>
      <c r="BC33" s="64"/>
      <c r="BD33" s="64"/>
      <c r="BE33" s="65"/>
      <c r="BF33" s="63"/>
      <c r="BG33" s="64"/>
      <c r="BH33" s="64"/>
      <c r="BI33" s="67"/>
      <c r="BJ33" s="66"/>
      <c r="BK33" s="64"/>
      <c r="BL33" s="66"/>
      <c r="BM33" s="64"/>
      <c r="BN33" s="64"/>
      <c r="BO33" s="64"/>
      <c r="BP33" s="64"/>
      <c r="BQ33" s="64"/>
      <c r="BR33" s="64"/>
      <c r="BS33" s="64"/>
      <c r="BT33" s="64"/>
      <c r="BU33" s="64"/>
      <c r="BV33" s="64"/>
      <c r="BW33" s="64"/>
      <c r="BX33" s="65"/>
    </row>
    <row r="34" spans="1:76">
      <c r="A34" s="63"/>
      <c r="B34" s="64"/>
      <c r="C34" s="64"/>
      <c r="D34" s="64"/>
      <c r="E34" s="64"/>
      <c r="F34" s="64"/>
      <c r="G34" s="67"/>
      <c r="H34" s="64"/>
      <c r="I34" s="64"/>
      <c r="J34" s="64"/>
      <c r="K34" s="64"/>
      <c r="L34" s="64"/>
      <c r="M34" s="64"/>
      <c r="N34" s="64"/>
      <c r="O34" s="64"/>
      <c r="P34" s="64"/>
      <c r="Q34" s="64"/>
      <c r="R34" s="64"/>
      <c r="S34" s="65"/>
      <c r="T34" s="63"/>
      <c r="U34" s="64"/>
      <c r="V34" s="64"/>
      <c r="W34" s="64"/>
      <c r="X34" s="64"/>
      <c r="Y34" s="64"/>
      <c r="Z34" s="67"/>
      <c r="AA34" s="64"/>
      <c r="AB34" s="64"/>
      <c r="AC34" s="64"/>
      <c r="AD34" s="64"/>
      <c r="AE34" s="64"/>
      <c r="AF34" s="64"/>
      <c r="AG34" s="64"/>
      <c r="AH34" s="64"/>
      <c r="AI34" s="64"/>
      <c r="AJ34" s="64"/>
      <c r="AK34" s="64"/>
      <c r="AL34" s="65"/>
      <c r="AM34" s="63"/>
      <c r="AN34" s="64"/>
      <c r="AO34" s="64"/>
      <c r="AP34" s="64"/>
      <c r="AQ34" s="64"/>
      <c r="AR34" s="64"/>
      <c r="AS34" s="67"/>
      <c r="AT34" s="64"/>
      <c r="AU34" s="64"/>
      <c r="AV34" s="64"/>
      <c r="AW34" s="64"/>
      <c r="AX34" s="64"/>
      <c r="AY34" s="64"/>
      <c r="AZ34" s="64"/>
      <c r="BA34" s="64"/>
      <c r="BB34" s="64"/>
      <c r="BC34" s="64"/>
      <c r="BD34" s="64"/>
      <c r="BE34" s="65"/>
      <c r="BF34" s="63"/>
      <c r="BG34" s="64"/>
      <c r="BH34" s="64"/>
      <c r="BI34" s="64"/>
      <c r="BJ34" s="64"/>
      <c r="BK34" s="64"/>
      <c r="BL34" s="67"/>
      <c r="BM34" s="64"/>
      <c r="BN34" s="64"/>
      <c r="BO34" s="64"/>
      <c r="BP34" s="64"/>
      <c r="BQ34" s="64"/>
      <c r="BR34" s="64"/>
      <c r="BS34" s="64"/>
      <c r="BT34" s="64"/>
      <c r="BU34" s="64"/>
      <c r="BV34" s="64"/>
      <c r="BW34" s="64"/>
      <c r="BX34" s="65"/>
    </row>
    <row r="35" spans="1:76">
      <c r="A35" s="72"/>
      <c r="B35" s="64"/>
      <c r="C35" s="64"/>
      <c r="D35" s="64"/>
      <c r="E35" s="64"/>
      <c r="F35" s="64"/>
      <c r="G35" s="64"/>
      <c r="H35" s="64"/>
      <c r="I35" s="64"/>
      <c r="J35" s="64"/>
      <c r="K35" s="64"/>
      <c r="L35" s="64"/>
      <c r="M35" s="64"/>
      <c r="N35" s="64"/>
      <c r="O35" s="64"/>
      <c r="P35" s="64"/>
      <c r="Q35" s="64"/>
      <c r="R35" s="64"/>
      <c r="S35" s="65"/>
      <c r="T35" s="72"/>
      <c r="U35" s="64"/>
      <c r="V35" s="64"/>
      <c r="W35" s="64"/>
      <c r="X35" s="64"/>
      <c r="Y35" s="64"/>
      <c r="Z35" s="64"/>
      <c r="AA35" s="64"/>
      <c r="AB35" s="64"/>
      <c r="AC35" s="64"/>
      <c r="AD35" s="64"/>
      <c r="AE35" s="64"/>
      <c r="AF35" s="64"/>
      <c r="AG35" s="64"/>
      <c r="AH35" s="64"/>
      <c r="AI35" s="64"/>
      <c r="AJ35" s="64"/>
      <c r="AK35" s="64"/>
      <c r="AL35" s="65"/>
      <c r="AM35" s="72"/>
      <c r="AN35" s="64"/>
      <c r="AO35" s="64"/>
      <c r="AP35" s="64"/>
      <c r="AQ35" s="64"/>
      <c r="AR35" s="64"/>
      <c r="AS35" s="64"/>
      <c r="AT35" s="64"/>
      <c r="AU35" s="64"/>
      <c r="AV35" s="64"/>
      <c r="AW35" s="64"/>
      <c r="AX35" s="64"/>
      <c r="AY35" s="64"/>
      <c r="AZ35" s="64"/>
      <c r="BA35" s="64"/>
      <c r="BB35" s="64"/>
      <c r="BC35" s="64"/>
      <c r="BD35" s="64"/>
      <c r="BE35" s="65"/>
      <c r="BF35" s="72"/>
      <c r="BG35" s="64"/>
      <c r="BH35" s="64"/>
      <c r="BI35" s="64"/>
      <c r="BJ35" s="64"/>
      <c r="BK35" s="64"/>
      <c r="BL35" s="64"/>
      <c r="BM35" s="64"/>
      <c r="BN35" s="64"/>
      <c r="BO35" s="64"/>
      <c r="BP35" s="64"/>
      <c r="BQ35" s="64"/>
      <c r="BR35" s="64"/>
      <c r="BS35" s="64"/>
      <c r="BT35" s="64"/>
      <c r="BU35" s="64"/>
      <c r="BV35" s="64"/>
      <c r="BW35" s="64"/>
      <c r="BX35" s="65"/>
    </row>
    <row r="36" spans="1:76">
      <c r="A36" s="72"/>
      <c r="B36" s="64"/>
      <c r="C36" s="64"/>
      <c r="D36" s="64"/>
      <c r="E36" s="64"/>
      <c r="F36" s="64"/>
      <c r="G36" s="64"/>
      <c r="H36" s="64"/>
      <c r="I36" s="64"/>
      <c r="J36" s="64"/>
      <c r="K36" s="64"/>
      <c r="L36" s="64"/>
      <c r="M36" s="64"/>
      <c r="N36" s="64"/>
      <c r="O36" s="64"/>
      <c r="P36" s="64"/>
      <c r="Q36" s="64"/>
      <c r="R36" s="64"/>
      <c r="S36" s="65"/>
      <c r="T36" s="72"/>
      <c r="U36" s="64"/>
      <c r="V36" s="64"/>
      <c r="W36" s="64"/>
      <c r="X36" s="64"/>
      <c r="Y36" s="64"/>
      <c r="Z36" s="64"/>
      <c r="AA36" s="64"/>
      <c r="AB36" s="64"/>
      <c r="AC36" s="64"/>
      <c r="AD36" s="64"/>
      <c r="AE36" s="64"/>
      <c r="AF36" s="64"/>
      <c r="AG36" s="64"/>
      <c r="AH36" s="64"/>
      <c r="AI36" s="64"/>
      <c r="AJ36" s="64"/>
      <c r="AK36" s="64"/>
      <c r="AL36" s="65"/>
      <c r="AM36" s="72"/>
      <c r="AN36" s="64"/>
      <c r="AO36" s="64"/>
      <c r="AP36" s="64"/>
      <c r="AQ36" s="64"/>
      <c r="AR36" s="64"/>
      <c r="AS36" s="64"/>
      <c r="AT36" s="64"/>
      <c r="AU36" s="64"/>
      <c r="AV36" s="64"/>
      <c r="AW36" s="64"/>
      <c r="AX36" s="64"/>
      <c r="AY36" s="64"/>
      <c r="AZ36" s="64"/>
      <c r="BA36" s="64"/>
      <c r="BB36" s="64"/>
      <c r="BC36" s="64"/>
      <c r="BD36" s="64"/>
      <c r="BE36" s="65"/>
      <c r="BF36" s="72"/>
      <c r="BG36" s="64"/>
      <c r="BH36" s="64"/>
      <c r="BI36" s="64"/>
      <c r="BJ36" s="64"/>
      <c r="BK36" s="64"/>
      <c r="BL36" s="64"/>
      <c r="BM36" s="64"/>
      <c r="BN36" s="64"/>
      <c r="BO36" s="64"/>
      <c r="BP36" s="64"/>
      <c r="BQ36" s="64"/>
      <c r="BR36" s="64"/>
      <c r="BS36" s="64"/>
      <c r="BT36" s="64"/>
      <c r="BU36" s="64"/>
      <c r="BV36" s="64"/>
      <c r="BW36" s="64"/>
      <c r="BX36" s="65"/>
    </row>
    <row r="37" spans="1:76">
      <c r="A37" s="72"/>
      <c r="B37" s="64"/>
      <c r="C37" s="64"/>
      <c r="D37" s="64"/>
      <c r="E37" s="64"/>
      <c r="F37" s="64"/>
      <c r="G37" s="64"/>
      <c r="H37" s="64"/>
      <c r="I37" s="64"/>
      <c r="J37" s="64"/>
      <c r="K37" s="64"/>
      <c r="L37" s="64"/>
      <c r="M37" s="64"/>
      <c r="N37" s="64"/>
      <c r="O37" s="64"/>
      <c r="P37" s="64"/>
      <c r="Q37" s="64"/>
      <c r="R37" s="64"/>
      <c r="S37" s="65"/>
      <c r="T37" s="72"/>
      <c r="U37" s="64"/>
      <c r="V37" s="64"/>
      <c r="W37" s="64"/>
      <c r="X37" s="64"/>
      <c r="Y37" s="64"/>
      <c r="Z37" s="64"/>
      <c r="AA37" s="64"/>
      <c r="AB37" s="64"/>
      <c r="AC37" s="64"/>
      <c r="AD37" s="64"/>
      <c r="AE37" s="64"/>
      <c r="AF37" s="64"/>
      <c r="AG37" s="64"/>
      <c r="AH37" s="64"/>
      <c r="AI37" s="64"/>
      <c r="AJ37" s="64"/>
      <c r="AK37" s="64"/>
      <c r="AL37" s="65"/>
      <c r="AM37" s="72"/>
      <c r="AN37" s="64"/>
      <c r="AO37" s="64"/>
      <c r="AP37" s="64"/>
      <c r="AQ37" s="64"/>
      <c r="AR37" s="64"/>
      <c r="AS37" s="64"/>
      <c r="AT37" s="64"/>
      <c r="AU37" s="64"/>
      <c r="AV37" s="64"/>
      <c r="AW37" s="64"/>
      <c r="AX37" s="64"/>
      <c r="AY37" s="64"/>
      <c r="AZ37" s="64"/>
      <c r="BA37" s="64"/>
      <c r="BB37" s="64"/>
      <c r="BC37" s="64"/>
      <c r="BD37" s="64"/>
      <c r="BE37" s="65"/>
      <c r="BF37" s="72"/>
      <c r="BG37" s="64"/>
      <c r="BH37" s="64"/>
      <c r="BI37" s="64"/>
      <c r="BJ37" s="64"/>
      <c r="BK37" s="64"/>
      <c r="BL37" s="64"/>
      <c r="BM37" s="64"/>
      <c r="BN37" s="64"/>
      <c r="BO37" s="64"/>
      <c r="BP37" s="64"/>
      <c r="BQ37" s="64"/>
      <c r="BR37" s="64"/>
      <c r="BS37" s="64"/>
      <c r="BT37" s="64"/>
      <c r="BU37" s="64"/>
      <c r="BV37" s="64"/>
      <c r="BW37" s="64"/>
      <c r="BX37" s="65"/>
    </row>
    <row r="38" spans="1:76">
      <c r="A38" s="72"/>
      <c r="B38" s="64"/>
      <c r="C38" s="64"/>
      <c r="D38" s="64"/>
      <c r="E38" s="64"/>
      <c r="F38" s="64"/>
      <c r="G38" s="64"/>
      <c r="H38" s="64"/>
      <c r="I38" s="64"/>
      <c r="J38" s="64"/>
      <c r="K38" s="64"/>
      <c r="L38" s="64"/>
      <c r="M38" s="64"/>
      <c r="N38" s="64"/>
      <c r="O38" s="64"/>
      <c r="P38" s="64"/>
      <c r="Q38" s="64"/>
      <c r="R38" s="64"/>
      <c r="S38" s="65"/>
      <c r="T38" s="72"/>
      <c r="U38" s="64"/>
      <c r="V38" s="64"/>
      <c r="W38" s="64"/>
      <c r="X38" s="64"/>
      <c r="Y38" s="64"/>
      <c r="Z38" s="64"/>
      <c r="AA38" s="64"/>
      <c r="AB38" s="64"/>
      <c r="AC38" s="64"/>
      <c r="AD38" s="64"/>
      <c r="AE38" s="64"/>
      <c r="AF38" s="64"/>
      <c r="AG38" s="64"/>
      <c r="AH38" s="64"/>
      <c r="AI38" s="64"/>
      <c r="AJ38" s="64"/>
      <c r="AK38" s="64"/>
      <c r="AL38" s="65"/>
      <c r="AM38" s="72"/>
      <c r="AN38" s="64"/>
      <c r="AO38" s="64"/>
      <c r="AP38" s="64"/>
      <c r="AQ38" s="64"/>
      <c r="AR38" s="64"/>
      <c r="AS38" s="64"/>
      <c r="AT38" s="64"/>
      <c r="AU38" s="64"/>
      <c r="AV38" s="64"/>
      <c r="AW38" s="64"/>
      <c r="AX38" s="64"/>
      <c r="AY38" s="64"/>
      <c r="AZ38" s="64"/>
      <c r="BA38" s="64"/>
      <c r="BB38" s="64"/>
      <c r="BC38" s="64"/>
      <c r="BD38" s="64"/>
      <c r="BE38" s="65"/>
      <c r="BF38" s="72"/>
      <c r="BG38" s="64"/>
      <c r="BH38" s="64"/>
      <c r="BI38" s="64"/>
      <c r="BJ38" s="64"/>
      <c r="BK38" s="64"/>
      <c r="BL38" s="64"/>
      <c r="BM38" s="64"/>
      <c r="BN38" s="64"/>
      <c r="BO38" s="64"/>
      <c r="BP38" s="64"/>
      <c r="BQ38" s="64"/>
      <c r="BR38" s="64"/>
      <c r="BS38" s="64"/>
      <c r="BT38" s="64"/>
      <c r="BU38" s="64"/>
      <c r="BV38" s="64"/>
      <c r="BW38" s="64"/>
      <c r="BX38" s="65"/>
    </row>
    <row r="39" spans="1:76">
      <c r="A39" s="72"/>
      <c r="B39" s="64"/>
      <c r="C39" s="64"/>
      <c r="D39" s="64"/>
      <c r="E39" s="64"/>
      <c r="F39" s="64"/>
      <c r="G39" s="64"/>
      <c r="H39" s="64"/>
      <c r="I39" s="64"/>
      <c r="J39" s="64"/>
      <c r="K39" s="64"/>
      <c r="L39" s="64"/>
      <c r="M39" s="64"/>
      <c r="N39" s="64"/>
      <c r="O39" s="64"/>
      <c r="P39" s="64"/>
      <c r="Q39" s="64"/>
      <c r="R39" s="64"/>
      <c r="S39" s="65"/>
      <c r="T39" s="72"/>
      <c r="U39" s="64"/>
      <c r="V39" s="64"/>
      <c r="W39" s="64"/>
      <c r="X39" s="64"/>
      <c r="Y39" s="64"/>
      <c r="Z39" s="64"/>
      <c r="AA39" s="64"/>
      <c r="AB39" s="64"/>
      <c r="AC39" s="64"/>
      <c r="AD39" s="64"/>
      <c r="AE39" s="64"/>
      <c r="AF39" s="64"/>
      <c r="AG39" s="64"/>
      <c r="AH39" s="64"/>
      <c r="AI39" s="64"/>
      <c r="AJ39" s="64"/>
      <c r="AK39" s="64"/>
      <c r="AL39" s="65"/>
      <c r="AM39" s="72"/>
      <c r="AN39" s="64"/>
      <c r="AO39" s="64"/>
      <c r="AP39" s="64"/>
      <c r="AQ39" s="64"/>
      <c r="AR39" s="64"/>
      <c r="AS39" s="64"/>
      <c r="AT39" s="64"/>
      <c r="AU39" s="64"/>
      <c r="AV39" s="64"/>
      <c r="AW39" s="64"/>
      <c r="AX39" s="64"/>
      <c r="AY39" s="64"/>
      <c r="AZ39" s="64"/>
      <c r="BA39" s="64"/>
      <c r="BB39" s="64"/>
      <c r="BC39" s="64"/>
      <c r="BD39" s="64"/>
      <c r="BE39" s="65"/>
      <c r="BF39" s="72"/>
      <c r="BG39" s="64"/>
      <c r="BH39" s="64"/>
      <c r="BI39" s="64"/>
      <c r="BJ39" s="64"/>
      <c r="BK39" s="64"/>
      <c r="BL39" s="64"/>
      <c r="BM39" s="64"/>
      <c r="BN39" s="64"/>
      <c r="BO39" s="64"/>
      <c r="BP39" s="64"/>
      <c r="BQ39" s="64"/>
      <c r="BR39" s="64"/>
      <c r="BS39" s="64"/>
      <c r="BT39" s="64"/>
      <c r="BU39" s="64"/>
      <c r="BV39" s="64"/>
      <c r="BW39" s="64"/>
      <c r="BX39" s="65"/>
    </row>
    <row r="40" spans="1:76">
      <c r="A40" s="72"/>
      <c r="B40" s="64"/>
      <c r="C40" s="64"/>
      <c r="D40" s="64"/>
      <c r="E40" s="64"/>
      <c r="F40" s="64"/>
      <c r="G40" s="64"/>
      <c r="H40" s="64"/>
      <c r="I40" s="64"/>
      <c r="J40" s="64"/>
      <c r="K40" s="64"/>
      <c r="L40" s="64"/>
      <c r="M40" s="64"/>
      <c r="N40" s="64"/>
      <c r="O40" s="64"/>
      <c r="P40" s="64"/>
      <c r="Q40" s="64"/>
      <c r="R40" s="64"/>
      <c r="S40" s="65"/>
      <c r="T40" s="72"/>
      <c r="U40" s="64"/>
      <c r="V40" s="64"/>
      <c r="W40" s="64"/>
      <c r="X40" s="64"/>
      <c r="Y40" s="64"/>
      <c r="Z40" s="64"/>
      <c r="AA40" s="64"/>
      <c r="AB40" s="64"/>
      <c r="AC40" s="64"/>
      <c r="AD40" s="64"/>
      <c r="AE40" s="64"/>
      <c r="AF40" s="64"/>
      <c r="AG40" s="64"/>
      <c r="AH40" s="64"/>
      <c r="AI40" s="64"/>
      <c r="AJ40" s="64"/>
      <c r="AK40" s="64"/>
      <c r="AL40" s="65"/>
      <c r="AM40" s="72"/>
      <c r="AN40" s="64"/>
      <c r="AO40" s="64"/>
      <c r="AP40" s="64"/>
      <c r="AQ40" s="64"/>
      <c r="AR40" s="64"/>
      <c r="AS40" s="64"/>
      <c r="AT40" s="64"/>
      <c r="AU40" s="64"/>
      <c r="AV40" s="64"/>
      <c r="AW40" s="64"/>
      <c r="AX40" s="64"/>
      <c r="AY40" s="64"/>
      <c r="AZ40" s="64"/>
      <c r="BA40" s="64"/>
      <c r="BB40" s="64"/>
      <c r="BC40" s="64"/>
      <c r="BD40" s="64"/>
      <c r="BE40" s="65"/>
      <c r="BF40" s="72"/>
      <c r="BG40" s="64"/>
      <c r="BH40" s="64"/>
      <c r="BI40" s="64"/>
      <c r="BJ40" s="64"/>
      <c r="BK40" s="64"/>
      <c r="BL40" s="64"/>
      <c r="BM40" s="64"/>
      <c r="BN40" s="64"/>
      <c r="BO40" s="64"/>
      <c r="BP40" s="64"/>
      <c r="BQ40" s="64"/>
      <c r="BR40" s="64"/>
      <c r="BS40" s="64"/>
      <c r="BT40" s="64"/>
      <c r="BU40" s="64"/>
      <c r="BV40" s="64"/>
      <c r="BW40" s="64"/>
      <c r="BX40" s="65"/>
    </row>
    <row r="41" spans="1:76">
      <c r="A41" s="72"/>
      <c r="B41" s="64"/>
      <c r="C41" s="64"/>
      <c r="D41" s="64"/>
      <c r="E41" s="64"/>
      <c r="F41" s="64"/>
      <c r="G41" s="64"/>
      <c r="H41" s="64"/>
      <c r="I41" s="64"/>
      <c r="J41" s="64"/>
      <c r="K41" s="64"/>
      <c r="L41" s="64"/>
      <c r="M41" s="64"/>
      <c r="N41" s="64"/>
      <c r="O41" s="64"/>
      <c r="P41" s="64"/>
      <c r="Q41" s="64"/>
      <c r="R41" s="64"/>
      <c r="S41" s="65"/>
      <c r="T41" s="72"/>
      <c r="U41" s="64"/>
      <c r="V41" s="64"/>
      <c r="W41" s="64"/>
      <c r="X41" s="64"/>
      <c r="Y41" s="64"/>
      <c r="Z41" s="64"/>
      <c r="AA41" s="64"/>
      <c r="AB41" s="64"/>
      <c r="AC41" s="64"/>
      <c r="AD41" s="64"/>
      <c r="AE41" s="64"/>
      <c r="AF41" s="64"/>
      <c r="AG41" s="64"/>
      <c r="AH41" s="64"/>
      <c r="AI41" s="64"/>
      <c r="AJ41" s="64"/>
      <c r="AK41" s="64"/>
      <c r="AL41" s="65"/>
      <c r="AM41" s="72"/>
      <c r="AN41" s="64"/>
      <c r="AO41" s="64"/>
      <c r="AP41" s="64"/>
      <c r="AQ41" s="64"/>
      <c r="AR41" s="64"/>
      <c r="AS41" s="64"/>
      <c r="AT41" s="64"/>
      <c r="AU41" s="64"/>
      <c r="AV41" s="64"/>
      <c r="AW41" s="64"/>
      <c r="AX41" s="64"/>
      <c r="AY41" s="64"/>
      <c r="AZ41" s="64"/>
      <c r="BA41" s="64"/>
      <c r="BB41" s="64"/>
      <c r="BC41" s="64"/>
      <c r="BD41" s="64"/>
      <c r="BE41" s="65"/>
      <c r="BF41" s="72"/>
      <c r="BG41" s="64"/>
      <c r="BH41" s="64"/>
      <c r="BI41" s="64"/>
      <c r="BJ41" s="64"/>
      <c r="BK41" s="64"/>
      <c r="BL41" s="64"/>
      <c r="BM41" s="64"/>
      <c r="BN41" s="64"/>
      <c r="BO41" s="64"/>
      <c r="BP41" s="64"/>
      <c r="BQ41" s="64"/>
      <c r="BR41" s="64"/>
      <c r="BS41" s="64"/>
      <c r="BT41" s="64"/>
      <c r="BU41" s="64"/>
      <c r="BV41" s="64"/>
      <c r="BW41" s="64"/>
      <c r="BX41" s="65"/>
    </row>
    <row r="42" spans="1:76">
      <c r="A42" s="72"/>
      <c r="B42" s="64"/>
      <c r="C42" s="64"/>
      <c r="D42" s="64"/>
      <c r="E42" s="64"/>
      <c r="F42" s="64"/>
      <c r="G42" s="64"/>
      <c r="H42" s="64"/>
      <c r="I42" s="64"/>
      <c r="J42" s="64"/>
      <c r="K42" s="64"/>
      <c r="L42" s="64"/>
      <c r="M42" s="64"/>
      <c r="N42" s="64"/>
      <c r="O42" s="64"/>
      <c r="P42" s="64"/>
      <c r="Q42" s="64"/>
      <c r="R42" s="64"/>
      <c r="S42" s="65"/>
      <c r="T42" s="72"/>
      <c r="U42" s="64"/>
      <c r="V42" s="64"/>
      <c r="W42" s="64"/>
      <c r="X42" s="64"/>
      <c r="Y42" s="64"/>
      <c r="Z42" s="64"/>
      <c r="AA42" s="64"/>
      <c r="AB42" s="64"/>
      <c r="AC42" s="64"/>
      <c r="AD42" s="64"/>
      <c r="AE42" s="64"/>
      <c r="AF42" s="64"/>
      <c r="AG42" s="64"/>
      <c r="AH42" s="64"/>
      <c r="AI42" s="64"/>
      <c r="AJ42" s="64"/>
      <c r="AK42" s="64"/>
      <c r="AL42" s="65"/>
      <c r="AM42" s="72"/>
      <c r="AN42" s="64"/>
      <c r="AO42" s="64"/>
      <c r="AP42" s="64"/>
      <c r="AQ42" s="64"/>
      <c r="AR42" s="64"/>
      <c r="AS42" s="64"/>
      <c r="AT42" s="64"/>
      <c r="AU42" s="64"/>
      <c r="AV42" s="64"/>
      <c r="AW42" s="64"/>
      <c r="AX42" s="64"/>
      <c r="AY42" s="64"/>
      <c r="AZ42" s="64"/>
      <c r="BA42" s="64"/>
      <c r="BB42" s="64"/>
      <c r="BC42" s="64"/>
      <c r="BD42" s="64"/>
      <c r="BE42" s="65"/>
      <c r="BF42" s="72"/>
      <c r="BG42" s="64"/>
      <c r="BH42" s="64"/>
      <c r="BI42" s="64"/>
      <c r="BJ42" s="64"/>
      <c r="BK42" s="64"/>
      <c r="BL42" s="64"/>
      <c r="BM42" s="64"/>
      <c r="BN42" s="64"/>
      <c r="BO42" s="64"/>
      <c r="BP42" s="64"/>
      <c r="BQ42" s="64"/>
      <c r="BR42" s="64"/>
      <c r="BS42" s="64"/>
      <c r="BT42" s="64"/>
      <c r="BU42" s="64"/>
      <c r="BV42" s="64"/>
      <c r="BW42" s="64"/>
      <c r="BX42" s="65"/>
    </row>
    <row r="43" spans="1:76">
      <c r="A43" s="72"/>
      <c r="B43" s="64"/>
      <c r="C43" s="64"/>
      <c r="D43" s="64"/>
      <c r="E43" s="64"/>
      <c r="F43" s="64"/>
      <c r="G43" s="64"/>
      <c r="H43" s="64"/>
      <c r="I43" s="64"/>
      <c r="J43" s="64"/>
      <c r="K43" s="64"/>
      <c r="L43" s="64"/>
      <c r="M43" s="64"/>
      <c r="N43" s="64"/>
      <c r="O43" s="64"/>
      <c r="P43" s="64"/>
      <c r="Q43" s="64"/>
      <c r="R43" s="64"/>
      <c r="S43" s="65"/>
      <c r="T43" s="72"/>
      <c r="U43" s="64"/>
      <c r="V43" s="64"/>
      <c r="W43" s="64"/>
      <c r="X43" s="64"/>
      <c r="Y43" s="64"/>
      <c r="Z43" s="64"/>
      <c r="AA43" s="64"/>
      <c r="AB43" s="64"/>
      <c r="AC43" s="64"/>
      <c r="AD43" s="64"/>
      <c r="AE43" s="64"/>
      <c r="AF43" s="64"/>
      <c r="AG43" s="64"/>
      <c r="AH43" s="64"/>
      <c r="AI43" s="64"/>
      <c r="AJ43" s="64"/>
      <c r="AK43" s="64"/>
      <c r="AL43" s="65"/>
      <c r="AM43" s="72"/>
      <c r="AN43" s="64"/>
      <c r="AO43" s="64"/>
      <c r="AP43" s="64"/>
      <c r="AQ43" s="64"/>
      <c r="AR43" s="64"/>
      <c r="AS43" s="64"/>
      <c r="AT43" s="64"/>
      <c r="AU43" s="64"/>
      <c r="AV43" s="64"/>
      <c r="AW43" s="64"/>
      <c r="AX43" s="64"/>
      <c r="AY43" s="64"/>
      <c r="AZ43" s="64"/>
      <c r="BA43" s="64"/>
      <c r="BB43" s="64"/>
      <c r="BC43" s="64"/>
      <c r="BD43" s="64"/>
      <c r="BE43" s="65"/>
      <c r="BF43" s="72"/>
      <c r="BG43" s="64"/>
      <c r="BH43" s="64"/>
      <c r="BI43" s="64"/>
      <c r="BJ43" s="64"/>
      <c r="BK43" s="64"/>
      <c r="BL43" s="64"/>
      <c r="BM43" s="64"/>
      <c r="BN43" s="64"/>
      <c r="BO43" s="64"/>
      <c r="BP43" s="64"/>
      <c r="BQ43" s="64"/>
      <c r="BR43" s="64"/>
      <c r="BS43" s="64"/>
      <c r="BT43" s="64"/>
      <c r="BU43" s="64"/>
      <c r="BV43" s="64"/>
      <c r="BW43" s="64"/>
      <c r="BX43" s="65"/>
    </row>
    <row r="44" spans="1:76">
      <c r="A44" s="73"/>
      <c r="B44" s="69"/>
      <c r="C44" s="69"/>
      <c r="D44" s="69"/>
      <c r="E44" s="69"/>
      <c r="F44" s="69"/>
      <c r="G44" s="69"/>
      <c r="H44" s="69"/>
      <c r="I44" s="69"/>
      <c r="J44" s="69"/>
      <c r="K44" s="69"/>
      <c r="L44" s="69"/>
      <c r="M44" s="69"/>
      <c r="N44" s="69"/>
      <c r="O44" s="69"/>
      <c r="P44" s="69"/>
      <c r="Q44" s="69"/>
      <c r="R44" s="69"/>
      <c r="S44" s="71"/>
      <c r="T44" s="73"/>
      <c r="U44" s="69"/>
      <c r="V44" s="69"/>
      <c r="W44" s="69"/>
      <c r="X44" s="69"/>
      <c r="Y44" s="69"/>
      <c r="Z44" s="69"/>
      <c r="AA44" s="69"/>
      <c r="AB44" s="69"/>
      <c r="AC44" s="69"/>
      <c r="AD44" s="69"/>
      <c r="AE44" s="69"/>
      <c r="AF44" s="69"/>
      <c r="AG44" s="69"/>
      <c r="AH44" s="69"/>
      <c r="AI44" s="69"/>
      <c r="AJ44" s="69"/>
      <c r="AK44" s="69"/>
      <c r="AL44" s="71"/>
      <c r="AM44" s="73"/>
      <c r="AN44" s="69"/>
      <c r="AO44" s="69"/>
      <c r="AP44" s="69"/>
      <c r="AQ44" s="69"/>
      <c r="AR44" s="69"/>
      <c r="AS44" s="69"/>
      <c r="AT44" s="69"/>
      <c r="AU44" s="69"/>
      <c r="AV44" s="69"/>
      <c r="AW44" s="69"/>
      <c r="AX44" s="69"/>
      <c r="AY44" s="69"/>
      <c r="AZ44" s="69"/>
      <c r="BA44" s="69"/>
      <c r="BB44" s="69"/>
      <c r="BC44" s="69"/>
      <c r="BD44" s="69"/>
      <c r="BE44" s="71"/>
      <c r="BF44" s="73"/>
      <c r="BG44" s="69"/>
      <c r="BH44" s="69"/>
      <c r="BI44" s="69"/>
      <c r="BJ44" s="69"/>
      <c r="BK44" s="69"/>
      <c r="BL44" s="69"/>
      <c r="BM44" s="69"/>
      <c r="BN44" s="69"/>
      <c r="BO44" s="69"/>
      <c r="BP44" s="69"/>
      <c r="BQ44" s="69"/>
      <c r="BR44" s="69"/>
      <c r="BS44" s="69"/>
      <c r="BT44" s="69"/>
      <c r="BU44" s="69"/>
      <c r="BV44" s="69"/>
      <c r="BW44" s="69"/>
      <c r="BX44" s="71"/>
    </row>
    <row r="45" spans="1:76">
      <c r="A45" s="333" t="s">
        <v>162</v>
      </c>
      <c r="B45" s="330"/>
      <c r="C45" s="330"/>
      <c r="D45" s="330"/>
      <c r="E45" s="330"/>
      <c r="F45" s="330"/>
      <c r="G45" s="330"/>
      <c r="H45" s="330"/>
      <c r="I45" s="330"/>
      <c r="J45" s="330"/>
      <c r="K45" s="330"/>
      <c r="L45" s="330"/>
      <c r="M45" s="330"/>
      <c r="N45" s="330"/>
      <c r="O45" s="330"/>
      <c r="P45" s="330"/>
      <c r="Q45" s="330"/>
      <c r="R45" s="330"/>
      <c r="S45" s="331"/>
      <c r="T45" s="333" t="s">
        <v>162</v>
      </c>
      <c r="U45" s="330"/>
      <c r="V45" s="330"/>
      <c r="W45" s="330"/>
      <c r="X45" s="330"/>
      <c r="Y45" s="330"/>
      <c r="Z45" s="330"/>
      <c r="AA45" s="330"/>
      <c r="AB45" s="330"/>
      <c r="AC45" s="330"/>
      <c r="AD45" s="330"/>
      <c r="AE45" s="330"/>
      <c r="AF45" s="330"/>
      <c r="AG45" s="330"/>
      <c r="AH45" s="330"/>
      <c r="AI45" s="330"/>
      <c r="AJ45" s="330"/>
      <c r="AK45" s="330"/>
      <c r="AL45" s="331"/>
      <c r="AM45" s="333" t="s">
        <v>162</v>
      </c>
      <c r="AN45" s="330"/>
      <c r="AO45" s="330"/>
      <c r="AP45" s="330"/>
      <c r="AQ45" s="330"/>
      <c r="AR45" s="330"/>
      <c r="AS45" s="330"/>
      <c r="AT45" s="330"/>
      <c r="AU45" s="330"/>
      <c r="AV45" s="330"/>
      <c r="AW45" s="330"/>
      <c r="AX45" s="330"/>
      <c r="AY45" s="330"/>
      <c r="AZ45" s="330"/>
      <c r="BA45" s="330"/>
      <c r="BB45" s="330"/>
      <c r="BC45" s="330"/>
      <c r="BD45" s="330"/>
      <c r="BE45" s="331"/>
      <c r="BF45" s="333" t="s">
        <v>162</v>
      </c>
      <c r="BG45" s="330"/>
      <c r="BH45" s="330"/>
      <c r="BI45" s="330"/>
      <c r="BJ45" s="330"/>
      <c r="BK45" s="330"/>
      <c r="BL45" s="330"/>
      <c r="BM45" s="330"/>
      <c r="BN45" s="330"/>
      <c r="BO45" s="330"/>
      <c r="BP45" s="330"/>
      <c r="BQ45" s="330"/>
      <c r="BR45" s="330"/>
      <c r="BS45" s="330"/>
      <c r="BT45" s="330"/>
      <c r="BU45" s="330"/>
      <c r="BV45" s="330"/>
      <c r="BW45" s="330"/>
      <c r="BX45" s="331"/>
    </row>
    <row r="46" spans="1:76">
      <c r="A46" s="332"/>
      <c r="B46" s="330"/>
      <c r="C46" s="330"/>
      <c r="D46" s="330"/>
      <c r="E46" s="330"/>
      <c r="F46" s="330"/>
      <c r="G46" s="330"/>
      <c r="H46" s="330"/>
      <c r="I46" s="330"/>
      <c r="J46" s="330"/>
      <c r="K46" s="330"/>
      <c r="L46" s="330"/>
      <c r="M46" s="330"/>
      <c r="N46" s="330"/>
      <c r="O46" s="330"/>
      <c r="P46" s="330"/>
      <c r="Q46" s="330"/>
      <c r="R46" s="330"/>
      <c r="S46" s="331"/>
      <c r="T46" s="332"/>
      <c r="U46" s="330"/>
      <c r="V46" s="330"/>
      <c r="W46" s="330"/>
      <c r="X46" s="330"/>
      <c r="Y46" s="330"/>
      <c r="Z46" s="330"/>
      <c r="AA46" s="330"/>
      <c r="AB46" s="330"/>
      <c r="AC46" s="330"/>
      <c r="AD46" s="330"/>
      <c r="AE46" s="330"/>
      <c r="AF46" s="330"/>
      <c r="AG46" s="330"/>
      <c r="AH46" s="330"/>
      <c r="AI46" s="330"/>
      <c r="AJ46" s="330"/>
      <c r="AK46" s="330"/>
      <c r="AL46" s="331"/>
      <c r="AM46" s="332"/>
      <c r="AN46" s="330"/>
      <c r="AO46" s="330"/>
      <c r="AP46" s="330"/>
      <c r="AQ46" s="330"/>
      <c r="AR46" s="330"/>
      <c r="AS46" s="330"/>
      <c r="AT46" s="330"/>
      <c r="AU46" s="330"/>
      <c r="AV46" s="330"/>
      <c r="AW46" s="330"/>
      <c r="AX46" s="330"/>
      <c r="AY46" s="330"/>
      <c r="AZ46" s="330"/>
      <c r="BA46" s="330"/>
      <c r="BB46" s="330"/>
      <c r="BC46" s="330"/>
      <c r="BD46" s="330"/>
      <c r="BE46" s="331"/>
      <c r="BF46" s="332"/>
      <c r="BG46" s="330"/>
      <c r="BH46" s="330"/>
      <c r="BI46" s="330"/>
      <c r="BJ46" s="330"/>
      <c r="BK46" s="330"/>
      <c r="BL46" s="330"/>
      <c r="BM46" s="330"/>
      <c r="BN46" s="330"/>
      <c r="BO46" s="330"/>
      <c r="BP46" s="330"/>
      <c r="BQ46" s="330"/>
      <c r="BR46" s="330"/>
      <c r="BS46" s="330"/>
      <c r="BT46" s="330"/>
      <c r="BU46" s="330"/>
      <c r="BV46" s="330"/>
      <c r="BW46" s="330"/>
      <c r="BX46" s="331"/>
    </row>
    <row r="47" spans="1:76">
      <c r="A47" s="333" t="s">
        <v>211</v>
      </c>
      <c r="B47" s="334"/>
      <c r="C47" s="334"/>
      <c r="D47" s="334"/>
      <c r="E47" s="334"/>
      <c r="F47" s="334"/>
      <c r="G47" s="334"/>
      <c r="H47" s="334"/>
      <c r="I47" s="334"/>
      <c r="J47" s="334"/>
      <c r="K47" s="334"/>
      <c r="L47" s="334"/>
      <c r="M47" s="334"/>
      <c r="N47" s="334"/>
      <c r="O47" s="334"/>
      <c r="P47" s="334"/>
      <c r="Q47" s="334"/>
      <c r="R47" s="334"/>
      <c r="S47" s="335"/>
      <c r="T47" s="333" t="s">
        <v>211</v>
      </c>
      <c r="U47" s="334"/>
      <c r="V47" s="334"/>
      <c r="W47" s="334"/>
      <c r="X47" s="334"/>
      <c r="Y47" s="334"/>
      <c r="Z47" s="334"/>
      <c r="AA47" s="334"/>
      <c r="AB47" s="334"/>
      <c r="AC47" s="334"/>
      <c r="AD47" s="334"/>
      <c r="AE47" s="334"/>
      <c r="AF47" s="334"/>
      <c r="AG47" s="334"/>
      <c r="AH47" s="334"/>
      <c r="AI47" s="334"/>
      <c r="AJ47" s="334"/>
      <c r="AK47" s="334"/>
      <c r="AL47" s="335"/>
      <c r="AM47" s="333" t="s">
        <v>211</v>
      </c>
      <c r="AN47" s="334"/>
      <c r="AO47" s="334"/>
      <c r="AP47" s="334"/>
      <c r="AQ47" s="334"/>
      <c r="AR47" s="334"/>
      <c r="AS47" s="334"/>
      <c r="AT47" s="334"/>
      <c r="AU47" s="334"/>
      <c r="AV47" s="334"/>
      <c r="AW47" s="334"/>
      <c r="AX47" s="334"/>
      <c r="AY47" s="334"/>
      <c r="AZ47" s="334"/>
      <c r="BA47" s="334"/>
      <c r="BB47" s="334"/>
      <c r="BC47" s="334"/>
      <c r="BD47" s="334"/>
      <c r="BE47" s="335"/>
      <c r="BF47" s="333" t="s">
        <v>211</v>
      </c>
      <c r="BG47" s="334"/>
      <c r="BH47" s="334"/>
      <c r="BI47" s="334"/>
      <c r="BJ47" s="334"/>
      <c r="BK47" s="334"/>
      <c r="BL47" s="334"/>
      <c r="BM47" s="334"/>
      <c r="BN47" s="334"/>
      <c r="BO47" s="334"/>
      <c r="BP47" s="334"/>
      <c r="BQ47" s="334"/>
      <c r="BR47" s="334"/>
      <c r="BS47" s="334"/>
      <c r="BT47" s="334"/>
      <c r="BU47" s="334"/>
      <c r="BV47" s="334"/>
      <c r="BW47" s="334"/>
      <c r="BX47" s="335"/>
    </row>
    <row r="48" spans="1:76" ht="12.75" customHeight="1">
      <c r="A48" s="642" t="s">
        <v>212</v>
      </c>
      <c r="B48" s="643"/>
      <c r="C48" s="644"/>
      <c r="D48" s="656">
        <v>0</v>
      </c>
      <c r="E48" s="657"/>
      <c r="F48" s="336" t="s">
        <v>213</v>
      </c>
      <c r="H48" s="74"/>
      <c r="I48" s="334"/>
      <c r="J48" s="334"/>
      <c r="K48" s="334"/>
      <c r="L48" s="334"/>
      <c r="M48" s="334"/>
      <c r="N48" s="334"/>
      <c r="O48" s="334"/>
      <c r="P48" s="334"/>
      <c r="Q48" s="334"/>
      <c r="R48" s="334"/>
      <c r="S48" s="335"/>
      <c r="T48" s="642" t="s">
        <v>212</v>
      </c>
      <c r="U48" s="643"/>
      <c r="V48" s="644"/>
      <c r="W48" s="656">
        <v>0</v>
      </c>
      <c r="X48" s="657"/>
      <c r="Y48" s="336" t="s">
        <v>213</v>
      </c>
      <c r="AA48" s="74"/>
      <c r="AB48" s="334"/>
      <c r="AC48" s="334"/>
      <c r="AD48" s="334"/>
      <c r="AE48" s="334"/>
      <c r="AF48" s="334"/>
      <c r="AG48" s="334"/>
      <c r="AH48" s="334"/>
      <c r="AI48" s="334"/>
      <c r="AJ48" s="334"/>
      <c r="AK48" s="334"/>
      <c r="AL48" s="335"/>
      <c r="AM48" s="642" t="s">
        <v>212</v>
      </c>
      <c r="AN48" s="643"/>
      <c r="AO48" s="644"/>
      <c r="AP48" s="645">
        <v>0</v>
      </c>
      <c r="AQ48" s="646"/>
      <c r="AR48" s="336" t="s">
        <v>213</v>
      </c>
      <c r="AT48" s="74"/>
      <c r="AU48" s="334"/>
      <c r="AV48" s="334"/>
      <c r="AW48" s="334"/>
      <c r="AX48" s="334"/>
      <c r="AY48" s="334"/>
      <c r="AZ48" s="334"/>
      <c r="BA48" s="334"/>
      <c r="BB48" s="334"/>
      <c r="BC48" s="334"/>
      <c r="BD48" s="334"/>
      <c r="BE48" s="335"/>
      <c r="BF48" s="642" t="s">
        <v>212</v>
      </c>
      <c r="BG48" s="643"/>
      <c r="BH48" s="644"/>
      <c r="BI48" s="645">
        <v>0</v>
      </c>
      <c r="BJ48" s="646"/>
      <c r="BK48" s="336" t="s">
        <v>213</v>
      </c>
      <c r="BM48" s="74"/>
      <c r="BN48" s="334"/>
      <c r="BO48" s="334"/>
      <c r="BP48" s="334"/>
      <c r="BQ48" s="334"/>
      <c r="BR48" s="334"/>
      <c r="BS48" s="334"/>
      <c r="BT48" s="334"/>
      <c r="BU48" s="334"/>
      <c r="BV48" s="334"/>
      <c r="BW48" s="334"/>
      <c r="BX48" s="335"/>
    </row>
    <row r="49" spans="1:76" ht="12.75" customHeight="1">
      <c r="A49" s="603" t="s">
        <v>214</v>
      </c>
      <c r="B49" s="604"/>
      <c r="C49" s="604"/>
      <c r="D49" s="605">
        <v>0</v>
      </c>
      <c r="E49" s="606"/>
      <c r="F49"/>
      <c r="G49"/>
      <c r="H49" s="296"/>
      <c r="I49" s="334"/>
      <c r="J49" s="334"/>
      <c r="K49" s="334"/>
      <c r="L49" s="334"/>
      <c r="M49" s="334"/>
      <c r="N49" s="334"/>
      <c r="O49" s="334"/>
      <c r="P49" s="334"/>
      <c r="Q49" s="334"/>
      <c r="R49" s="334"/>
      <c r="S49" s="335"/>
      <c r="T49" s="603" t="s">
        <v>214</v>
      </c>
      <c r="U49" s="604"/>
      <c r="V49" s="604"/>
      <c r="W49" s="605">
        <v>0</v>
      </c>
      <c r="X49" s="606"/>
      <c r="Y49"/>
      <c r="Z49"/>
      <c r="AA49" s="296"/>
      <c r="AB49" s="334"/>
      <c r="AC49" s="334"/>
      <c r="AD49" s="334"/>
      <c r="AE49" s="334"/>
      <c r="AF49" s="334"/>
      <c r="AG49" s="334"/>
      <c r="AH49" s="334"/>
      <c r="AI49" s="334"/>
      <c r="AJ49" s="334"/>
      <c r="AK49" s="334"/>
      <c r="AL49" s="335"/>
      <c r="AM49" s="603" t="s">
        <v>214</v>
      </c>
      <c r="AN49" s="604"/>
      <c r="AO49" s="604"/>
      <c r="AP49" s="658">
        <v>0</v>
      </c>
      <c r="AQ49" s="659"/>
      <c r="AR49"/>
      <c r="AS49"/>
      <c r="AT49" s="296"/>
      <c r="AU49" s="334"/>
      <c r="AV49" s="334"/>
      <c r="AW49" s="334"/>
      <c r="AX49" s="334"/>
      <c r="AY49" s="334"/>
      <c r="AZ49" s="334"/>
      <c r="BA49" s="334"/>
      <c r="BB49" s="334"/>
      <c r="BC49" s="334"/>
      <c r="BD49" s="334"/>
      <c r="BE49" s="335"/>
      <c r="BF49" s="603" t="s">
        <v>214</v>
      </c>
      <c r="BG49" s="604"/>
      <c r="BH49" s="604"/>
      <c r="BI49" s="658">
        <v>0</v>
      </c>
      <c r="BJ49" s="659"/>
      <c r="BK49"/>
      <c r="BL49"/>
      <c r="BM49" s="296"/>
      <c r="BN49" s="334"/>
      <c r="BO49" s="334"/>
      <c r="BP49" s="334"/>
      <c r="BQ49" s="334"/>
      <c r="BR49" s="334"/>
      <c r="BS49" s="334"/>
      <c r="BT49" s="334"/>
      <c r="BU49" s="334"/>
      <c r="BV49" s="334"/>
      <c r="BW49" s="334"/>
      <c r="BX49" s="335"/>
    </row>
    <row r="50" spans="1:76">
      <c r="A50" s="337"/>
      <c r="B50" s="334"/>
      <c r="C50" s="334"/>
      <c r="D50" s="334"/>
      <c r="E50" s="334"/>
      <c r="F50" s="334"/>
      <c r="G50" s="334"/>
      <c r="H50" s="334"/>
      <c r="I50" s="334"/>
      <c r="J50" s="334"/>
      <c r="K50" s="334"/>
      <c r="L50" s="334"/>
      <c r="M50" s="334"/>
      <c r="N50" s="334"/>
      <c r="O50" s="334"/>
      <c r="P50" s="334"/>
      <c r="Q50" s="334"/>
      <c r="R50" s="334"/>
      <c r="S50" s="335"/>
      <c r="T50" s="337"/>
      <c r="U50" s="334"/>
      <c r="V50" s="334"/>
      <c r="W50" s="334"/>
      <c r="X50" s="334"/>
      <c r="Y50" s="334"/>
      <c r="Z50" s="334"/>
      <c r="AA50" s="334"/>
      <c r="AB50" s="334"/>
      <c r="AC50" s="334"/>
      <c r="AD50" s="334"/>
      <c r="AE50" s="334"/>
      <c r="AF50" s="334"/>
      <c r="AG50" s="334"/>
      <c r="AH50" s="334"/>
      <c r="AI50" s="334"/>
      <c r="AJ50" s="334"/>
      <c r="AK50" s="334"/>
      <c r="AL50" s="335"/>
      <c r="AM50" s="337"/>
      <c r="AN50" s="334"/>
      <c r="AO50" s="334"/>
      <c r="AP50" s="334"/>
      <c r="AQ50" s="334"/>
      <c r="AR50" s="334"/>
      <c r="AS50" s="334"/>
      <c r="AT50" s="334"/>
      <c r="AU50" s="334"/>
      <c r="AV50" s="334"/>
      <c r="AW50" s="334"/>
      <c r="AX50" s="334"/>
      <c r="AY50" s="334"/>
      <c r="AZ50" s="334"/>
      <c r="BA50" s="334"/>
      <c r="BB50" s="334"/>
      <c r="BC50" s="334"/>
      <c r="BD50" s="334"/>
      <c r="BE50" s="335"/>
      <c r="BF50" s="337"/>
      <c r="BG50" s="334"/>
      <c r="BH50" s="334"/>
      <c r="BI50" s="334"/>
      <c r="BJ50" s="334"/>
      <c r="BK50" s="334"/>
      <c r="BL50" s="334"/>
      <c r="BM50" s="334"/>
      <c r="BN50" s="334"/>
      <c r="BO50" s="334"/>
      <c r="BP50" s="334"/>
      <c r="BQ50" s="334"/>
      <c r="BR50" s="334"/>
      <c r="BS50" s="334"/>
      <c r="BT50" s="334"/>
      <c r="BU50" s="334"/>
      <c r="BV50" s="334"/>
      <c r="BW50" s="334"/>
      <c r="BX50" s="335"/>
    </row>
    <row r="51" spans="1:76">
      <c r="A51" s="338" t="s">
        <v>215</v>
      </c>
      <c r="B51" s="334"/>
      <c r="C51" s="334"/>
      <c r="D51" s="334"/>
      <c r="E51" s="334"/>
      <c r="F51" s="334"/>
      <c r="G51" s="334"/>
      <c r="H51" s="334"/>
      <c r="I51" s="334"/>
      <c r="J51" s="334"/>
      <c r="K51" s="334"/>
      <c r="L51" s="334"/>
      <c r="M51" s="334"/>
      <c r="N51" s="334"/>
      <c r="O51" s="334"/>
      <c r="P51" s="334"/>
      <c r="Q51" s="334"/>
      <c r="R51" s="334"/>
      <c r="S51" s="335"/>
      <c r="T51" s="338" t="s">
        <v>215</v>
      </c>
      <c r="U51" s="334"/>
      <c r="V51" s="334"/>
      <c r="W51" s="334"/>
      <c r="X51" s="334"/>
      <c r="Y51" s="334"/>
      <c r="Z51" s="334"/>
      <c r="AA51" s="334"/>
      <c r="AB51" s="334"/>
      <c r="AC51" s="334"/>
      <c r="AD51" s="334"/>
      <c r="AE51" s="334"/>
      <c r="AF51" s="334"/>
      <c r="AG51" s="334"/>
      <c r="AH51" s="334"/>
      <c r="AI51" s="334"/>
      <c r="AJ51" s="334"/>
      <c r="AK51" s="334"/>
      <c r="AL51" s="335"/>
      <c r="AM51" s="338" t="s">
        <v>215</v>
      </c>
      <c r="AN51" s="334"/>
      <c r="AO51" s="334"/>
      <c r="AP51" s="334"/>
      <c r="AQ51" s="334"/>
      <c r="AR51" s="334"/>
      <c r="AS51" s="334"/>
      <c r="AT51" s="334"/>
      <c r="AU51" s="334"/>
      <c r="AV51" s="334"/>
      <c r="AW51" s="334"/>
      <c r="AX51" s="334"/>
      <c r="AY51" s="334"/>
      <c r="AZ51" s="334"/>
      <c r="BA51" s="334"/>
      <c r="BB51" s="334"/>
      <c r="BC51" s="334"/>
      <c r="BD51" s="334"/>
      <c r="BE51" s="335"/>
      <c r="BF51" s="338" t="s">
        <v>215</v>
      </c>
      <c r="BG51" s="334"/>
      <c r="BH51" s="334"/>
      <c r="BI51" s="334"/>
      <c r="BJ51" s="334"/>
      <c r="BK51" s="334"/>
      <c r="BL51" s="334"/>
      <c r="BM51" s="334"/>
      <c r="BN51" s="334"/>
      <c r="BO51" s="334"/>
      <c r="BP51" s="334"/>
      <c r="BQ51" s="334"/>
      <c r="BR51" s="334"/>
      <c r="BS51" s="334"/>
      <c r="BT51" s="334"/>
      <c r="BU51" s="334"/>
      <c r="BV51" s="334"/>
      <c r="BW51" s="334"/>
      <c r="BX51" s="335"/>
    </row>
    <row r="52" spans="1:76" ht="15.75" customHeight="1">
      <c r="B52" s="647" t="s">
        <v>216</v>
      </c>
      <c r="C52" s="648"/>
      <c r="D52" s="649">
        <f>'EV5.5.5 Alt. Matl - 3pt Bending'!C56+'EV5.5.5 Alt. Matl - 3pt Bending'!C57</f>
        <v>2</v>
      </c>
      <c r="E52" s="650"/>
      <c r="F52" s="412" t="str">
        <f>IF(_xlfn.ISFORMULA(D52),"","Please add explanation, for deviation from sum of skin thicknesses.")</f>
        <v/>
      </c>
      <c r="G52" s="74"/>
      <c r="H52" s="74"/>
      <c r="I52" s="74"/>
      <c r="J52" s="74"/>
      <c r="K52" s="74"/>
      <c r="L52" s="74"/>
      <c r="M52" s="74"/>
      <c r="N52" s="74"/>
      <c r="O52" s="334"/>
      <c r="P52" s="334"/>
      <c r="Q52" s="334"/>
      <c r="R52" s="334"/>
      <c r="S52" s="335"/>
      <c r="U52" s="647" t="s">
        <v>216</v>
      </c>
      <c r="V52" s="648"/>
      <c r="W52" s="649">
        <f>'EV5.5.5 Alt. Matl - 3pt Bending'!V56+'EV5.5.5 Alt. Matl - 3pt Bending'!V57</f>
        <v>2</v>
      </c>
      <c r="X52" s="650"/>
      <c r="Y52" s="412" t="str">
        <f>IF(_xlfn.ISFORMULA(W52),"","Please add explanation, for deviation from sum of skin thicknesses.")</f>
        <v/>
      </c>
      <c r="Z52" s="74"/>
      <c r="AA52" s="74"/>
      <c r="AB52" s="74"/>
      <c r="AC52" s="74"/>
      <c r="AD52" s="74"/>
      <c r="AE52" s="74"/>
      <c r="AF52" s="74"/>
      <c r="AG52" s="74"/>
      <c r="AH52" s="334"/>
      <c r="AI52" s="334"/>
      <c r="AJ52" s="334"/>
      <c r="AK52" s="334"/>
      <c r="AL52" s="335"/>
      <c r="AN52" s="647" t="s">
        <v>216</v>
      </c>
      <c r="AO52" s="648"/>
      <c r="AP52" s="649">
        <f>'EV5.5.5 Alt. Matl - 3pt Bending'!AO56+'EV5.5.5 Alt. Matl - 3pt Bending'!AO57</f>
        <v>2</v>
      </c>
      <c r="AQ52" s="650"/>
      <c r="AR52" s="412" t="str">
        <f>IF(_xlfn.ISFORMULA(AP52),"","Please add explanation, for deviation from sum of skin thicknesses.")</f>
        <v/>
      </c>
      <c r="AS52" s="74"/>
      <c r="AT52" s="74"/>
      <c r="AU52" s="74"/>
      <c r="AV52" s="74"/>
      <c r="AW52" s="74"/>
      <c r="AX52" s="74"/>
      <c r="AY52" s="74"/>
      <c r="AZ52" s="74"/>
      <c r="BA52" s="334"/>
      <c r="BB52" s="334"/>
      <c r="BC52" s="334"/>
      <c r="BD52" s="334"/>
      <c r="BE52" s="335"/>
      <c r="BG52" s="647" t="s">
        <v>216</v>
      </c>
      <c r="BH52" s="648"/>
      <c r="BI52" s="649">
        <f>'EV5.5.5 Alt. Matl - 3pt Bending'!BH56+'EV5.5.5 Alt. Matl - 3pt Bending'!BH57</f>
        <v>2</v>
      </c>
      <c r="BJ52" s="650"/>
      <c r="BK52" s="412" t="str">
        <f>IF(_xlfn.ISFORMULA(BI52),"","Please add explanation, for deviation from sum of skin thicknesses.")</f>
        <v/>
      </c>
      <c r="BL52" s="74"/>
      <c r="BM52" s="74"/>
      <c r="BN52" s="74"/>
      <c r="BO52" s="74"/>
      <c r="BP52" s="74"/>
      <c r="BQ52" s="74"/>
      <c r="BR52" s="74"/>
      <c r="BS52" s="74"/>
      <c r="BT52" s="334"/>
      <c r="BU52" s="334"/>
      <c r="BV52" s="334"/>
      <c r="BW52" s="334"/>
      <c r="BX52" s="335"/>
    </row>
    <row r="53" spans="1:76" ht="15.75" customHeight="1">
      <c r="A53" s="339"/>
      <c r="B53" s="340"/>
      <c r="C53" s="341"/>
      <c r="D53" s="342"/>
      <c r="E53" s="74"/>
      <c r="F53" s="74"/>
      <c r="G53" s="74"/>
      <c r="H53" s="74"/>
      <c r="I53" s="74"/>
      <c r="J53" s="74"/>
      <c r="K53" s="74"/>
      <c r="L53" s="74"/>
      <c r="M53" s="74"/>
      <c r="N53" s="74"/>
      <c r="O53" s="334"/>
      <c r="P53" s="334"/>
      <c r="Q53" s="334"/>
      <c r="R53" s="334"/>
      <c r="S53" s="335"/>
      <c r="T53" s="339"/>
      <c r="U53" s="340"/>
      <c r="V53" s="341"/>
      <c r="W53" s="342"/>
      <c r="X53" s="74"/>
      <c r="Y53" s="74"/>
      <c r="Z53" s="74"/>
      <c r="AA53" s="74"/>
      <c r="AB53" s="74"/>
      <c r="AC53" s="74"/>
      <c r="AD53" s="74"/>
      <c r="AE53" s="74"/>
      <c r="AF53" s="74"/>
      <c r="AG53" s="74"/>
      <c r="AH53" s="334"/>
      <c r="AI53" s="334"/>
      <c r="AJ53" s="334"/>
      <c r="AK53" s="334"/>
      <c r="AL53" s="335"/>
      <c r="AM53" s="339"/>
      <c r="AN53" s="340"/>
      <c r="AO53" s="341"/>
      <c r="AP53" s="342"/>
      <c r="AQ53" s="74"/>
      <c r="AR53" s="74"/>
      <c r="AS53" s="74"/>
      <c r="AT53" s="74"/>
      <c r="AU53" s="74"/>
      <c r="AV53" s="74"/>
      <c r="AW53" s="74"/>
      <c r="AX53" s="74"/>
      <c r="AY53" s="74"/>
      <c r="AZ53" s="74"/>
      <c r="BA53" s="334"/>
      <c r="BB53" s="334"/>
      <c r="BC53" s="334"/>
      <c r="BD53" s="334"/>
      <c r="BE53" s="335"/>
      <c r="BF53" s="339"/>
      <c r="BG53" s="340"/>
      <c r="BH53" s="341"/>
      <c r="BI53" s="342"/>
      <c r="BJ53" s="74"/>
      <c r="BK53" s="74"/>
      <c r="BL53" s="74"/>
      <c r="BM53" s="74"/>
      <c r="BN53" s="74"/>
      <c r="BO53" s="74"/>
      <c r="BP53" s="74"/>
      <c r="BQ53" s="74"/>
      <c r="BR53" s="74"/>
      <c r="BS53" s="74"/>
      <c r="BT53" s="334"/>
      <c r="BU53" s="334"/>
      <c r="BV53" s="334"/>
      <c r="BW53" s="334"/>
      <c r="BX53" s="335"/>
    </row>
    <row r="54" spans="1:76" ht="15.75" customHeight="1">
      <c r="A54" s="651" t="s">
        <v>217</v>
      </c>
      <c r="B54" s="652"/>
      <c r="C54" s="653"/>
      <c r="D54" s="654">
        <f>IF(D52&gt;0,D48/(PI()*25*D52),0)</f>
        <v>0</v>
      </c>
      <c r="E54" s="655"/>
      <c r="F54" s="74"/>
      <c r="G54" s="74"/>
      <c r="H54" s="74"/>
      <c r="I54" s="74"/>
      <c r="J54" s="74"/>
      <c r="K54" s="74"/>
      <c r="L54" s="74"/>
      <c r="M54" s="102" t="s">
        <v>218</v>
      </c>
      <c r="N54" s="74"/>
      <c r="O54" s="74"/>
      <c r="P54" s="334"/>
      <c r="Q54" s="334"/>
      <c r="R54" s="334"/>
      <c r="S54" s="335"/>
      <c r="T54" s="651" t="s">
        <v>217</v>
      </c>
      <c r="U54" s="652"/>
      <c r="V54" s="653"/>
      <c r="W54" s="654">
        <f>IF(W52&gt;0,W48/(PI()*25*W52),0)</f>
        <v>0</v>
      </c>
      <c r="X54" s="655"/>
      <c r="Y54" s="74"/>
      <c r="Z54" s="74"/>
      <c r="AA54" s="74"/>
      <c r="AB54" s="74"/>
      <c r="AC54" s="74"/>
      <c r="AD54" s="74"/>
      <c r="AE54" s="74"/>
      <c r="AF54" s="74"/>
      <c r="AG54" s="74"/>
      <c r="AH54" s="74"/>
      <c r="AI54" s="334"/>
      <c r="AJ54" s="334"/>
      <c r="AK54" s="334"/>
      <c r="AL54" s="335"/>
      <c r="AM54" s="651" t="s">
        <v>217</v>
      </c>
      <c r="AN54" s="652"/>
      <c r="AO54" s="653"/>
      <c r="AP54" s="654">
        <f>IF(AP52&gt;0,AP48/(PI()*25*AP52),0)</f>
        <v>0</v>
      </c>
      <c r="AQ54" s="655"/>
      <c r="AR54" s="74"/>
      <c r="AS54" s="74"/>
      <c r="AT54" s="74"/>
      <c r="AU54" s="74"/>
      <c r="AV54" s="74"/>
      <c r="AW54" s="74"/>
      <c r="AX54" s="74"/>
      <c r="AY54" s="74"/>
      <c r="AZ54" s="74"/>
      <c r="BA54" s="74"/>
      <c r="BB54" s="334"/>
      <c r="BC54" s="334"/>
      <c r="BD54" s="334"/>
      <c r="BE54" s="335"/>
      <c r="BF54" s="651" t="s">
        <v>217</v>
      </c>
      <c r="BG54" s="652"/>
      <c r="BH54" s="653"/>
      <c r="BI54" s="654">
        <f>IF(BI52&gt;0,BI48/(PI()*25*BI52),0)</f>
        <v>0</v>
      </c>
      <c r="BJ54" s="655"/>
      <c r="BK54" s="74"/>
      <c r="BL54" s="74"/>
      <c r="BM54" s="74"/>
      <c r="BN54" s="74"/>
      <c r="BO54" s="74"/>
      <c r="BP54" s="74"/>
      <c r="BQ54" s="74"/>
      <c r="BR54" s="74"/>
      <c r="BS54" s="74"/>
      <c r="BT54" s="74"/>
      <c r="BU54" s="334"/>
      <c r="BV54" s="334"/>
      <c r="BW54" s="334"/>
      <c r="BX54" s="335"/>
    </row>
    <row r="55" spans="1:76">
      <c r="A55" s="343"/>
      <c r="B55" s="344"/>
      <c r="C55" s="344"/>
      <c r="D55" s="344"/>
      <c r="E55" s="344"/>
      <c r="F55" s="344"/>
      <c r="G55" s="344"/>
      <c r="H55" s="344"/>
      <c r="I55" s="344"/>
      <c r="J55" s="344"/>
      <c r="K55" s="344"/>
      <c r="L55" s="344"/>
      <c r="M55" s="344"/>
      <c r="N55" s="344"/>
      <c r="O55" s="344"/>
      <c r="P55" s="344"/>
      <c r="Q55" s="344"/>
      <c r="R55" s="344"/>
      <c r="S55" s="345"/>
      <c r="T55" s="343"/>
      <c r="U55" s="344"/>
      <c r="V55" s="344"/>
      <c r="W55" s="344"/>
      <c r="X55" s="344"/>
      <c r="Y55" s="344"/>
      <c r="Z55" s="344"/>
      <c r="AA55" s="344"/>
      <c r="AB55" s="344"/>
      <c r="AC55" s="344"/>
      <c r="AD55" s="344"/>
      <c r="AE55" s="344"/>
      <c r="AF55" s="344"/>
      <c r="AG55" s="344"/>
      <c r="AH55" s="344"/>
      <c r="AI55" s="344"/>
      <c r="AJ55" s="344"/>
      <c r="AK55" s="344"/>
      <c r="AL55" s="345"/>
      <c r="AM55" s="343"/>
      <c r="AN55" s="344"/>
      <c r="AO55" s="344"/>
      <c r="AP55" s="344"/>
      <c r="AQ55" s="344"/>
      <c r="AR55" s="344"/>
      <c r="AS55" s="344"/>
      <c r="AT55" s="344"/>
      <c r="AU55" s="344"/>
      <c r="AV55" s="344"/>
      <c r="AW55" s="344"/>
      <c r="AX55" s="344"/>
      <c r="AY55" s="344"/>
      <c r="AZ55" s="344"/>
      <c r="BA55" s="344"/>
      <c r="BB55" s="344"/>
      <c r="BC55" s="344"/>
      <c r="BD55" s="344"/>
      <c r="BE55" s="345"/>
      <c r="BF55" s="343"/>
      <c r="BG55" s="344"/>
      <c r="BH55" s="344"/>
      <c r="BI55" s="344"/>
      <c r="BJ55" s="344"/>
      <c r="BK55" s="344"/>
      <c r="BL55" s="344"/>
      <c r="BM55" s="344"/>
      <c r="BN55" s="344"/>
      <c r="BO55" s="344"/>
      <c r="BP55" s="344"/>
      <c r="BQ55" s="344"/>
      <c r="BR55" s="344"/>
      <c r="BS55" s="344"/>
      <c r="BT55" s="344"/>
      <c r="BU55" s="344"/>
      <c r="BV55" s="344"/>
      <c r="BW55" s="344"/>
      <c r="BX55" s="345"/>
    </row>
    <row r="56" spans="1:76">
      <c r="A56" s="316" t="s">
        <v>199</v>
      </c>
      <c r="B56"/>
      <c r="C56"/>
      <c r="D56"/>
      <c r="E56"/>
      <c r="F56"/>
      <c r="G56"/>
      <c r="H56"/>
      <c r="I56"/>
      <c r="J56"/>
      <c r="K56"/>
      <c r="L56"/>
      <c r="M56"/>
      <c r="N56"/>
      <c r="O56"/>
      <c r="P56"/>
      <c r="Q56"/>
      <c r="R56"/>
      <c r="S56" s="6"/>
      <c r="T56" s="316" t="s">
        <v>199</v>
      </c>
      <c r="U56"/>
      <c r="V56"/>
      <c r="W56"/>
      <c r="X56"/>
      <c r="Y56"/>
      <c r="Z56"/>
      <c r="AA56"/>
      <c r="AB56"/>
      <c r="AC56"/>
      <c r="AD56"/>
      <c r="AE56"/>
      <c r="AF56"/>
      <c r="AG56"/>
      <c r="AH56"/>
      <c r="AI56"/>
      <c r="AJ56"/>
      <c r="AK56"/>
      <c r="AL56" s="6"/>
      <c r="AM56" s="316" t="s">
        <v>199</v>
      </c>
      <c r="AN56"/>
      <c r="AO56"/>
      <c r="AP56"/>
      <c r="AQ56"/>
      <c r="AR56"/>
      <c r="AS56"/>
      <c r="AT56"/>
      <c r="AU56"/>
      <c r="AV56"/>
      <c r="AW56"/>
      <c r="AX56"/>
      <c r="AY56"/>
      <c r="AZ56"/>
      <c r="BA56"/>
      <c r="BB56"/>
      <c r="BC56"/>
      <c r="BD56"/>
      <c r="BE56" s="6"/>
      <c r="BF56" s="316" t="s">
        <v>199</v>
      </c>
      <c r="BG56"/>
      <c r="BH56"/>
      <c r="BI56"/>
      <c r="BJ56"/>
      <c r="BK56"/>
      <c r="BL56"/>
      <c r="BM56"/>
      <c r="BN56"/>
      <c r="BO56"/>
      <c r="BP56"/>
      <c r="BQ56"/>
      <c r="BR56"/>
      <c r="BS56"/>
      <c r="BT56"/>
      <c r="BU56"/>
      <c r="BV56"/>
      <c r="BW56"/>
      <c r="BX56" s="6"/>
    </row>
    <row r="57" spans="1:76">
      <c r="A57" s="296" t="s">
        <v>200</v>
      </c>
      <c r="B57"/>
      <c r="C57"/>
      <c r="D57"/>
      <c r="E57"/>
      <c r="F57"/>
      <c r="G57"/>
      <c r="H57"/>
      <c r="I57"/>
      <c r="J57"/>
      <c r="K57"/>
      <c r="L57"/>
      <c r="M57"/>
      <c r="N57"/>
      <c r="O57"/>
      <c r="P57"/>
      <c r="Q57"/>
      <c r="R57"/>
      <c r="S57" s="6"/>
      <c r="T57" s="296" t="s">
        <v>200</v>
      </c>
      <c r="U57"/>
      <c r="V57"/>
      <c r="W57"/>
      <c r="X57"/>
      <c r="Y57"/>
      <c r="Z57"/>
      <c r="AA57"/>
      <c r="AB57"/>
      <c r="AC57"/>
      <c r="AD57"/>
      <c r="AE57"/>
      <c r="AF57"/>
      <c r="AG57"/>
      <c r="AH57"/>
      <c r="AI57"/>
      <c r="AJ57"/>
      <c r="AK57"/>
      <c r="AL57" s="6"/>
      <c r="AM57" s="296" t="s">
        <v>200</v>
      </c>
      <c r="AN57"/>
      <c r="AO57"/>
      <c r="AP57"/>
      <c r="AQ57"/>
      <c r="AR57"/>
      <c r="AS57"/>
      <c r="AT57"/>
      <c r="AU57"/>
      <c r="AV57"/>
      <c r="AW57"/>
      <c r="AX57"/>
      <c r="AY57"/>
      <c r="AZ57"/>
      <c r="BA57"/>
      <c r="BB57"/>
      <c r="BC57"/>
      <c r="BD57"/>
      <c r="BE57" s="6"/>
      <c r="BF57" s="296" t="s">
        <v>200</v>
      </c>
      <c r="BG57"/>
      <c r="BH57"/>
      <c r="BI57"/>
      <c r="BJ57"/>
      <c r="BK57"/>
      <c r="BL57"/>
      <c r="BM57"/>
      <c r="BN57"/>
      <c r="BO57"/>
      <c r="BP57"/>
      <c r="BQ57"/>
      <c r="BR57"/>
      <c r="BS57"/>
      <c r="BT57"/>
      <c r="BU57"/>
      <c r="BV57"/>
      <c r="BW57"/>
      <c r="BX57" s="6"/>
    </row>
    <row r="58" spans="1:76">
      <c r="A58" s="296" t="s">
        <v>201</v>
      </c>
      <c r="B58"/>
      <c r="C58"/>
      <c r="D58"/>
      <c r="E58"/>
      <c r="F58"/>
      <c r="G58"/>
      <c r="H58"/>
      <c r="I58"/>
      <c r="J58"/>
      <c r="K58"/>
      <c r="L58"/>
      <c r="M58"/>
      <c r="N58"/>
      <c r="O58"/>
      <c r="P58"/>
      <c r="Q58"/>
      <c r="R58"/>
      <c r="S58" s="6"/>
      <c r="T58" s="296" t="s">
        <v>201</v>
      </c>
      <c r="U58"/>
      <c r="V58"/>
      <c r="W58"/>
      <c r="X58"/>
      <c r="Y58"/>
      <c r="Z58"/>
      <c r="AA58"/>
      <c r="AB58"/>
      <c r="AC58"/>
      <c r="AD58"/>
      <c r="AE58"/>
      <c r="AF58"/>
      <c r="AG58"/>
      <c r="AH58"/>
      <c r="AI58"/>
      <c r="AJ58"/>
      <c r="AK58"/>
      <c r="AL58" s="6"/>
      <c r="AM58" s="296" t="s">
        <v>201</v>
      </c>
      <c r="AN58"/>
      <c r="AO58"/>
      <c r="AP58"/>
      <c r="AQ58"/>
      <c r="AR58"/>
      <c r="AS58"/>
      <c r="AT58"/>
      <c r="AU58"/>
      <c r="AV58"/>
      <c r="AW58"/>
      <c r="AX58"/>
      <c r="AY58"/>
      <c r="AZ58"/>
      <c r="BA58"/>
      <c r="BB58"/>
      <c r="BC58"/>
      <c r="BD58"/>
      <c r="BE58" s="6"/>
      <c r="BF58" s="296" t="s">
        <v>201</v>
      </c>
      <c r="BG58"/>
      <c r="BH58"/>
      <c r="BI58"/>
      <c r="BJ58"/>
      <c r="BK58"/>
      <c r="BL58"/>
      <c r="BM58"/>
      <c r="BN58"/>
      <c r="BO58"/>
      <c r="BP58"/>
      <c r="BQ58"/>
      <c r="BR58"/>
      <c r="BS58"/>
      <c r="BT58"/>
      <c r="BU58"/>
      <c r="BV58"/>
      <c r="BW58"/>
      <c r="BX58" s="6"/>
    </row>
    <row r="59" spans="1:76">
      <c r="A59" s="4"/>
      <c r="B59"/>
      <c r="C59"/>
      <c r="D59"/>
      <c r="E59"/>
      <c r="F59"/>
      <c r="G59"/>
      <c r="H59"/>
      <c r="I59"/>
      <c r="J59"/>
      <c r="K59"/>
      <c r="L59"/>
      <c r="M59"/>
      <c r="N59"/>
      <c r="O59"/>
      <c r="P59"/>
      <c r="Q59"/>
      <c r="R59"/>
      <c r="S59" s="6"/>
      <c r="T59" s="4"/>
      <c r="U59"/>
      <c r="V59"/>
      <c r="W59"/>
      <c r="X59"/>
      <c r="Y59"/>
      <c r="Z59"/>
      <c r="AA59"/>
      <c r="AB59"/>
      <c r="AC59"/>
      <c r="AD59"/>
      <c r="AE59"/>
      <c r="AF59"/>
      <c r="AG59"/>
      <c r="AH59"/>
      <c r="AI59"/>
      <c r="AJ59"/>
      <c r="AK59"/>
      <c r="AL59" s="6"/>
      <c r="AM59" s="4"/>
      <c r="AN59"/>
      <c r="AO59"/>
      <c r="AP59"/>
      <c r="AQ59"/>
      <c r="AR59"/>
      <c r="AS59"/>
      <c r="AT59"/>
      <c r="AU59"/>
      <c r="AV59"/>
      <c r="AW59"/>
      <c r="AX59"/>
      <c r="AY59"/>
      <c r="AZ59"/>
      <c r="BA59"/>
      <c r="BB59"/>
      <c r="BC59"/>
      <c r="BD59"/>
      <c r="BE59" s="6"/>
      <c r="BF59" s="4"/>
      <c r="BG59"/>
      <c r="BH59"/>
      <c r="BI59"/>
      <c r="BJ59"/>
      <c r="BK59"/>
      <c r="BL59"/>
      <c r="BM59"/>
      <c r="BN59"/>
      <c r="BO59"/>
      <c r="BP59"/>
      <c r="BQ59"/>
      <c r="BR59"/>
      <c r="BS59"/>
      <c r="BT59"/>
      <c r="BU59"/>
      <c r="BV59"/>
      <c r="BW59"/>
      <c r="BX59" s="6"/>
    </row>
    <row r="60" spans="1:76" ht="36" customHeight="1">
      <c r="A60" s="4"/>
      <c r="B60" s="317"/>
      <c r="C60" s="318" t="s">
        <v>202</v>
      </c>
      <c r="D60" s="319" t="s">
        <v>203</v>
      </c>
      <c r="E60"/>
      <c r="F60" s="591" t="s">
        <v>204</v>
      </c>
      <c r="G60" s="592"/>
      <c r="H60" s="592"/>
      <c r="I60" s="592"/>
      <c r="J60" s="592"/>
      <c r="K60" s="592"/>
      <c r="L60" s="592"/>
      <c r="M60" s="592"/>
      <c r="N60" s="592"/>
      <c r="O60" s="592"/>
      <c r="P60" s="592"/>
      <c r="Q60" s="592"/>
      <c r="R60" s="593"/>
      <c r="S60" s="6"/>
      <c r="T60" s="4"/>
      <c r="U60" s="317"/>
      <c r="V60" s="318" t="s">
        <v>202</v>
      </c>
      <c r="W60" s="319" t="s">
        <v>203</v>
      </c>
      <c r="X60"/>
      <c r="Y60" s="591" t="s">
        <v>204</v>
      </c>
      <c r="Z60" s="592"/>
      <c r="AA60" s="592"/>
      <c r="AB60" s="592"/>
      <c r="AC60" s="592"/>
      <c r="AD60" s="592"/>
      <c r="AE60" s="592"/>
      <c r="AF60" s="592"/>
      <c r="AG60" s="592"/>
      <c r="AH60" s="592"/>
      <c r="AI60" s="592"/>
      <c r="AJ60" s="592"/>
      <c r="AK60" s="593"/>
      <c r="AL60" s="6"/>
      <c r="AM60" s="4"/>
      <c r="AN60" s="317"/>
      <c r="AO60" s="318" t="s">
        <v>202</v>
      </c>
      <c r="AP60" s="319" t="s">
        <v>203</v>
      </c>
      <c r="AQ60"/>
      <c r="AR60" s="591" t="s">
        <v>204</v>
      </c>
      <c r="AS60" s="592"/>
      <c r="AT60" s="592"/>
      <c r="AU60" s="592"/>
      <c r="AV60" s="592"/>
      <c r="AW60" s="592"/>
      <c r="AX60" s="592"/>
      <c r="AY60" s="592"/>
      <c r="AZ60" s="592"/>
      <c r="BA60" s="592"/>
      <c r="BB60" s="592"/>
      <c r="BC60" s="592"/>
      <c r="BD60" s="593"/>
      <c r="BE60" s="6"/>
      <c r="BF60" s="4"/>
      <c r="BG60" s="317"/>
      <c r="BH60" s="318" t="s">
        <v>202</v>
      </c>
      <c r="BI60" s="319" t="s">
        <v>203</v>
      </c>
      <c r="BJ60"/>
      <c r="BK60" s="591" t="s">
        <v>204</v>
      </c>
      <c r="BL60" s="592"/>
      <c r="BM60" s="592"/>
      <c r="BN60" s="592"/>
      <c r="BO60" s="592"/>
      <c r="BP60" s="592"/>
      <c r="BQ60" s="592"/>
      <c r="BR60" s="592"/>
      <c r="BS60" s="592"/>
      <c r="BT60" s="592"/>
      <c r="BU60" s="592"/>
      <c r="BV60" s="592"/>
      <c r="BW60" s="593"/>
      <c r="BX60" s="6"/>
    </row>
    <row r="61" spans="1:76" ht="15">
      <c r="A61" s="4"/>
      <c r="B61" s="320">
        <v>1</v>
      </c>
      <c r="C61" s="346"/>
      <c r="D61" s="347"/>
      <c r="E61"/>
      <c r="F61" s="135"/>
      <c r="G61" s="101"/>
      <c r="H61" s="321"/>
      <c r="I61" s="321"/>
      <c r="J61" s="81"/>
      <c r="K61" s="81"/>
      <c r="L61" s="81"/>
      <c r="M61" s="81"/>
      <c r="N61" s="81"/>
      <c r="O61" s="81"/>
      <c r="P61" s="81"/>
      <c r="Q61" s="81"/>
      <c r="R61" s="136"/>
      <c r="S61" s="6"/>
      <c r="T61" s="4"/>
      <c r="U61" s="320">
        <v>1</v>
      </c>
      <c r="V61" s="346"/>
      <c r="W61" s="347"/>
      <c r="X61"/>
      <c r="Y61" s="135"/>
      <c r="Z61" s="101"/>
      <c r="AA61" s="321"/>
      <c r="AB61" s="321"/>
      <c r="AC61" s="81"/>
      <c r="AD61" s="81"/>
      <c r="AE61" s="81"/>
      <c r="AF61" s="81"/>
      <c r="AG61" s="81"/>
      <c r="AH61" s="81"/>
      <c r="AI61" s="81"/>
      <c r="AJ61" s="81"/>
      <c r="AK61" s="136"/>
      <c r="AL61" s="6"/>
      <c r="AM61" s="4"/>
      <c r="AN61" s="320">
        <v>1</v>
      </c>
      <c r="AO61" s="346"/>
      <c r="AP61" s="347"/>
      <c r="AQ61"/>
      <c r="AR61" s="135"/>
      <c r="AS61" s="101"/>
      <c r="AT61" s="321"/>
      <c r="AU61" s="321"/>
      <c r="AV61" s="81"/>
      <c r="AW61" s="81"/>
      <c r="AX61" s="81"/>
      <c r="AY61" s="81"/>
      <c r="AZ61" s="81"/>
      <c r="BA61" s="81"/>
      <c r="BB61" s="81"/>
      <c r="BC61" s="81"/>
      <c r="BD61" s="136"/>
      <c r="BE61" s="6"/>
      <c r="BF61" s="4"/>
      <c r="BG61" s="320">
        <v>1</v>
      </c>
      <c r="BH61" s="346"/>
      <c r="BI61" s="347"/>
      <c r="BJ61"/>
      <c r="BK61" s="135"/>
      <c r="BL61" s="101"/>
      <c r="BM61" s="321"/>
      <c r="BN61" s="321"/>
      <c r="BO61" s="81"/>
      <c r="BP61" s="81"/>
      <c r="BQ61" s="81"/>
      <c r="BR61" s="81"/>
      <c r="BS61" s="81"/>
      <c r="BT61" s="81"/>
      <c r="BU61" s="81"/>
      <c r="BV61" s="81"/>
      <c r="BW61" s="136"/>
      <c r="BX61" s="6"/>
    </row>
    <row r="62" spans="1:76">
      <c r="A62" s="4"/>
      <c r="B62" s="320">
        <v>2</v>
      </c>
      <c r="C62" s="346"/>
      <c r="D62" s="347"/>
      <c r="E62"/>
      <c r="F62" s="135"/>
      <c r="G62" s="137"/>
      <c r="H62" s="81"/>
      <c r="I62" s="81"/>
      <c r="J62" s="81"/>
      <c r="K62" s="81"/>
      <c r="L62" s="81"/>
      <c r="M62" s="81"/>
      <c r="N62" s="81"/>
      <c r="O62" s="81"/>
      <c r="P62" s="81"/>
      <c r="Q62" s="81"/>
      <c r="R62" s="136"/>
      <c r="S62" s="6"/>
      <c r="T62" s="4"/>
      <c r="U62" s="320">
        <v>2</v>
      </c>
      <c r="V62" s="346"/>
      <c r="W62" s="347"/>
      <c r="X62"/>
      <c r="Y62" s="135"/>
      <c r="Z62" s="137"/>
      <c r="AA62" s="81"/>
      <c r="AB62" s="81"/>
      <c r="AC62" s="81"/>
      <c r="AD62" s="81"/>
      <c r="AE62" s="81"/>
      <c r="AF62" s="81"/>
      <c r="AG62" s="81"/>
      <c r="AH62" s="81"/>
      <c r="AI62" s="81"/>
      <c r="AJ62" s="81"/>
      <c r="AK62" s="136"/>
      <c r="AL62" s="6"/>
      <c r="AM62" s="4"/>
      <c r="AN62" s="320">
        <v>2</v>
      </c>
      <c r="AO62" s="346"/>
      <c r="AP62" s="347"/>
      <c r="AQ62"/>
      <c r="AR62" s="135"/>
      <c r="AS62" s="137"/>
      <c r="AT62" s="81"/>
      <c r="AU62" s="81"/>
      <c r="AV62" s="81"/>
      <c r="AW62" s="81"/>
      <c r="AX62" s="81"/>
      <c r="AY62" s="81"/>
      <c r="AZ62" s="81"/>
      <c r="BA62" s="81"/>
      <c r="BB62" s="81"/>
      <c r="BC62" s="81"/>
      <c r="BD62" s="136"/>
      <c r="BE62" s="6"/>
      <c r="BF62" s="4"/>
      <c r="BG62" s="320">
        <v>2</v>
      </c>
      <c r="BH62" s="346"/>
      <c r="BI62" s="347"/>
      <c r="BJ62"/>
      <c r="BK62" s="135"/>
      <c r="BL62" s="137"/>
      <c r="BM62" s="81"/>
      <c r="BN62" s="81"/>
      <c r="BO62" s="81"/>
      <c r="BP62" s="81"/>
      <c r="BQ62" s="81"/>
      <c r="BR62" s="81"/>
      <c r="BS62" s="81"/>
      <c r="BT62" s="81"/>
      <c r="BU62" s="81"/>
      <c r="BV62" s="81"/>
      <c r="BW62" s="136"/>
      <c r="BX62" s="6"/>
    </row>
    <row r="63" spans="1:76">
      <c r="A63" s="4"/>
      <c r="B63" s="320">
        <v>3</v>
      </c>
      <c r="C63" s="346"/>
      <c r="D63" s="347"/>
      <c r="E63"/>
      <c r="F63" s="135" t="s">
        <v>205</v>
      </c>
      <c r="G63" s="137"/>
      <c r="H63" s="81"/>
      <c r="I63" s="81"/>
      <c r="J63" s="81"/>
      <c r="K63" s="81"/>
      <c r="L63" s="81"/>
      <c r="M63" s="81"/>
      <c r="N63" s="81"/>
      <c r="O63" s="81"/>
      <c r="P63" s="81"/>
      <c r="Q63" s="81"/>
      <c r="R63" s="136"/>
      <c r="S63" s="6"/>
      <c r="T63" s="4"/>
      <c r="U63" s="320">
        <v>3</v>
      </c>
      <c r="V63" s="346"/>
      <c r="W63" s="347"/>
      <c r="X63"/>
      <c r="Y63" s="135" t="s">
        <v>205</v>
      </c>
      <c r="Z63" s="137"/>
      <c r="AA63" s="81"/>
      <c r="AB63" s="81"/>
      <c r="AC63" s="81"/>
      <c r="AD63" s="81"/>
      <c r="AE63" s="81"/>
      <c r="AF63" s="81"/>
      <c r="AG63" s="81"/>
      <c r="AH63" s="81"/>
      <c r="AI63" s="81"/>
      <c r="AJ63" s="81"/>
      <c r="AK63" s="136"/>
      <c r="AL63" s="6"/>
      <c r="AM63" s="4"/>
      <c r="AN63" s="320">
        <v>3</v>
      </c>
      <c r="AO63" s="346"/>
      <c r="AP63" s="347"/>
      <c r="AQ63"/>
      <c r="AR63" s="135" t="s">
        <v>205</v>
      </c>
      <c r="AS63" s="137"/>
      <c r="AT63" s="81"/>
      <c r="AU63" s="81"/>
      <c r="AV63" s="81"/>
      <c r="AW63" s="81"/>
      <c r="AX63" s="81"/>
      <c r="AY63" s="81"/>
      <c r="AZ63" s="81"/>
      <c r="BA63" s="81"/>
      <c r="BB63" s="81"/>
      <c r="BC63" s="81"/>
      <c r="BD63" s="136"/>
      <c r="BE63" s="6"/>
      <c r="BF63" s="4"/>
      <c r="BG63" s="320">
        <v>3</v>
      </c>
      <c r="BH63" s="346"/>
      <c r="BI63" s="347"/>
      <c r="BJ63"/>
      <c r="BK63" s="135" t="s">
        <v>205</v>
      </c>
      <c r="BL63" s="137"/>
      <c r="BM63" s="81"/>
      <c r="BN63" s="81"/>
      <c r="BO63" s="81"/>
      <c r="BP63" s="81"/>
      <c r="BQ63" s="81"/>
      <c r="BR63" s="81"/>
      <c r="BS63" s="81"/>
      <c r="BT63" s="81"/>
      <c r="BU63" s="81"/>
      <c r="BV63" s="81"/>
      <c r="BW63" s="136"/>
      <c r="BX63" s="6"/>
    </row>
    <row r="64" spans="1:76">
      <c r="A64" s="4"/>
      <c r="B64" s="320">
        <v>4</v>
      </c>
      <c r="C64" s="346"/>
      <c r="D64" s="347"/>
      <c r="E64"/>
      <c r="F64" s="135" t="s">
        <v>206</v>
      </c>
      <c r="G64" s="81"/>
      <c r="H64" s="81"/>
      <c r="I64" s="81"/>
      <c r="J64" s="81"/>
      <c r="K64" s="81"/>
      <c r="L64" s="81"/>
      <c r="M64" s="81"/>
      <c r="N64" s="81"/>
      <c r="O64" s="81"/>
      <c r="P64" s="81"/>
      <c r="Q64" s="81"/>
      <c r="R64" s="136"/>
      <c r="S64" s="6"/>
      <c r="T64" s="4"/>
      <c r="U64" s="320">
        <v>4</v>
      </c>
      <c r="V64" s="346"/>
      <c r="W64" s="347"/>
      <c r="X64"/>
      <c r="Y64" s="135" t="s">
        <v>206</v>
      </c>
      <c r="Z64" s="81"/>
      <c r="AA64" s="81"/>
      <c r="AB64" s="81"/>
      <c r="AC64" s="81"/>
      <c r="AD64" s="81"/>
      <c r="AE64" s="81"/>
      <c r="AF64" s="81"/>
      <c r="AG64" s="81"/>
      <c r="AH64" s="81"/>
      <c r="AI64" s="81"/>
      <c r="AJ64" s="81"/>
      <c r="AK64" s="136"/>
      <c r="AL64" s="6"/>
      <c r="AM64" s="4"/>
      <c r="AN64" s="320">
        <v>4</v>
      </c>
      <c r="AO64" s="346"/>
      <c r="AP64" s="347"/>
      <c r="AQ64"/>
      <c r="AR64" s="135" t="s">
        <v>206</v>
      </c>
      <c r="AS64" s="81"/>
      <c r="AT64" s="81"/>
      <c r="AU64" s="81"/>
      <c r="AV64" s="81"/>
      <c r="AW64" s="81"/>
      <c r="AX64" s="81"/>
      <c r="AY64" s="81"/>
      <c r="AZ64" s="81"/>
      <c r="BA64" s="81"/>
      <c r="BB64" s="81"/>
      <c r="BC64" s="81"/>
      <c r="BD64" s="136"/>
      <c r="BE64" s="6"/>
      <c r="BF64" s="4"/>
      <c r="BG64" s="320">
        <v>4</v>
      </c>
      <c r="BH64" s="346"/>
      <c r="BI64" s="347"/>
      <c r="BJ64"/>
      <c r="BK64" s="135" t="s">
        <v>206</v>
      </c>
      <c r="BL64" s="81"/>
      <c r="BM64" s="81"/>
      <c r="BN64" s="81"/>
      <c r="BO64" s="81"/>
      <c r="BP64" s="81"/>
      <c r="BQ64" s="81"/>
      <c r="BR64" s="81"/>
      <c r="BS64" s="81"/>
      <c r="BT64" s="81"/>
      <c r="BU64" s="81"/>
      <c r="BV64" s="81"/>
      <c r="BW64" s="136"/>
      <c r="BX64" s="6"/>
    </row>
    <row r="65" spans="1:76">
      <c r="A65" s="4"/>
      <c r="B65" s="320">
        <v>5</v>
      </c>
      <c r="C65" s="346"/>
      <c r="D65" s="347"/>
      <c r="E65"/>
      <c r="F65" s="135"/>
      <c r="G65" s="81"/>
      <c r="H65" s="81"/>
      <c r="I65" s="81"/>
      <c r="J65" s="81"/>
      <c r="K65" s="81"/>
      <c r="L65" s="81"/>
      <c r="M65" s="81"/>
      <c r="N65" s="81"/>
      <c r="O65" s="81"/>
      <c r="P65" s="81"/>
      <c r="Q65" s="81"/>
      <c r="R65" s="136"/>
      <c r="S65" s="6"/>
      <c r="T65" s="4"/>
      <c r="U65" s="320">
        <v>5</v>
      </c>
      <c r="V65" s="346"/>
      <c r="W65" s="347"/>
      <c r="X65"/>
      <c r="Y65" s="135"/>
      <c r="Z65" s="81"/>
      <c r="AA65" s="81"/>
      <c r="AB65" s="81"/>
      <c r="AC65" s="81"/>
      <c r="AD65" s="81"/>
      <c r="AE65" s="81"/>
      <c r="AF65" s="81"/>
      <c r="AG65" s="81"/>
      <c r="AH65" s="81"/>
      <c r="AI65" s="81"/>
      <c r="AJ65" s="81"/>
      <c r="AK65" s="136"/>
      <c r="AL65" s="6"/>
      <c r="AM65" s="4"/>
      <c r="AN65" s="320">
        <v>5</v>
      </c>
      <c r="AO65" s="346"/>
      <c r="AP65" s="347"/>
      <c r="AQ65"/>
      <c r="AR65" s="135"/>
      <c r="AS65" s="81"/>
      <c r="AT65" s="81"/>
      <c r="AU65" s="81"/>
      <c r="AV65" s="81"/>
      <c r="AW65" s="81"/>
      <c r="AX65" s="81"/>
      <c r="AY65" s="81"/>
      <c r="AZ65" s="81"/>
      <c r="BA65" s="81"/>
      <c r="BB65" s="81"/>
      <c r="BC65" s="81"/>
      <c r="BD65" s="136"/>
      <c r="BE65" s="6"/>
      <c r="BF65" s="4"/>
      <c r="BG65" s="320">
        <v>5</v>
      </c>
      <c r="BH65" s="346"/>
      <c r="BI65" s="347"/>
      <c r="BJ65"/>
      <c r="BK65" s="135"/>
      <c r="BL65" s="81"/>
      <c r="BM65" s="81"/>
      <c r="BN65" s="81"/>
      <c r="BO65" s="81"/>
      <c r="BP65" s="81"/>
      <c r="BQ65" s="81"/>
      <c r="BR65" s="81"/>
      <c r="BS65" s="81"/>
      <c r="BT65" s="81"/>
      <c r="BU65" s="81"/>
      <c r="BV65" s="81"/>
      <c r="BW65" s="136"/>
      <c r="BX65" s="6"/>
    </row>
    <row r="66" spans="1:76">
      <c r="A66" s="4"/>
      <c r="B66" s="320">
        <v>6</v>
      </c>
      <c r="C66" s="346"/>
      <c r="D66" s="347"/>
      <c r="E66"/>
      <c r="F66" s="135"/>
      <c r="G66" s="81"/>
      <c r="H66" s="81"/>
      <c r="I66" s="81"/>
      <c r="J66" s="81"/>
      <c r="K66" s="81"/>
      <c r="L66" s="81"/>
      <c r="M66" s="81"/>
      <c r="N66" s="81"/>
      <c r="O66" s="81"/>
      <c r="P66" s="81"/>
      <c r="Q66" s="81"/>
      <c r="R66" s="136"/>
      <c r="S66" s="6"/>
      <c r="T66" s="4"/>
      <c r="U66" s="320">
        <v>6</v>
      </c>
      <c r="V66" s="346"/>
      <c r="W66" s="347"/>
      <c r="X66"/>
      <c r="Y66" s="135"/>
      <c r="Z66" s="81"/>
      <c r="AA66" s="81"/>
      <c r="AB66" s="81"/>
      <c r="AC66" s="81"/>
      <c r="AD66" s="81"/>
      <c r="AE66" s="81"/>
      <c r="AF66" s="81"/>
      <c r="AG66" s="81"/>
      <c r="AH66" s="81"/>
      <c r="AI66" s="81"/>
      <c r="AJ66" s="81"/>
      <c r="AK66" s="136"/>
      <c r="AL66" s="6"/>
      <c r="AM66" s="4"/>
      <c r="AN66" s="320">
        <v>6</v>
      </c>
      <c r="AO66" s="346"/>
      <c r="AP66" s="347"/>
      <c r="AQ66"/>
      <c r="AR66" s="135"/>
      <c r="AS66" s="81"/>
      <c r="AT66" s="81"/>
      <c r="AU66" s="81"/>
      <c r="AV66" s="81"/>
      <c r="AW66" s="81"/>
      <c r="AX66" s="81"/>
      <c r="AY66" s="81"/>
      <c r="AZ66" s="81"/>
      <c r="BA66" s="81"/>
      <c r="BB66" s="81"/>
      <c r="BC66" s="81"/>
      <c r="BD66" s="136"/>
      <c r="BE66" s="6"/>
      <c r="BF66" s="4"/>
      <c r="BG66" s="320">
        <v>6</v>
      </c>
      <c r="BH66" s="346"/>
      <c r="BI66" s="347"/>
      <c r="BJ66"/>
      <c r="BK66" s="135"/>
      <c r="BL66" s="81"/>
      <c r="BM66" s="81"/>
      <c r="BN66" s="81"/>
      <c r="BO66" s="81"/>
      <c r="BP66" s="81"/>
      <c r="BQ66" s="81"/>
      <c r="BR66" s="81"/>
      <c r="BS66" s="81"/>
      <c r="BT66" s="81"/>
      <c r="BU66" s="81"/>
      <c r="BV66" s="81"/>
      <c r="BW66" s="136"/>
      <c r="BX66" s="6"/>
    </row>
    <row r="67" spans="1:76">
      <c r="A67" s="4"/>
      <c r="B67" s="320">
        <v>7</v>
      </c>
      <c r="C67" s="346"/>
      <c r="D67" s="347"/>
      <c r="E67"/>
      <c r="F67" s="135"/>
      <c r="G67" s="81"/>
      <c r="H67" s="81"/>
      <c r="I67" s="81"/>
      <c r="J67" s="81"/>
      <c r="K67" s="81"/>
      <c r="L67" s="81"/>
      <c r="M67" s="81"/>
      <c r="N67" s="81"/>
      <c r="O67" s="81"/>
      <c r="P67" s="81"/>
      <c r="Q67" s="81"/>
      <c r="R67" s="136"/>
      <c r="S67" s="6"/>
      <c r="T67" s="4"/>
      <c r="U67" s="320">
        <v>7</v>
      </c>
      <c r="V67" s="346"/>
      <c r="W67" s="347"/>
      <c r="X67"/>
      <c r="Y67" s="135"/>
      <c r="Z67" s="81"/>
      <c r="AA67" s="81"/>
      <c r="AB67" s="81"/>
      <c r="AC67" s="81"/>
      <c r="AD67" s="81"/>
      <c r="AE67" s="81"/>
      <c r="AF67" s="81"/>
      <c r="AG67" s="81"/>
      <c r="AH67" s="81"/>
      <c r="AI67" s="81"/>
      <c r="AJ67" s="81"/>
      <c r="AK67" s="136"/>
      <c r="AL67" s="6"/>
      <c r="AM67" s="4"/>
      <c r="AN67" s="320">
        <v>7</v>
      </c>
      <c r="AO67" s="346"/>
      <c r="AP67" s="347"/>
      <c r="AQ67"/>
      <c r="AR67" s="135"/>
      <c r="AS67" s="81"/>
      <c r="AT67" s="81"/>
      <c r="AU67" s="81"/>
      <c r="AV67" s="81"/>
      <c r="AW67" s="81"/>
      <c r="AX67" s="81"/>
      <c r="AY67" s="81"/>
      <c r="AZ67" s="81"/>
      <c r="BA67" s="81"/>
      <c r="BB67" s="81"/>
      <c r="BC67" s="81"/>
      <c r="BD67" s="136"/>
      <c r="BE67" s="6"/>
      <c r="BF67" s="4"/>
      <c r="BG67" s="320">
        <v>7</v>
      </c>
      <c r="BH67" s="346"/>
      <c r="BI67" s="347"/>
      <c r="BJ67"/>
      <c r="BK67" s="135"/>
      <c r="BL67" s="81"/>
      <c r="BM67" s="81"/>
      <c r="BN67" s="81"/>
      <c r="BO67" s="81"/>
      <c r="BP67" s="81"/>
      <c r="BQ67" s="81"/>
      <c r="BR67" s="81"/>
      <c r="BS67" s="81"/>
      <c r="BT67" s="81"/>
      <c r="BU67" s="81"/>
      <c r="BV67" s="81"/>
      <c r="BW67" s="136"/>
      <c r="BX67" s="6"/>
    </row>
    <row r="68" spans="1:76">
      <c r="A68" s="4"/>
      <c r="B68" s="320">
        <v>8</v>
      </c>
      <c r="C68" s="346"/>
      <c r="D68" s="347"/>
      <c r="E68"/>
      <c r="F68" s="135"/>
      <c r="G68" s="81"/>
      <c r="H68" s="81"/>
      <c r="I68" s="81"/>
      <c r="J68" s="81"/>
      <c r="K68" s="81"/>
      <c r="L68" s="81"/>
      <c r="M68" s="81"/>
      <c r="N68" s="81"/>
      <c r="O68" s="81"/>
      <c r="P68" s="81"/>
      <c r="Q68" s="81"/>
      <c r="R68" s="136"/>
      <c r="S68" s="6"/>
      <c r="T68" s="4"/>
      <c r="U68" s="320">
        <v>8</v>
      </c>
      <c r="V68" s="346"/>
      <c r="W68" s="347"/>
      <c r="X68"/>
      <c r="Y68" s="135"/>
      <c r="Z68" s="81"/>
      <c r="AA68" s="81"/>
      <c r="AB68" s="81"/>
      <c r="AC68" s="81"/>
      <c r="AD68" s="81"/>
      <c r="AE68" s="81"/>
      <c r="AF68" s="81"/>
      <c r="AG68" s="81"/>
      <c r="AH68" s="81"/>
      <c r="AI68" s="81"/>
      <c r="AJ68" s="81"/>
      <c r="AK68" s="136"/>
      <c r="AL68" s="6"/>
      <c r="AM68" s="4"/>
      <c r="AN68" s="320">
        <v>8</v>
      </c>
      <c r="AO68" s="346"/>
      <c r="AP68" s="347"/>
      <c r="AQ68"/>
      <c r="AR68" s="135"/>
      <c r="AS68" s="81"/>
      <c r="AT68" s="81"/>
      <c r="AU68" s="81"/>
      <c r="AV68" s="81"/>
      <c r="AW68" s="81"/>
      <c r="AX68" s="81"/>
      <c r="AY68" s="81"/>
      <c r="AZ68" s="81"/>
      <c r="BA68" s="81"/>
      <c r="BB68" s="81"/>
      <c r="BC68" s="81"/>
      <c r="BD68" s="136"/>
      <c r="BE68" s="6"/>
      <c r="BF68" s="4"/>
      <c r="BG68" s="320">
        <v>8</v>
      </c>
      <c r="BH68" s="346"/>
      <c r="BI68" s="347"/>
      <c r="BJ68"/>
      <c r="BK68" s="135"/>
      <c r="BL68" s="81"/>
      <c r="BM68" s="81"/>
      <c r="BN68" s="81"/>
      <c r="BO68" s="81"/>
      <c r="BP68" s="81"/>
      <c r="BQ68" s="81"/>
      <c r="BR68" s="81"/>
      <c r="BS68" s="81"/>
      <c r="BT68" s="81"/>
      <c r="BU68" s="81"/>
      <c r="BV68" s="81"/>
      <c r="BW68" s="136"/>
      <c r="BX68" s="6"/>
    </row>
    <row r="69" spans="1:76">
      <c r="A69" s="4"/>
      <c r="B69" s="320">
        <v>9</v>
      </c>
      <c r="C69" s="346"/>
      <c r="D69" s="347"/>
      <c r="E69"/>
      <c r="F69" s="135"/>
      <c r="G69" s="81"/>
      <c r="H69" s="81"/>
      <c r="I69" s="81"/>
      <c r="J69" s="81"/>
      <c r="K69" s="81"/>
      <c r="L69" s="81"/>
      <c r="M69" s="81"/>
      <c r="N69" s="81"/>
      <c r="O69" s="81"/>
      <c r="P69" s="81"/>
      <c r="Q69" s="81"/>
      <c r="R69" s="136"/>
      <c r="S69" s="6"/>
      <c r="T69" s="4"/>
      <c r="U69" s="320">
        <v>9</v>
      </c>
      <c r="V69" s="346"/>
      <c r="W69" s="347"/>
      <c r="X69"/>
      <c r="Y69" s="135"/>
      <c r="Z69" s="81"/>
      <c r="AA69" s="81"/>
      <c r="AB69" s="81"/>
      <c r="AC69" s="81"/>
      <c r="AD69" s="81"/>
      <c r="AE69" s="81"/>
      <c r="AF69" s="81"/>
      <c r="AG69" s="81"/>
      <c r="AH69" s="81"/>
      <c r="AI69" s="81"/>
      <c r="AJ69" s="81"/>
      <c r="AK69" s="136"/>
      <c r="AL69" s="6"/>
      <c r="AM69" s="4"/>
      <c r="AN69" s="320">
        <v>9</v>
      </c>
      <c r="AO69" s="346"/>
      <c r="AP69" s="347"/>
      <c r="AQ69"/>
      <c r="AR69" s="135"/>
      <c r="AS69" s="81"/>
      <c r="AT69" s="81"/>
      <c r="AU69" s="81"/>
      <c r="AV69" s="81"/>
      <c r="AW69" s="81"/>
      <c r="AX69" s="81"/>
      <c r="AY69" s="81"/>
      <c r="AZ69" s="81"/>
      <c r="BA69" s="81"/>
      <c r="BB69" s="81"/>
      <c r="BC69" s="81"/>
      <c r="BD69" s="136"/>
      <c r="BE69" s="6"/>
      <c r="BF69" s="4"/>
      <c r="BG69" s="320">
        <v>9</v>
      </c>
      <c r="BH69" s="346"/>
      <c r="BI69" s="347"/>
      <c r="BJ69"/>
      <c r="BK69" s="135"/>
      <c r="BL69" s="81"/>
      <c r="BM69" s="81"/>
      <c r="BN69" s="81"/>
      <c r="BO69" s="81"/>
      <c r="BP69" s="81"/>
      <c r="BQ69" s="81"/>
      <c r="BR69" s="81"/>
      <c r="BS69" s="81"/>
      <c r="BT69" s="81"/>
      <c r="BU69" s="81"/>
      <c r="BV69" s="81"/>
      <c r="BW69" s="136"/>
      <c r="BX69" s="6"/>
    </row>
    <row r="70" spans="1:76">
      <c r="A70" s="4"/>
      <c r="B70" s="320">
        <v>10</v>
      </c>
      <c r="C70" s="346"/>
      <c r="D70" s="347"/>
      <c r="E70"/>
      <c r="F70" s="135"/>
      <c r="G70" s="81"/>
      <c r="H70" s="81"/>
      <c r="I70" s="81"/>
      <c r="J70" s="81"/>
      <c r="K70" s="81"/>
      <c r="L70" s="81"/>
      <c r="M70" s="81"/>
      <c r="N70" s="81"/>
      <c r="O70" s="81"/>
      <c r="P70" s="81"/>
      <c r="Q70" s="81"/>
      <c r="R70" s="136"/>
      <c r="S70" s="6"/>
      <c r="T70" s="4"/>
      <c r="U70" s="320">
        <v>10</v>
      </c>
      <c r="V70" s="346"/>
      <c r="W70" s="347"/>
      <c r="X70"/>
      <c r="Y70" s="135"/>
      <c r="Z70" s="81"/>
      <c r="AA70" s="81"/>
      <c r="AB70" s="81"/>
      <c r="AC70" s="81"/>
      <c r="AD70" s="81"/>
      <c r="AE70" s="81"/>
      <c r="AF70" s="81"/>
      <c r="AG70" s="81"/>
      <c r="AH70" s="81"/>
      <c r="AI70" s="81"/>
      <c r="AJ70" s="81"/>
      <c r="AK70" s="136"/>
      <c r="AL70" s="6"/>
      <c r="AM70" s="4"/>
      <c r="AN70" s="320">
        <v>10</v>
      </c>
      <c r="AO70" s="346"/>
      <c r="AP70" s="347"/>
      <c r="AQ70"/>
      <c r="AR70" s="135"/>
      <c r="AS70" s="81"/>
      <c r="AT70" s="81"/>
      <c r="AU70" s="81"/>
      <c r="AV70" s="81"/>
      <c r="AW70" s="81"/>
      <c r="AX70" s="81"/>
      <c r="AY70" s="81"/>
      <c r="AZ70" s="81"/>
      <c r="BA70" s="81"/>
      <c r="BB70" s="81"/>
      <c r="BC70" s="81"/>
      <c r="BD70" s="136"/>
      <c r="BE70" s="6"/>
      <c r="BF70" s="4"/>
      <c r="BG70" s="320">
        <v>10</v>
      </c>
      <c r="BH70" s="346"/>
      <c r="BI70" s="347"/>
      <c r="BJ70"/>
      <c r="BK70" s="135"/>
      <c r="BL70" s="81"/>
      <c r="BM70" s="81"/>
      <c r="BN70" s="81"/>
      <c r="BO70" s="81"/>
      <c r="BP70" s="81"/>
      <c r="BQ70" s="81"/>
      <c r="BR70" s="81"/>
      <c r="BS70" s="81"/>
      <c r="BT70" s="81"/>
      <c r="BU70" s="81"/>
      <c r="BV70" s="81"/>
      <c r="BW70" s="136"/>
      <c r="BX70" s="6"/>
    </row>
    <row r="71" spans="1:76">
      <c r="A71" s="4"/>
      <c r="B71" s="320">
        <v>11</v>
      </c>
      <c r="C71" s="346"/>
      <c r="D71" s="347"/>
      <c r="E71"/>
      <c r="F71" s="135"/>
      <c r="G71" s="81"/>
      <c r="H71" s="81"/>
      <c r="I71" s="81"/>
      <c r="J71" s="81"/>
      <c r="K71" s="81"/>
      <c r="L71" s="81"/>
      <c r="M71" s="81"/>
      <c r="N71" s="81"/>
      <c r="O71" s="81"/>
      <c r="P71" s="81"/>
      <c r="Q71" s="81"/>
      <c r="R71" s="136"/>
      <c r="S71" s="6"/>
      <c r="T71" s="4"/>
      <c r="U71" s="320">
        <v>11</v>
      </c>
      <c r="V71" s="346"/>
      <c r="W71" s="347"/>
      <c r="X71"/>
      <c r="Y71" s="135"/>
      <c r="Z71" s="81"/>
      <c r="AA71" s="81"/>
      <c r="AB71" s="81"/>
      <c r="AC71" s="81"/>
      <c r="AD71" s="81"/>
      <c r="AE71" s="81"/>
      <c r="AF71" s="81"/>
      <c r="AG71" s="81"/>
      <c r="AH71" s="81"/>
      <c r="AI71" s="81"/>
      <c r="AJ71" s="81"/>
      <c r="AK71" s="136"/>
      <c r="AL71" s="6"/>
      <c r="AM71" s="4"/>
      <c r="AN71" s="320">
        <v>11</v>
      </c>
      <c r="AO71" s="346"/>
      <c r="AP71" s="347"/>
      <c r="AQ71"/>
      <c r="AR71" s="135"/>
      <c r="AS71" s="81"/>
      <c r="AT71" s="81"/>
      <c r="AU71" s="81"/>
      <c r="AV71" s="81"/>
      <c r="AW71" s="81"/>
      <c r="AX71" s="81"/>
      <c r="AY71" s="81"/>
      <c r="AZ71" s="81"/>
      <c r="BA71" s="81"/>
      <c r="BB71" s="81"/>
      <c r="BC71" s="81"/>
      <c r="BD71" s="136"/>
      <c r="BE71" s="6"/>
      <c r="BF71" s="4"/>
      <c r="BG71" s="320">
        <v>11</v>
      </c>
      <c r="BH71" s="346"/>
      <c r="BI71" s="347"/>
      <c r="BJ71"/>
      <c r="BK71" s="135"/>
      <c r="BL71" s="81"/>
      <c r="BM71" s="81"/>
      <c r="BN71" s="81"/>
      <c r="BO71" s="81"/>
      <c r="BP71" s="81"/>
      <c r="BQ71" s="81"/>
      <c r="BR71" s="81"/>
      <c r="BS71" s="81"/>
      <c r="BT71" s="81"/>
      <c r="BU71" s="81"/>
      <c r="BV71" s="81"/>
      <c r="BW71" s="136"/>
      <c r="BX71" s="6"/>
    </row>
    <row r="72" spans="1:76">
      <c r="A72" s="4"/>
      <c r="B72" s="320">
        <v>12</v>
      </c>
      <c r="C72" s="346"/>
      <c r="D72" s="347"/>
      <c r="E72"/>
      <c r="F72" s="135"/>
      <c r="G72" s="81"/>
      <c r="H72" s="81"/>
      <c r="I72" s="81"/>
      <c r="J72" s="81"/>
      <c r="K72" s="81"/>
      <c r="L72" s="81"/>
      <c r="M72" s="81"/>
      <c r="N72" s="81"/>
      <c r="O72" s="81"/>
      <c r="P72" s="81"/>
      <c r="Q72" s="81"/>
      <c r="R72" s="136"/>
      <c r="S72" s="6"/>
      <c r="T72" s="4"/>
      <c r="U72" s="320">
        <v>12</v>
      </c>
      <c r="V72" s="346"/>
      <c r="W72" s="347"/>
      <c r="X72"/>
      <c r="Y72" s="135"/>
      <c r="Z72" s="81"/>
      <c r="AA72" s="81"/>
      <c r="AB72" s="81"/>
      <c r="AC72" s="81"/>
      <c r="AD72" s="81"/>
      <c r="AE72" s="81"/>
      <c r="AF72" s="81"/>
      <c r="AG72" s="81"/>
      <c r="AH72" s="81"/>
      <c r="AI72" s="81"/>
      <c r="AJ72" s="81"/>
      <c r="AK72" s="136"/>
      <c r="AL72" s="6"/>
      <c r="AM72" s="4"/>
      <c r="AN72" s="320">
        <v>12</v>
      </c>
      <c r="AO72" s="346"/>
      <c r="AP72" s="347"/>
      <c r="AQ72"/>
      <c r="AR72" s="135"/>
      <c r="AS72" s="81"/>
      <c r="AT72" s="81"/>
      <c r="AU72" s="81"/>
      <c r="AV72" s="81"/>
      <c r="AW72" s="81"/>
      <c r="AX72" s="81"/>
      <c r="AY72" s="81"/>
      <c r="AZ72" s="81"/>
      <c r="BA72" s="81"/>
      <c r="BB72" s="81"/>
      <c r="BC72" s="81"/>
      <c r="BD72" s="136"/>
      <c r="BE72" s="6"/>
      <c r="BF72" s="4"/>
      <c r="BG72" s="320">
        <v>12</v>
      </c>
      <c r="BH72" s="346"/>
      <c r="BI72" s="347"/>
      <c r="BJ72"/>
      <c r="BK72" s="135"/>
      <c r="BL72" s="81"/>
      <c r="BM72" s="81"/>
      <c r="BN72" s="81"/>
      <c r="BO72" s="81"/>
      <c r="BP72" s="81"/>
      <c r="BQ72" s="81"/>
      <c r="BR72" s="81"/>
      <c r="BS72" s="81"/>
      <c r="BT72" s="81"/>
      <c r="BU72" s="81"/>
      <c r="BV72" s="81"/>
      <c r="BW72" s="136"/>
      <c r="BX72" s="6"/>
    </row>
    <row r="73" spans="1:76">
      <c r="A73" s="4"/>
      <c r="B73" s="320">
        <v>13</v>
      </c>
      <c r="C73" s="346"/>
      <c r="D73" s="347"/>
      <c r="E73"/>
      <c r="F73" s="135"/>
      <c r="G73" s="81"/>
      <c r="H73" s="81"/>
      <c r="I73" s="81"/>
      <c r="J73" s="81"/>
      <c r="K73" s="81"/>
      <c r="L73" s="81"/>
      <c r="M73" s="81"/>
      <c r="N73" s="81"/>
      <c r="O73" s="81"/>
      <c r="P73" s="81"/>
      <c r="Q73" s="81"/>
      <c r="R73" s="136"/>
      <c r="S73" s="6"/>
      <c r="T73" s="4"/>
      <c r="U73" s="320">
        <v>13</v>
      </c>
      <c r="V73" s="346"/>
      <c r="W73" s="347"/>
      <c r="X73"/>
      <c r="Y73" s="135"/>
      <c r="Z73" s="81"/>
      <c r="AA73" s="81"/>
      <c r="AB73" s="81"/>
      <c r="AC73" s="81"/>
      <c r="AD73" s="81"/>
      <c r="AE73" s="81"/>
      <c r="AF73" s="81"/>
      <c r="AG73" s="81"/>
      <c r="AH73" s="81"/>
      <c r="AI73" s="81"/>
      <c r="AJ73" s="81"/>
      <c r="AK73" s="136"/>
      <c r="AL73" s="6"/>
      <c r="AM73" s="4"/>
      <c r="AN73" s="320">
        <v>13</v>
      </c>
      <c r="AO73" s="346"/>
      <c r="AP73" s="347"/>
      <c r="AQ73"/>
      <c r="AR73" s="135"/>
      <c r="AS73" s="81"/>
      <c r="AT73" s="81"/>
      <c r="AU73" s="81"/>
      <c r="AV73" s="81"/>
      <c r="AW73" s="81"/>
      <c r="AX73" s="81"/>
      <c r="AY73" s="81"/>
      <c r="AZ73" s="81"/>
      <c r="BA73" s="81"/>
      <c r="BB73" s="81"/>
      <c r="BC73" s="81"/>
      <c r="BD73" s="136"/>
      <c r="BE73" s="6"/>
      <c r="BF73" s="4"/>
      <c r="BG73" s="320">
        <v>13</v>
      </c>
      <c r="BH73" s="346"/>
      <c r="BI73" s="347"/>
      <c r="BJ73"/>
      <c r="BK73" s="135"/>
      <c r="BL73" s="81"/>
      <c r="BM73" s="81"/>
      <c r="BN73" s="81"/>
      <c r="BO73" s="81"/>
      <c r="BP73" s="81"/>
      <c r="BQ73" s="81"/>
      <c r="BR73" s="81"/>
      <c r="BS73" s="81"/>
      <c r="BT73" s="81"/>
      <c r="BU73" s="81"/>
      <c r="BV73" s="81"/>
      <c r="BW73" s="136"/>
      <c r="BX73" s="6"/>
    </row>
    <row r="74" spans="1:76">
      <c r="A74" s="4"/>
      <c r="B74" s="320">
        <v>14</v>
      </c>
      <c r="C74" s="346"/>
      <c r="D74" s="347"/>
      <c r="E74"/>
      <c r="F74" s="135"/>
      <c r="G74" s="81"/>
      <c r="H74" s="81"/>
      <c r="I74" s="81"/>
      <c r="J74" s="81"/>
      <c r="K74" s="81"/>
      <c r="L74" s="81"/>
      <c r="M74" s="81"/>
      <c r="N74" s="81"/>
      <c r="O74" s="81"/>
      <c r="P74" s="81"/>
      <c r="Q74" s="81"/>
      <c r="R74" s="136"/>
      <c r="S74" s="6"/>
      <c r="T74" s="4"/>
      <c r="U74" s="320">
        <v>14</v>
      </c>
      <c r="V74" s="346"/>
      <c r="W74" s="347"/>
      <c r="X74"/>
      <c r="Y74" s="135"/>
      <c r="Z74" s="81"/>
      <c r="AA74" s="81"/>
      <c r="AB74" s="81"/>
      <c r="AC74" s="81"/>
      <c r="AD74" s="81"/>
      <c r="AE74" s="81"/>
      <c r="AF74" s="81"/>
      <c r="AG74" s="81"/>
      <c r="AH74" s="81"/>
      <c r="AI74" s="81"/>
      <c r="AJ74" s="81"/>
      <c r="AK74" s="136"/>
      <c r="AL74" s="6"/>
      <c r="AM74" s="4"/>
      <c r="AN74" s="320">
        <v>14</v>
      </c>
      <c r="AO74" s="346"/>
      <c r="AP74" s="347"/>
      <c r="AQ74"/>
      <c r="AR74" s="135"/>
      <c r="AS74" s="81"/>
      <c r="AT74" s="81"/>
      <c r="AU74" s="81"/>
      <c r="AV74" s="81"/>
      <c r="AW74" s="81"/>
      <c r="AX74" s="81"/>
      <c r="AY74" s="81"/>
      <c r="AZ74" s="81"/>
      <c r="BA74" s="81"/>
      <c r="BB74" s="81"/>
      <c r="BC74" s="81"/>
      <c r="BD74" s="136"/>
      <c r="BE74" s="6"/>
      <c r="BF74" s="4"/>
      <c r="BG74" s="320">
        <v>14</v>
      </c>
      <c r="BH74" s="346"/>
      <c r="BI74" s="347"/>
      <c r="BJ74"/>
      <c r="BK74" s="135"/>
      <c r="BL74" s="81"/>
      <c r="BM74" s="81"/>
      <c r="BN74" s="81"/>
      <c r="BO74" s="81"/>
      <c r="BP74" s="81"/>
      <c r="BQ74" s="81"/>
      <c r="BR74" s="81"/>
      <c r="BS74" s="81"/>
      <c r="BT74" s="81"/>
      <c r="BU74" s="81"/>
      <c r="BV74" s="81"/>
      <c r="BW74" s="136"/>
      <c r="BX74" s="6"/>
    </row>
    <row r="75" spans="1:76">
      <c r="A75" s="4"/>
      <c r="B75" s="320">
        <v>15</v>
      </c>
      <c r="C75" s="346"/>
      <c r="D75" s="347"/>
      <c r="E75"/>
      <c r="F75" s="135"/>
      <c r="G75" s="81"/>
      <c r="H75" s="81"/>
      <c r="I75" s="81"/>
      <c r="J75" s="81"/>
      <c r="K75" s="81"/>
      <c r="L75" s="81"/>
      <c r="M75" s="81"/>
      <c r="N75" s="81"/>
      <c r="O75" s="81"/>
      <c r="P75" s="81"/>
      <c r="Q75" s="81"/>
      <c r="R75" s="136"/>
      <c r="S75" s="6"/>
      <c r="T75" s="4"/>
      <c r="U75" s="320">
        <v>15</v>
      </c>
      <c r="V75" s="346"/>
      <c r="W75" s="347"/>
      <c r="X75"/>
      <c r="Y75" s="135"/>
      <c r="Z75" s="81"/>
      <c r="AA75" s="81"/>
      <c r="AB75" s="81"/>
      <c r="AC75" s="81"/>
      <c r="AD75" s="81"/>
      <c r="AE75" s="81"/>
      <c r="AF75" s="81"/>
      <c r="AG75" s="81"/>
      <c r="AH75" s="81"/>
      <c r="AI75" s="81"/>
      <c r="AJ75" s="81"/>
      <c r="AK75" s="136"/>
      <c r="AL75" s="6"/>
      <c r="AM75" s="4"/>
      <c r="AN75" s="320">
        <v>15</v>
      </c>
      <c r="AO75" s="346"/>
      <c r="AP75" s="347"/>
      <c r="AQ75"/>
      <c r="AR75" s="135"/>
      <c r="AS75" s="81"/>
      <c r="AT75" s="81"/>
      <c r="AU75" s="81"/>
      <c r="AV75" s="81"/>
      <c r="AW75" s="81"/>
      <c r="AX75" s="81"/>
      <c r="AY75" s="81"/>
      <c r="AZ75" s="81"/>
      <c r="BA75" s="81"/>
      <c r="BB75" s="81"/>
      <c r="BC75" s="81"/>
      <c r="BD75" s="136"/>
      <c r="BE75" s="6"/>
      <c r="BF75" s="4"/>
      <c r="BG75" s="320">
        <v>15</v>
      </c>
      <c r="BH75" s="346"/>
      <c r="BI75" s="347"/>
      <c r="BJ75"/>
      <c r="BK75" s="135"/>
      <c r="BL75" s="81"/>
      <c r="BM75" s="81"/>
      <c r="BN75" s="81"/>
      <c r="BO75" s="81"/>
      <c r="BP75" s="81"/>
      <c r="BQ75" s="81"/>
      <c r="BR75" s="81"/>
      <c r="BS75" s="81"/>
      <c r="BT75" s="81"/>
      <c r="BU75" s="81"/>
      <c r="BV75" s="81"/>
      <c r="BW75" s="136"/>
      <c r="BX75" s="6"/>
    </row>
    <row r="76" spans="1:76">
      <c r="A76" s="4"/>
      <c r="B76" s="320">
        <v>16</v>
      </c>
      <c r="C76" s="346"/>
      <c r="D76" s="347"/>
      <c r="E76"/>
      <c r="F76" s="138"/>
      <c r="G76" s="139"/>
      <c r="H76" s="139"/>
      <c r="I76" s="139"/>
      <c r="J76" s="139"/>
      <c r="K76" s="139"/>
      <c r="L76" s="139"/>
      <c r="M76" s="139"/>
      <c r="N76" s="139"/>
      <c r="O76" s="139"/>
      <c r="P76" s="139"/>
      <c r="Q76" s="139"/>
      <c r="R76" s="140"/>
      <c r="S76" s="6"/>
      <c r="T76" s="4"/>
      <c r="U76" s="320">
        <v>16</v>
      </c>
      <c r="V76" s="346"/>
      <c r="W76" s="347"/>
      <c r="X76"/>
      <c r="Y76" s="138"/>
      <c r="Z76" s="139"/>
      <c r="AA76" s="139"/>
      <c r="AB76" s="139"/>
      <c r="AC76" s="139"/>
      <c r="AD76" s="139"/>
      <c r="AE76" s="139"/>
      <c r="AF76" s="139"/>
      <c r="AG76" s="139"/>
      <c r="AH76" s="139"/>
      <c r="AI76" s="139"/>
      <c r="AJ76" s="139"/>
      <c r="AK76" s="140"/>
      <c r="AL76" s="6"/>
      <c r="AM76" s="4"/>
      <c r="AN76" s="320">
        <v>16</v>
      </c>
      <c r="AO76" s="346"/>
      <c r="AP76" s="347"/>
      <c r="AQ76"/>
      <c r="AR76" s="138"/>
      <c r="AS76" s="139"/>
      <c r="AT76" s="139"/>
      <c r="AU76" s="139"/>
      <c r="AV76" s="139"/>
      <c r="AW76" s="139"/>
      <c r="AX76" s="139"/>
      <c r="AY76" s="139"/>
      <c r="AZ76" s="139"/>
      <c r="BA76" s="139"/>
      <c r="BB76" s="139"/>
      <c r="BC76" s="139"/>
      <c r="BD76" s="140"/>
      <c r="BE76" s="6"/>
      <c r="BF76" s="4"/>
      <c r="BG76" s="320">
        <v>16</v>
      </c>
      <c r="BH76" s="346"/>
      <c r="BI76" s="347"/>
      <c r="BJ76"/>
      <c r="BK76" s="138"/>
      <c r="BL76" s="139"/>
      <c r="BM76" s="139"/>
      <c r="BN76" s="139"/>
      <c r="BO76" s="139"/>
      <c r="BP76" s="139"/>
      <c r="BQ76" s="139"/>
      <c r="BR76" s="139"/>
      <c r="BS76" s="139"/>
      <c r="BT76" s="139"/>
      <c r="BU76" s="139"/>
      <c r="BV76" s="139"/>
      <c r="BW76" s="140"/>
      <c r="BX76" s="6"/>
    </row>
    <row r="77" spans="1:76">
      <c r="A77" s="4"/>
      <c r="B77" s="320">
        <v>17</v>
      </c>
      <c r="C77" s="346"/>
      <c r="D77" s="347"/>
      <c r="E77"/>
      <c r="F77"/>
      <c r="G77"/>
      <c r="H77"/>
      <c r="I77"/>
      <c r="J77"/>
      <c r="K77"/>
      <c r="L77"/>
      <c r="M77"/>
      <c r="N77"/>
      <c r="O77"/>
      <c r="P77"/>
      <c r="Q77"/>
      <c r="R77"/>
      <c r="S77" s="6"/>
      <c r="T77" s="4"/>
      <c r="U77" s="320">
        <v>17</v>
      </c>
      <c r="V77" s="346"/>
      <c r="W77" s="347"/>
      <c r="X77"/>
      <c r="Y77"/>
      <c r="Z77"/>
      <c r="AA77"/>
      <c r="AB77"/>
      <c r="AC77"/>
      <c r="AD77"/>
      <c r="AE77"/>
      <c r="AF77"/>
      <c r="AG77"/>
      <c r="AH77"/>
      <c r="AI77"/>
      <c r="AJ77"/>
      <c r="AK77"/>
      <c r="AL77" s="6"/>
      <c r="AM77" s="4"/>
      <c r="AN77" s="320">
        <v>17</v>
      </c>
      <c r="AO77" s="346"/>
      <c r="AP77" s="347"/>
      <c r="AQ77"/>
      <c r="AR77"/>
      <c r="AS77"/>
      <c r="AT77"/>
      <c r="AU77"/>
      <c r="AV77"/>
      <c r="AW77"/>
      <c r="AX77"/>
      <c r="AY77"/>
      <c r="AZ77"/>
      <c r="BA77"/>
      <c r="BB77"/>
      <c r="BC77"/>
      <c r="BD77"/>
      <c r="BE77" s="6"/>
      <c r="BF77" s="4"/>
      <c r="BG77" s="320">
        <v>17</v>
      </c>
      <c r="BH77" s="346"/>
      <c r="BI77" s="347"/>
      <c r="BJ77"/>
      <c r="BK77"/>
      <c r="BL77"/>
      <c r="BM77"/>
      <c r="BN77"/>
      <c r="BO77"/>
      <c r="BP77"/>
      <c r="BQ77"/>
      <c r="BR77"/>
      <c r="BS77"/>
      <c r="BT77"/>
      <c r="BU77"/>
      <c r="BV77"/>
      <c r="BW77"/>
      <c r="BX77" s="6"/>
    </row>
    <row r="78" spans="1:76">
      <c r="A78" s="4"/>
      <c r="B78" s="320">
        <v>18</v>
      </c>
      <c r="C78" s="346"/>
      <c r="D78" s="347"/>
      <c r="E78"/>
      <c r="F78"/>
      <c r="G78"/>
      <c r="H78"/>
      <c r="I78"/>
      <c r="J78"/>
      <c r="K78"/>
      <c r="L78"/>
      <c r="M78"/>
      <c r="N78"/>
      <c r="O78"/>
      <c r="P78"/>
      <c r="Q78"/>
      <c r="R78"/>
      <c r="S78" s="6"/>
      <c r="T78" s="4"/>
      <c r="U78" s="320">
        <v>18</v>
      </c>
      <c r="V78" s="346"/>
      <c r="W78" s="347"/>
      <c r="X78"/>
      <c r="Y78"/>
      <c r="Z78"/>
      <c r="AA78"/>
      <c r="AB78"/>
      <c r="AC78"/>
      <c r="AD78"/>
      <c r="AE78"/>
      <c r="AF78"/>
      <c r="AG78"/>
      <c r="AH78"/>
      <c r="AI78"/>
      <c r="AJ78"/>
      <c r="AK78"/>
      <c r="AL78" s="6"/>
      <c r="AM78" s="4"/>
      <c r="AN78" s="320">
        <v>18</v>
      </c>
      <c r="AO78" s="346"/>
      <c r="AP78" s="347"/>
      <c r="AQ78"/>
      <c r="AR78"/>
      <c r="AS78"/>
      <c r="AT78"/>
      <c r="AU78"/>
      <c r="AV78"/>
      <c r="AW78"/>
      <c r="AX78"/>
      <c r="AY78"/>
      <c r="AZ78"/>
      <c r="BA78"/>
      <c r="BB78"/>
      <c r="BC78"/>
      <c r="BD78"/>
      <c r="BE78" s="6"/>
      <c r="BF78" s="4"/>
      <c r="BG78" s="320">
        <v>18</v>
      </c>
      <c r="BH78" s="346"/>
      <c r="BI78" s="347"/>
      <c r="BJ78"/>
      <c r="BK78"/>
      <c r="BL78"/>
      <c r="BM78"/>
      <c r="BN78"/>
      <c r="BO78"/>
      <c r="BP78"/>
      <c r="BQ78"/>
      <c r="BR78"/>
      <c r="BS78"/>
      <c r="BT78"/>
      <c r="BU78"/>
      <c r="BV78"/>
      <c r="BW78"/>
      <c r="BX78" s="6"/>
    </row>
    <row r="79" spans="1:76">
      <c r="A79" s="4"/>
      <c r="B79" s="320">
        <v>19</v>
      </c>
      <c r="C79" s="346"/>
      <c r="D79" s="347"/>
      <c r="E79"/>
      <c r="F79"/>
      <c r="G79"/>
      <c r="H79"/>
      <c r="I79"/>
      <c r="J79"/>
      <c r="K79"/>
      <c r="L79"/>
      <c r="M79"/>
      <c r="N79"/>
      <c r="O79"/>
      <c r="P79"/>
      <c r="Q79"/>
      <c r="R79"/>
      <c r="S79" s="6"/>
      <c r="T79" s="4"/>
      <c r="U79" s="320">
        <v>19</v>
      </c>
      <c r="V79" s="346"/>
      <c r="W79" s="347"/>
      <c r="X79"/>
      <c r="Y79"/>
      <c r="Z79"/>
      <c r="AA79"/>
      <c r="AB79"/>
      <c r="AC79"/>
      <c r="AD79"/>
      <c r="AE79"/>
      <c r="AF79"/>
      <c r="AG79"/>
      <c r="AH79"/>
      <c r="AI79"/>
      <c r="AJ79"/>
      <c r="AK79"/>
      <c r="AL79" s="6"/>
      <c r="AM79" s="4"/>
      <c r="AN79" s="320">
        <v>19</v>
      </c>
      <c r="AO79" s="346"/>
      <c r="AP79" s="347"/>
      <c r="AQ79"/>
      <c r="AR79"/>
      <c r="AS79"/>
      <c r="AT79"/>
      <c r="AU79"/>
      <c r="AV79"/>
      <c r="AW79"/>
      <c r="AX79"/>
      <c r="AY79"/>
      <c r="AZ79"/>
      <c r="BA79"/>
      <c r="BB79"/>
      <c r="BC79"/>
      <c r="BD79"/>
      <c r="BE79" s="6"/>
      <c r="BF79" s="4"/>
      <c r="BG79" s="320">
        <v>19</v>
      </c>
      <c r="BH79" s="346"/>
      <c r="BI79" s="347"/>
      <c r="BJ79"/>
      <c r="BK79"/>
      <c r="BL79"/>
      <c r="BM79"/>
      <c r="BN79"/>
      <c r="BO79"/>
      <c r="BP79"/>
      <c r="BQ79"/>
      <c r="BR79"/>
      <c r="BS79"/>
      <c r="BT79"/>
      <c r="BU79"/>
      <c r="BV79"/>
      <c r="BW79"/>
      <c r="BX79" s="6"/>
    </row>
    <row r="80" spans="1:76">
      <c r="A80" s="4"/>
      <c r="B80" s="320">
        <v>20</v>
      </c>
      <c r="C80" s="346"/>
      <c r="D80" s="347"/>
      <c r="E80"/>
      <c r="F80"/>
      <c r="G80"/>
      <c r="H80"/>
      <c r="I80"/>
      <c r="J80"/>
      <c r="K80"/>
      <c r="L80"/>
      <c r="M80"/>
      <c r="N80"/>
      <c r="O80"/>
      <c r="P80"/>
      <c r="Q80"/>
      <c r="R80"/>
      <c r="S80" s="6"/>
      <c r="T80" s="4"/>
      <c r="U80" s="320">
        <v>20</v>
      </c>
      <c r="V80" s="346"/>
      <c r="W80" s="347"/>
      <c r="X80"/>
      <c r="Y80"/>
      <c r="Z80"/>
      <c r="AA80"/>
      <c r="AB80"/>
      <c r="AC80"/>
      <c r="AD80"/>
      <c r="AE80"/>
      <c r="AF80"/>
      <c r="AG80"/>
      <c r="AH80"/>
      <c r="AI80"/>
      <c r="AJ80"/>
      <c r="AK80"/>
      <c r="AL80" s="6"/>
      <c r="AM80" s="4"/>
      <c r="AN80" s="320">
        <v>20</v>
      </c>
      <c r="AO80" s="346"/>
      <c r="AP80" s="347"/>
      <c r="AQ80"/>
      <c r="AR80"/>
      <c r="AS80"/>
      <c r="AT80"/>
      <c r="AU80"/>
      <c r="AV80"/>
      <c r="AW80"/>
      <c r="AX80"/>
      <c r="AY80"/>
      <c r="AZ80"/>
      <c r="BA80"/>
      <c r="BB80"/>
      <c r="BC80"/>
      <c r="BD80"/>
      <c r="BE80" s="6"/>
      <c r="BF80" s="4"/>
      <c r="BG80" s="320">
        <v>20</v>
      </c>
      <c r="BH80" s="346"/>
      <c r="BI80" s="347"/>
      <c r="BJ80"/>
      <c r="BK80"/>
      <c r="BL80"/>
      <c r="BM80"/>
      <c r="BN80"/>
      <c r="BO80"/>
      <c r="BP80"/>
      <c r="BQ80"/>
      <c r="BR80"/>
      <c r="BS80"/>
      <c r="BT80"/>
      <c r="BU80"/>
      <c r="BV80"/>
      <c r="BW80"/>
      <c r="BX80" s="6"/>
    </row>
    <row r="81" spans="1:76">
      <c r="A81" s="4"/>
      <c r="B81" s="320">
        <v>21</v>
      </c>
      <c r="C81" s="346"/>
      <c r="D81" s="347"/>
      <c r="E81"/>
      <c r="F81"/>
      <c r="G81"/>
      <c r="H81"/>
      <c r="I81"/>
      <c r="J81"/>
      <c r="K81"/>
      <c r="L81"/>
      <c r="M81"/>
      <c r="N81"/>
      <c r="O81"/>
      <c r="P81"/>
      <c r="Q81"/>
      <c r="R81"/>
      <c r="S81" s="6"/>
      <c r="T81" s="4"/>
      <c r="U81" s="320">
        <v>21</v>
      </c>
      <c r="V81" s="346"/>
      <c r="W81" s="347"/>
      <c r="X81"/>
      <c r="Y81"/>
      <c r="Z81"/>
      <c r="AA81"/>
      <c r="AB81"/>
      <c r="AC81"/>
      <c r="AD81"/>
      <c r="AE81"/>
      <c r="AF81"/>
      <c r="AG81"/>
      <c r="AH81"/>
      <c r="AI81"/>
      <c r="AJ81"/>
      <c r="AK81"/>
      <c r="AL81" s="6"/>
      <c r="AM81" s="4"/>
      <c r="AN81" s="320">
        <v>21</v>
      </c>
      <c r="AO81" s="346"/>
      <c r="AP81" s="347"/>
      <c r="AQ81"/>
      <c r="AR81"/>
      <c r="AS81"/>
      <c r="AT81"/>
      <c r="AU81"/>
      <c r="AV81"/>
      <c r="AW81"/>
      <c r="AX81"/>
      <c r="AY81"/>
      <c r="AZ81"/>
      <c r="BA81"/>
      <c r="BB81"/>
      <c r="BC81"/>
      <c r="BD81"/>
      <c r="BE81" s="6"/>
      <c r="BF81" s="4"/>
      <c r="BG81" s="320">
        <v>21</v>
      </c>
      <c r="BH81" s="346"/>
      <c r="BI81" s="347"/>
      <c r="BJ81"/>
      <c r="BK81"/>
      <c r="BL81"/>
      <c r="BM81"/>
      <c r="BN81"/>
      <c r="BO81"/>
      <c r="BP81"/>
      <c r="BQ81"/>
      <c r="BR81"/>
      <c r="BS81"/>
      <c r="BT81"/>
      <c r="BU81"/>
      <c r="BV81"/>
      <c r="BW81"/>
      <c r="BX81" s="6"/>
    </row>
    <row r="82" spans="1:76">
      <c r="A82" s="4"/>
      <c r="B82" s="320">
        <v>22</v>
      </c>
      <c r="C82" s="346"/>
      <c r="D82" s="347"/>
      <c r="E82"/>
      <c r="F82"/>
      <c r="G82"/>
      <c r="H82"/>
      <c r="I82"/>
      <c r="J82"/>
      <c r="K82"/>
      <c r="L82"/>
      <c r="M82"/>
      <c r="N82"/>
      <c r="O82"/>
      <c r="P82"/>
      <c r="Q82"/>
      <c r="R82"/>
      <c r="S82" s="6"/>
      <c r="T82" s="4"/>
      <c r="U82" s="320">
        <v>22</v>
      </c>
      <c r="V82" s="346"/>
      <c r="W82" s="347"/>
      <c r="X82"/>
      <c r="Y82"/>
      <c r="Z82"/>
      <c r="AA82"/>
      <c r="AB82"/>
      <c r="AC82"/>
      <c r="AD82"/>
      <c r="AE82"/>
      <c r="AF82"/>
      <c r="AG82"/>
      <c r="AH82"/>
      <c r="AI82"/>
      <c r="AJ82"/>
      <c r="AK82"/>
      <c r="AL82" s="6"/>
      <c r="AM82" s="4"/>
      <c r="AN82" s="320">
        <v>22</v>
      </c>
      <c r="AO82" s="346"/>
      <c r="AP82" s="347"/>
      <c r="AQ82"/>
      <c r="AR82"/>
      <c r="AS82"/>
      <c r="AT82"/>
      <c r="AU82"/>
      <c r="AV82"/>
      <c r="AW82"/>
      <c r="AX82"/>
      <c r="AY82"/>
      <c r="AZ82"/>
      <c r="BA82"/>
      <c r="BB82"/>
      <c r="BC82"/>
      <c r="BD82"/>
      <c r="BE82" s="6"/>
      <c r="BF82" s="4"/>
      <c r="BG82" s="320">
        <v>22</v>
      </c>
      <c r="BH82" s="346"/>
      <c r="BI82" s="347"/>
      <c r="BJ82"/>
      <c r="BK82"/>
      <c r="BL82"/>
      <c r="BM82"/>
      <c r="BN82"/>
      <c r="BO82"/>
      <c r="BP82"/>
      <c r="BQ82"/>
      <c r="BR82"/>
      <c r="BS82"/>
      <c r="BT82"/>
      <c r="BU82"/>
      <c r="BV82"/>
      <c r="BW82"/>
      <c r="BX82" s="6"/>
    </row>
    <row r="83" spans="1:76">
      <c r="A83" s="4"/>
      <c r="B83" s="320">
        <v>23</v>
      </c>
      <c r="C83" s="346"/>
      <c r="D83" s="347"/>
      <c r="E83"/>
      <c r="F83"/>
      <c r="G83"/>
      <c r="H83"/>
      <c r="I83"/>
      <c r="J83"/>
      <c r="K83"/>
      <c r="L83"/>
      <c r="M83"/>
      <c r="N83"/>
      <c r="O83"/>
      <c r="P83"/>
      <c r="Q83"/>
      <c r="R83"/>
      <c r="S83" s="6"/>
      <c r="T83" s="4"/>
      <c r="U83" s="320">
        <v>23</v>
      </c>
      <c r="V83" s="346"/>
      <c r="W83" s="347"/>
      <c r="X83"/>
      <c r="Y83"/>
      <c r="Z83"/>
      <c r="AA83"/>
      <c r="AB83"/>
      <c r="AC83"/>
      <c r="AD83"/>
      <c r="AE83"/>
      <c r="AF83"/>
      <c r="AG83"/>
      <c r="AH83"/>
      <c r="AI83"/>
      <c r="AJ83"/>
      <c r="AK83"/>
      <c r="AL83" s="6"/>
      <c r="AM83" s="4"/>
      <c r="AN83" s="320">
        <v>23</v>
      </c>
      <c r="AO83" s="346"/>
      <c r="AP83" s="347"/>
      <c r="AQ83"/>
      <c r="AR83"/>
      <c r="AS83"/>
      <c r="AT83"/>
      <c r="AU83"/>
      <c r="AV83"/>
      <c r="AW83"/>
      <c r="AX83"/>
      <c r="AY83"/>
      <c r="AZ83"/>
      <c r="BA83"/>
      <c r="BB83"/>
      <c r="BC83"/>
      <c r="BD83"/>
      <c r="BE83" s="6"/>
      <c r="BF83" s="4"/>
      <c r="BG83" s="320">
        <v>23</v>
      </c>
      <c r="BH83" s="346"/>
      <c r="BI83" s="347"/>
      <c r="BJ83"/>
      <c r="BK83"/>
      <c r="BL83"/>
      <c r="BM83"/>
      <c r="BN83"/>
      <c r="BO83"/>
      <c r="BP83"/>
      <c r="BQ83"/>
      <c r="BR83"/>
      <c r="BS83"/>
      <c r="BT83"/>
      <c r="BU83"/>
      <c r="BV83"/>
      <c r="BW83"/>
      <c r="BX83" s="6"/>
    </row>
    <row r="84" spans="1:76">
      <c r="A84" s="4"/>
      <c r="B84" s="320">
        <v>24</v>
      </c>
      <c r="C84" s="346"/>
      <c r="D84" s="347"/>
      <c r="E84"/>
      <c r="F84"/>
      <c r="G84"/>
      <c r="H84"/>
      <c r="I84"/>
      <c r="J84"/>
      <c r="K84"/>
      <c r="L84"/>
      <c r="M84"/>
      <c r="N84"/>
      <c r="O84"/>
      <c r="P84"/>
      <c r="Q84"/>
      <c r="R84"/>
      <c r="S84" s="6"/>
      <c r="T84" s="4"/>
      <c r="U84" s="320">
        <v>24</v>
      </c>
      <c r="V84" s="346"/>
      <c r="W84" s="347"/>
      <c r="X84"/>
      <c r="Y84"/>
      <c r="Z84"/>
      <c r="AA84"/>
      <c r="AB84"/>
      <c r="AC84"/>
      <c r="AD84"/>
      <c r="AE84"/>
      <c r="AF84"/>
      <c r="AG84"/>
      <c r="AH84"/>
      <c r="AI84"/>
      <c r="AJ84"/>
      <c r="AK84"/>
      <c r="AL84" s="6"/>
      <c r="AM84" s="4"/>
      <c r="AN84" s="320">
        <v>24</v>
      </c>
      <c r="AO84" s="346"/>
      <c r="AP84" s="347"/>
      <c r="AQ84"/>
      <c r="AR84"/>
      <c r="AS84"/>
      <c r="AT84"/>
      <c r="AU84"/>
      <c r="AV84"/>
      <c r="AW84"/>
      <c r="AX84"/>
      <c r="AY84"/>
      <c r="AZ84"/>
      <c r="BA84"/>
      <c r="BB84"/>
      <c r="BC84"/>
      <c r="BD84"/>
      <c r="BE84" s="6"/>
      <c r="BF84" s="4"/>
      <c r="BG84" s="320">
        <v>24</v>
      </c>
      <c r="BH84" s="346"/>
      <c r="BI84" s="347"/>
      <c r="BJ84"/>
      <c r="BK84"/>
      <c r="BL84"/>
      <c r="BM84"/>
      <c r="BN84"/>
      <c r="BO84"/>
      <c r="BP84"/>
      <c r="BQ84"/>
      <c r="BR84"/>
      <c r="BS84"/>
      <c r="BT84"/>
      <c r="BU84"/>
      <c r="BV84"/>
      <c r="BW84"/>
      <c r="BX84" s="6"/>
    </row>
    <row r="85" spans="1:76">
      <c r="A85" s="4"/>
      <c r="B85" s="320">
        <v>25</v>
      </c>
      <c r="C85" s="346"/>
      <c r="D85" s="347"/>
      <c r="E85"/>
      <c r="F85"/>
      <c r="G85"/>
      <c r="H85"/>
      <c r="I85"/>
      <c r="J85"/>
      <c r="K85"/>
      <c r="L85"/>
      <c r="M85"/>
      <c r="N85"/>
      <c r="O85"/>
      <c r="P85"/>
      <c r="Q85"/>
      <c r="R85"/>
      <c r="S85" s="6"/>
      <c r="T85" s="4"/>
      <c r="U85" s="320">
        <v>25</v>
      </c>
      <c r="V85" s="346"/>
      <c r="W85" s="347"/>
      <c r="X85"/>
      <c r="Y85"/>
      <c r="Z85"/>
      <c r="AA85"/>
      <c r="AB85"/>
      <c r="AC85"/>
      <c r="AD85"/>
      <c r="AE85"/>
      <c r="AF85"/>
      <c r="AG85"/>
      <c r="AH85"/>
      <c r="AI85"/>
      <c r="AJ85"/>
      <c r="AK85"/>
      <c r="AL85" s="6"/>
      <c r="AM85" s="4"/>
      <c r="AN85" s="320">
        <v>25</v>
      </c>
      <c r="AO85" s="346"/>
      <c r="AP85" s="347"/>
      <c r="AQ85"/>
      <c r="AR85"/>
      <c r="AS85"/>
      <c r="AT85"/>
      <c r="AU85"/>
      <c r="AV85"/>
      <c r="AW85"/>
      <c r="AX85"/>
      <c r="AY85"/>
      <c r="AZ85"/>
      <c r="BA85"/>
      <c r="BB85"/>
      <c r="BC85"/>
      <c r="BD85"/>
      <c r="BE85" s="6"/>
      <c r="BF85" s="4"/>
      <c r="BG85" s="320">
        <v>25</v>
      </c>
      <c r="BH85" s="346"/>
      <c r="BI85" s="347"/>
      <c r="BJ85"/>
      <c r="BK85"/>
      <c r="BL85"/>
      <c r="BM85"/>
      <c r="BN85"/>
      <c r="BO85"/>
      <c r="BP85"/>
      <c r="BQ85"/>
      <c r="BR85"/>
      <c r="BS85"/>
      <c r="BT85"/>
      <c r="BU85"/>
      <c r="BV85"/>
      <c r="BW85"/>
      <c r="BX85" s="6"/>
    </row>
    <row r="86" spans="1:76">
      <c r="A86" s="4"/>
      <c r="B86" s="320">
        <v>26</v>
      </c>
      <c r="C86" s="346"/>
      <c r="D86" s="347"/>
      <c r="E86"/>
      <c r="F86"/>
      <c r="G86"/>
      <c r="H86"/>
      <c r="I86"/>
      <c r="J86"/>
      <c r="K86"/>
      <c r="L86"/>
      <c r="M86"/>
      <c r="N86"/>
      <c r="O86"/>
      <c r="P86"/>
      <c r="Q86"/>
      <c r="R86"/>
      <c r="S86" s="6"/>
      <c r="T86" s="4"/>
      <c r="U86" s="320">
        <v>26</v>
      </c>
      <c r="V86" s="346"/>
      <c r="W86" s="347"/>
      <c r="X86"/>
      <c r="Y86"/>
      <c r="Z86"/>
      <c r="AA86"/>
      <c r="AB86"/>
      <c r="AC86"/>
      <c r="AD86"/>
      <c r="AE86"/>
      <c r="AF86"/>
      <c r="AG86"/>
      <c r="AH86"/>
      <c r="AI86"/>
      <c r="AJ86"/>
      <c r="AK86"/>
      <c r="AL86" s="6"/>
      <c r="AM86" s="4"/>
      <c r="AN86" s="320">
        <v>26</v>
      </c>
      <c r="AO86" s="346"/>
      <c r="AP86" s="347"/>
      <c r="AQ86"/>
      <c r="AR86"/>
      <c r="AS86"/>
      <c r="AT86"/>
      <c r="AU86"/>
      <c r="AV86"/>
      <c r="AW86"/>
      <c r="AX86"/>
      <c r="AY86"/>
      <c r="AZ86"/>
      <c r="BA86"/>
      <c r="BB86"/>
      <c r="BC86"/>
      <c r="BD86"/>
      <c r="BE86" s="6"/>
      <c r="BF86" s="4"/>
      <c r="BG86" s="320">
        <v>26</v>
      </c>
      <c r="BH86" s="346"/>
      <c r="BI86" s="347"/>
      <c r="BJ86"/>
      <c r="BK86"/>
      <c r="BL86"/>
      <c r="BM86"/>
      <c r="BN86"/>
      <c r="BO86"/>
      <c r="BP86"/>
      <c r="BQ86"/>
      <c r="BR86"/>
      <c r="BS86"/>
      <c r="BT86"/>
      <c r="BU86"/>
      <c r="BV86"/>
      <c r="BW86"/>
      <c r="BX86" s="6"/>
    </row>
    <row r="87" spans="1:76">
      <c r="A87" s="4"/>
      <c r="B87" s="320">
        <v>27</v>
      </c>
      <c r="C87" s="346"/>
      <c r="D87" s="347"/>
      <c r="E87"/>
      <c r="F87"/>
      <c r="G87"/>
      <c r="H87"/>
      <c r="I87"/>
      <c r="J87"/>
      <c r="K87"/>
      <c r="L87"/>
      <c r="M87"/>
      <c r="N87"/>
      <c r="O87"/>
      <c r="P87"/>
      <c r="Q87"/>
      <c r="R87"/>
      <c r="S87" s="6"/>
      <c r="T87" s="4"/>
      <c r="U87" s="320">
        <v>27</v>
      </c>
      <c r="V87" s="346"/>
      <c r="W87" s="347"/>
      <c r="X87"/>
      <c r="Y87"/>
      <c r="Z87"/>
      <c r="AA87"/>
      <c r="AB87"/>
      <c r="AC87"/>
      <c r="AD87"/>
      <c r="AE87"/>
      <c r="AF87"/>
      <c r="AG87"/>
      <c r="AH87"/>
      <c r="AI87"/>
      <c r="AJ87"/>
      <c r="AK87"/>
      <c r="AL87" s="6"/>
      <c r="AM87" s="4"/>
      <c r="AN87" s="320">
        <v>27</v>
      </c>
      <c r="AO87" s="346"/>
      <c r="AP87" s="347"/>
      <c r="AQ87"/>
      <c r="AR87"/>
      <c r="AS87"/>
      <c r="AT87"/>
      <c r="AU87"/>
      <c r="AV87"/>
      <c r="AW87"/>
      <c r="AX87"/>
      <c r="AY87"/>
      <c r="AZ87"/>
      <c r="BA87"/>
      <c r="BB87"/>
      <c r="BC87"/>
      <c r="BD87"/>
      <c r="BE87" s="6"/>
      <c r="BF87" s="4"/>
      <c r="BG87" s="320">
        <v>27</v>
      </c>
      <c r="BH87" s="346"/>
      <c r="BI87" s="347"/>
      <c r="BJ87"/>
      <c r="BK87"/>
      <c r="BL87"/>
      <c r="BM87"/>
      <c r="BN87"/>
      <c r="BO87"/>
      <c r="BP87"/>
      <c r="BQ87"/>
      <c r="BR87"/>
      <c r="BS87"/>
      <c r="BT87"/>
      <c r="BU87"/>
      <c r="BV87"/>
      <c r="BW87"/>
      <c r="BX87" s="6"/>
    </row>
    <row r="88" spans="1:76">
      <c r="A88" s="4"/>
      <c r="B88" s="320">
        <v>28</v>
      </c>
      <c r="C88" s="346"/>
      <c r="D88" s="347"/>
      <c r="E88"/>
      <c r="F88"/>
      <c r="G88"/>
      <c r="H88"/>
      <c r="I88"/>
      <c r="J88"/>
      <c r="K88"/>
      <c r="L88"/>
      <c r="M88"/>
      <c r="N88"/>
      <c r="O88"/>
      <c r="P88"/>
      <c r="Q88"/>
      <c r="R88"/>
      <c r="S88" s="6"/>
      <c r="T88" s="4"/>
      <c r="U88" s="320">
        <v>28</v>
      </c>
      <c r="V88" s="346"/>
      <c r="W88" s="347"/>
      <c r="X88"/>
      <c r="Y88"/>
      <c r="Z88"/>
      <c r="AA88"/>
      <c r="AB88"/>
      <c r="AC88"/>
      <c r="AD88"/>
      <c r="AE88"/>
      <c r="AF88"/>
      <c r="AG88"/>
      <c r="AH88"/>
      <c r="AI88"/>
      <c r="AJ88"/>
      <c r="AK88"/>
      <c r="AL88" s="6"/>
      <c r="AM88" s="4"/>
      <c r="AN88" s="320">
        <v>28</v>
      </c>
      <c r="AO88" s="346"/>
      <c r="AP88" s="347"/>
      <c r="AQ88"/>
      <c r="AR88"/>
      <c r="AS88"/>
      <c r="AT88"/>
      <c r="AU88"/>
      <c r="AV88"/>
      <c r="AW88"/>
      <c r="AX88"/>
      <c r="AY88"/>
      <c r="AZ88"/>
      <c r="BA88"/>
      <c r="BB88"/>
      <c r="BC88"/>
      <c r="BD88"/>
      <c r="BE88" s="6"/>
      <c r="BF88" s="4"/>
      <c r="BG88" s="320">
        <v>28</v>
      </c>
      <c r="BH88" s="346"/>
      <c r="BI88" s="347"/>
      <c r="BJ88"/>
      <c r="BK88"/>
      <c r="BL88"/>
      <c r="BM88"/>
      <c r="BN88"/>
      <c r="BO88"/>
      <c r="BP88"/>
      <c r="BQ88"/>
      <c r="BR88"/>
      <c r="BS88"/>
      <c r="BT88"/>
      <c r="BU88"/>
      <c r="BV88"/>
      <c r="BW88"/>
      <c r="BX88" s="6"/>
    </row>
    <row r="89" spans="1:76">
      <c r="A89" s="4"/>
      <c r="B89" s="320">
        <v>29</v>
      </c>
      <c r="C89" s="346"/>
      <c r="D89" s="347"/>
      <c r="E89"/>
      <c r="F89"/>
      <c r="G89"/>
      <c r="H89"/>
      <c r="I89"/>
      <c r="J89"/>
      <c r="K89"/>
      <c r="L89"/>
      <c r="M89"/>
      <c r="N89"/>
      <c r="O89"/>
      <c r="P89"/>
      <c r="Q89"/>
      <c r="R89"/>
      <c r="S89" s="6"/>
      <c r="T89" s="4"/>
      <c r="U89" s="320">
        <v>29</v>
      </c>
      <c r="V89" s="346"/>
      <c r="W89" s="347"/>
      <c r="X89"/>
      <c r="Y89"/>
      <c r="Z89"/>
      <c r="AA89"/>
      <c r="AB89"/>
      <c r="AC89"/>
      <c r="AD89"/>
      <c r="AE89"/>
      <c r="AF89"/>
      <c r="AG89"/>
      <c r="AH89"/>
      <c r="AI89"/>
      <c r="AJ89"/>
      <c r="AK89"/>
      <c r="AL89" s="6"/>
      <c r="AM89" s="4"/>
      <c r="AN89" s="320">
        <v>29</v>
      </c>
      <c r="AO89" s="346"/>
      <c r="AP89" s="347"/>
      <c r="AQ89"/>
      <c r="AR89"/>
      <c r="AS89"/>
      <c r="AT89"/>
      <c r="AU89"/>
      <c r="AV89"/>
      <c r="AW89"/>
      <c r="AX89"/>
      <c r="AY89"/>
      <c r="AZ89"/>
      <c r="BA89"/>
      <c r="BB89"/>
      <c r="BC89"/>
      <c r="BD89"/>
      <c r="BE89" s="6"/>
      <c r="BF89" s="4"/>
      <c r="BG89" s="320">
        <v>29</v>
      </c>
      <c r="BH89" s="346"/>
      <c r="BI89" s="347"/>
      <c r="BJ89"/>
      <c r="BK89"/>
      <c r="BL89"/>
      <c r="BM89"/>
      <c r="BN89"/>
      <c r="BO89"/>
      <c r="BP89"/>
      <c r="BQ89"/>
      <c r="BR89"/>
      <c r="BS89"/>
      <c r="BT89"/>
      <c r="BU89"/>
      <c r="BV89"/>
      <c r="BW89"/>
      <c r="BX89" s="6"/>
    </row>
    <row r="90" spans="1:76">
      <c r="A90" s="4"/>
      <c r="B90" s="320">
        <v>30</v>
      </c>
      <c r="C90" s="346"/>
      <c r="D90" s="347"/>
      <c r="E90"/>
      <c r="F90"/>
      <c r="G90"/>
      <c r="H90"/>
      <c r="I90"/>
      <c r="J90"/>
      <c r="K90"/>
      <c r="L90"/>
      <c r="M90"/>
      <c r="N90"/>
      <c r="O90"/>
      <c r="P90"/>
      <c r="Q90"/>
      <c r="R90"/>
      <c r="S90" s="6"/>
      <c r="T90" s="4"/>
      <c r="U90" s="320">
        <v>30</v>
      </c>
      <c r="V90" s="346"/>
      <c r="W90" s="347"/>
      <c r="X90"/>
      <c r="Y90"/>
      <c r="Z90"/>
      <c r="AA90"/>
      <c r="AB90"/>
      <c r="AC90"/>
      <c r="AD90"/>
      <c r="AE90"/>
      <c r="AF90"/>
      <c r="AG90"/>
      <c r="AH90"/>
      <c r="AI90"/>
      <c r="AJ90"/>
      <c r="AK90"/>
      <c r="AL90" s="6"/>
      <c r="AM90" s="4"/>
      <c r="AN90" s="320">
        <v>30</v>
      </c>
      <c r="AO90" s="346"/>
      <c r="AP90" s="347"/>
      <c r="AQ90"/>
      <c r="AR90"/>
      <c r="AS90"/>
      <c r="AT90"/>
      <c r="AU90"/>
      <c r="AV90"/>
      <c r="AW90"/>
      <c r="AX90"/>
      <c r="AY90"/>
      <c r="AZ90"/>
      <c r="BA90"/>
      <c r="BB90"/>
      <c r="BC90"/>
      <c r="BD90"/>
      <c r="BE90" s="6"/>
      <c r="BF90" s="4"/>
      <c r="BG90" s="320">
        <v>30</v>
      </c>
      <c r="BH90" s="346"/>
      <c r="BI90" s="347"/>
      <c r="BJ90"/>
      <c r="BK90"/>
      <c r="BL90"/>
      <c r="BM90"/>
      <c r="BN90"/>
      <c r="BO90"/>
      <c r="BP90"/>
      <c r="BQ90"/>
      <c r="BR90"/>
      <c r="BS90"/>
      <c r="BT90"/>
      <c r="BU90"/>
      <c r="BV90"/>
      <c r="BW90"/>
      <c r="BX90" s="6"/>
    </row>
    <row r="91" spans="1:76">
      <c r="A91" s="4"/>
      <c r="B91" s="320">
        <v>31</v>
      </c>
      <c r="C91" s="346"/>
      <c r="D91" s="347"/>
      <c r="E91"/>
      <c r="F91"/>
      <c r="G91"/>
      <c r="H91"/>
      <c r="I91"/>
      <c r="J91"/>
      <c r="K91"/>
      <c r="L91"/>
      <c r="M91"/>
      <c r="N91"/>
      <c r="O91"/>
      <c r="P91"/>
      <c r="Q91"/>
      <c r="R91"/>
      <c r="S91" s="6"/>
      <c r="T91" s="4"/>
      <c r="U91" s="320">
        <v>31</v>
      </c>
      <c r="V91" s="346"/>
      <c r="W91" s="347"/>
      <c r="X91"/>
      <c r="Y91"/>
      <c r="Z91"/>
      <c r="AA91"/>
      <c r="AB91"/>
      <c r="AC91"/>
      <c r="AD91"/>
      <c r="AE91"/>
      <c r="AF91"/>
      <c r="AG91"/>
      <c r="AH91"/>
      <c r="AI91"/>
      <c r="AJ91"/>
      <c r="AK91"/>
      <c r="AL91" s="6"/>
      <c r="AM91" s="4"/>
      <c r="AN91" s="320">
        <v>31</v>
      </c>
      <c r="AO91" s="346"/>
      <c r="AP91" s="347"/>
      <c r="AQ91"/>
      <c r="AR91"/>
      <c r="AS91"/>
      <c r="AT91"/>
      <c r="AU91"/>
      <c r="AV91"/>
      <c r="AW91"/>
      <c r="AX91"/>
      <c r="AY91"/>
      <c r="AZ91"/>
      <c r="BA91"/>
      <c r="BB91"/>
      <c r="BC91"/>
      <c r="BD91"/>
      <c r="BE91" s="6"/>
      <c r="BF91" s="4"/>
      <c r="BG91" s="320">
        <v>31</v>
      </c>
      <c r="BH91" s="346"/>
      <c r="BI91" s="347"/>
      <c r="BJ91"/>
      <c r="BK91"/>
      <c r="BL91"/>
      <c r="BM91"/>
      <c r="BN91"/>
      <c r="BO91"/>
      <c r="BP91"/>
      <c r="BQ91"/>
      <c r="BR91"/>
      <c r="BS91"/>
      <c r="BT91"/>
      <c r="BU91"/>
      <c r="BV91"/>
      <c r="BW91"/>
      <c r="BX91" s="6"/>
    </row>
    <row r="92" spans="1:76">
      <c r="A92" s="4"/>
      <c r="B92" s="320">
        <v>32</v>
      </c>
      <c r="C92" s="346"/>
      <c r="D92" s="347"/>
      <c r="E92"/>
      <c r="F92"/>
      <c r="G92"/>
      <c r="H92"/>
      <c r="I92"/>
      <c r="J92"/>
      <c r="K92"/>
      <c r="L92"/>
      <c r="M92"/>
      <c r="N92"/>
      <c r="O92"/>
      <c r="P92"/>
      <c r="Q92"/>
      <c r="R92"/>
      <c r="S92" s="6"/>
      <c r="T92" s="4"/>
      <c r="U92" s="320">
        <v>32</v>
      </c>
      <c r="V92" s="346"/>
      <c r="W92" s="347"/>
      <c r="X92"/>
      <c r="Y92"/>
      <c r="Z92"/>
      <c r="AA92"/>
      <c r="AB92"/>
      <c r="AC92"/>
      <c r="AD92"/>
      <c r="AE92"/>
      <c r="AF92"/>
      <c r="AG92"/>
      <c r="AH92"/>
      <c r="AI92"/>
      <c r="AJ92"/>
      <c r="AK92"/>
      <c r="AL92" s="6"/>
      <c r="AM92" s="4"/>
      <c r="AN92" s="320">
        <v>32</v>
      </c>
      <c r="AO92" s="346"/>
      <c r="AP92" s="347"/>
      <c r="AQ92"/>
      <c r="AR92"/>
      <c r="AS92"/>
      <c r="AT92"/>
      <c r="AU92"/>
      <c r="AV92"/>
      <c r="AW92"/>
      <c r="AX92"/>
      <c r="AY92"/>
      <c r="AZ92"/>
      <c r="BA92"/>
      <c r="BB92"/>
      <c r="BC92"/>
      <c r="BD92"/>
      <c r="BE92" s="6"/>
      <c r="BF92" s="4"/>
      <c r="BG92" s="320">
        <v>32</v>
      </c>
      <c r="BH92" s="346"/>
      <c r="BI92" s="347"/>
      <c r="BJ92"/>
      <c r="BK92"/>
      <c r="BL92"/>
      <c r="BM92"/>
      <c r="BN92"/>
      <c r="BO92"/>
      <c r="BP92"/>
      <c r="BQ92"/>
      <c r="BR92"/>
      <c r="BS92"/>
      <c r="BT92"/>
      <c r="BU92"/>
      <c r="BV92"/>
      <c r="BW92"/>
      <c r="BX92" s="6"/>
    </row>
    <row r="93" spans="1:76">
      <c r="A93" s="4"/>
      <c r="B93" s="320">
        <v>33</v>
      </c>
      <c r="C93" s="346"/>
      <c r="D93" s="347"/>
      <c r="E93"/>
      <c r="F93"/>
      <c r="G93"/>
      <c r="H93"/>
      <c r="I93"/>
      <c r="J93"/>
      <c r="K93"/>
      <c r="L93"/>
      <c r="M93"/>
      <c r="N93"/>
      <c r="O93"/>
      <c r="P93"/>
      <c r="Q93"/>
      <c r="R93"/>
      <c r="S93" s="6"/>
      <c r="T93" s="4"/>
      <c r="U93" s="320">
        <v>33</v>
      </c>
      <c r="V93" s="346"/>
      <c r="W93" s="347"/>
      <c r="X93"/>
      <c r="Y93"/>
      <c r="Z93"/>
      <c r="AA93"/>
      <c r="AB93"/>
      <c r="AC93"/>
      <c r="AD93"/>
      <c r="AE93"/>
      <c r="AF93"/>
      <c r="AG93"/>
      <c r="AH93"/>
      <c r="AI93"/>
      <c r="AJ93"/>
      <c r="AK93"/>
      <c r="AL93" s="6"/>
      <c r="AM93" s="4"/>
      <c r="AN93" s="320">
        <v>33</v>
      </c>
      <c r="AO93" s="346"/>
      <c r="AP93" s="347"/>
      <c r="AQ93"/>
      <c r="AR93"/>
      <c r="AS93"/>
      <c r="AT93"/>
      <c r="AU93"/>
      <c r="AV93"/>
      <c r="AW93"/>
      <c r="AX93"/>
      <c r="AY93"/>
      <c r="AZ93"/>
      <c r="BA93"/>
      <c r="BB93"/>
      <c r="BC93"/>
      <c r="BD93"/>
      <c r="BE93" s="6"/>
      <c r="BF93" s="4"/>
      <c r="BG93" s="320">
        <v>33</v>
      </c>
      <c r="BH93" s="346"/>
      <c r="BI93" s="347"/>
      <c r="BJ93"/>
      <c r="BK93"/>
      <c r="BL93"/>
      <c r="BM93"/>
      <c r="BN93"/>
      <c r="BO93"/>
      <c r="BP93"/>
      <c r="BQ93"/>
      <c r="BR93"/>
      <c r="BS93"/>
      <c r="BT93"/>
      <c r="BU93"/>
      <c r="BV93"/>
      <c r="BW93"/>
      <c r="BX93" s="6"/>
    </row>
    <row r="94" spans="1:76">
      <c r="A94" s="4"/>
      <c r="B94" s="320">
        <v>34</v>
      </c>
      <c r="C94" s="346"/>
      <c r="D94" s="347"/>
      <c r="E94"/>
      <c r="F94"/>
      <c r="G94"/>
      <c r="H94"/>
      <c r="I94"/>
      <c r="J94"/>
      <c r="K94"/>
      <c r="L94"/>
      <c r="M94"/>
      <c r="N94"/>
      <c r="O94"/>
      <c r="P94"/>
      <c r="Q94"/>
      <c r="R94"/>
      <c r="S94" s="6"/>
      <c r="T94" s="4"/>
      <c r="U94" s="320">
        <v>34</v>
      </c>
      <c r="V94" s="346"/>
      <c r="W94" s="347"/>
      <c r="X94"/>
      <c r="Y94"/>
      <c r="Z94"/>
      <c r="AA94"/>
      <c r="AB94"/>
      <c r="AC94"/>
      <c r="AD94"/>
      <c r="AE94"/>
      <c r="AF94"/>
      <c r="AG94"/>
      <c r="AH94"/>
      <c r="AI94"/>
      <c r="AJ94"/>
      <c r="AK94"/>
      <c r="AL94" s="6"/>
      <c r="AM94" s="4"/>
      <c r="AN94" s="320">
        <v>34</v>
      </c>
      <c r="AO94" s="346"/>
      <c r="AP94" s="347"/>
      <c r="AQ94"/>
      <c r="AR94"/>
      <c r="AS94"/>
      <c r="AT94"/>
      <c r="AU94"/>
      <c r="AV94"/>
      <c r="AW94"/>
      <c r="AX94"/>
      <c r="AY94"/>
      <c r="AZ94"/>
      <c r="BA94"/>
      <c r="BB94"/>
      <c r="BC94"/>
      <c r="BD94"/>
      <c r="BE94" s="6"/>
      <c r="BF94" s="4"/>
      <c r="BG94" s="320">
        <v>34</v>
      </c>
      <c r="BH94" s="346"/>
      <c r="BI94" s="347"/>
      <c r="BJ94"/>
      <c r="BK94"/>
      <c r="BL94"/>
      <c r="BM94"/>
      <c r="BN94"/>
      <c r="BO94"/>
      <c r="BP94"/>
      <c r="BQ94"/>
      <c r="BR94"/>
      <c r="BS94"/>
      <c r="BT94"/>
      <c r="BU94"/>
      <c r="BV94"/>
      <c r="BW94"/>
      <c r="BX94" s="6"/>
    </row>
    <row r="95" spans="1:76">
      <c r="A95" s="4"/>
      <c r="B95" s="320">
        <v>35</v>
      </c>
      <c r="C95" s="346"/>
      <c r="D95" s="347"/>
      <c r="E95"/>
      <c r="F95"/>
      <c r="G95"/>
      <c r="H95"/>
      <c r="I95"/>
      <c r="J95"/>
      <c r="K95"/>
      <c r="L95"/>
      <c r="M95"/>
      <c r="N95"/>
      <c r="O95"/>
      <c r="P95"/>
      <c r="Q95"/>
      <c r="R95"/>
      <c r="S95" s="6"/>
      <c r="T95" s="4"/>
      <c r="U95" s="320">
        <v>35</v>
      </c>
      <c r="V95" s="346"/>
      <c r="W95" s="347"/>
      <c r="X95"/>
      <c r="Y95"/>
      <c r="Z95"/>
      <c r="AA95"/>
      <c r="AB95"/>
      <c r="AC95"/>
      <c r="AD95"/>
      <c r="AE95"/>
      <c r="AF95"/>
      <c r="AG95"/>
      <c r="AH95"/>
      <c r="AI95"/>
      <c r="AJ95"/>
      <c r="AK95"/>
      <c r="AL95" s="6"/>
      <c r="AM95" s="4"/>
      <c r="AN95" s="320">
        <v>35</v>
      </c>
      <c r="AO95" s="346"/>
      <c r="AP95" s="347"/>
      <c r="AQ95"/>
      <c r="AR95"/>
      <c r="AS95"/>
      <c r="AT95"/>
      <c r="AU95"/>
      <c r="AV95"/>
      <c r="AW95"/>
      <c r="AX95"/>
      <c r="AY95"/>
      <c r="AZ95"/>
      <c r="BA95"/>
      <c r="BB95"/>
      <c r="BC95"/>
      <c r="BD95"/>
      <c r="BE95" s="6"/>
      <c r="BF95" s="4"/>
      <c r="BG95" s="320">
        <v>35</v>
      </c>
      <c r="BH95" s="346"/>
      <c r="BI95" s="347"/>
      <c r="BJ95"/>
      <c r="BK95"/>
      <c r="BL95"/>
      <c r="BM95"/>
      <c r="BN95"/>
      <c r="BO95"/>
      <c r="BP95"/>
      <c r="BQ95"/>
      <c r="BR95"/>
      <c r="BS95"/>
      <c r="BT95"/>
      <c r="BU95"/>
      <c r="BV95"/>
      <c r="BW95"/>
      <c r="BX95" s="6"/>
    </row>
    <row r="96" spans="1:76">
      <c r="A96" s="4"/>
      <c r="B96" s="320">
        <v>36</v>
      </c>
      <c r="C96" s="346"/>
      <c r="D96" s="347"/>
      <c r="E96"/>
      <c r="F96"/>
      <c r="G96"/>
      <c r="H96"/>
      <c r="I96"/>
      <c r="J96"/>
      <c r="K96"/>
      <c r="L96"/>
      <c r="M96"/>
      <c r="N96"/>
      <c r="O96"/>
      <c r="P96"/>
      <c r="Q96"/>
      <c r="R96"/>
      <c r="S96" s="6"/>
      <c r="T96" s="4"/>
      <c r="U96" s="320">
        <v>36</v>
      </c>
      <c r="V96" s="346"/>
      <c r="W96" s="347"/>
      <c r="X96"/>
      <c r="Y96"/>
      <c r="Z96"/>
      <c r="AA96"/>
      <c r="AB96"/>
      <c r="AC96"/>
      <c r="AD96"/>
      <c r="AE96"/>
      <c r="AF96"/>
      <c r="AG96"/>
      <c r="AH96"/>
      <c r="AI96"/>
      <c r="AJ96"/>
      <c r="AK96"/>
      <c r="AL96" s="6"/>
      <c r="AM96" s="4"/>
      <c r="AN96" s="320">
        <v>36</v>
      </c>
      <c r="AO96" s="346"/>
      <c r="AP96" s="347"/>
      <c r="AQ96"/>
      <c r="AR96"/>
      <c r="AS96"/>
      <c r="AT96"/>
      <c r="AU96"/>
      <c r="AV96"/>
      <c r="AW96"/>
      <c r="AX96"/>
      <c r="AY96"/>
      <c r="AZ96"/>
      <c r="BA96"/>
      <c r="BB96"/>
      <c r="BC96"/>
      <c r="BD96"/>
      <c r="BE96" s="6"/>
      <c r="BF96" s="4"/>
      <c r="BG96" s="320">
        <v>36</v>
      </c>
      <c r="BH96" s="346"/>
      <c r="BI96" s="347"/>
      <c r="BJ96"/>
      <c r="BK96"/>
      <c r="BL96"/>
      <c r="BM96"/>
      <c r="BN96"/>
      <c r="BO96"/>
      <c r="BP96"/>
      <c r="BQ96"/>
      <c r="BR96"/>
      <c r="BS96"/>
      <c r="BT96"/>
      <c r="BU96"/>
      <c r="BV96"/>
      <c r="BW96"/>
      <c r="BX96" s="6"/>
    </row>
    <row r="97" spans="1:76">
      <c r="A97" s="4"/>
      <c r="B97" s="320">
        <v>37</v>
      </c>
      <c r="C97" s="346"/>
      <c r="D97" s="347"/>
      <c r="E97"/>
      <c r="F97"/>
      <c r="G97"/>
      <c r="H97"/>
      <c r="I97"/>
      <c r="J97"/>
      <c r="K97"/>
      <c r="L97"/>
      <c r="M97"/>
      <c r="N97"/>
      <c r="O97"/>
      <c r="P97"/>
      <c r="Q97"/>
      <c r="R97"/>
      <c r="S97" s="6"/>
      <c r="T97" s="4"/>
      <c r="U97" s="320">
        <v>37</v>
      </c>
      <c r="V97" s="346"/>
      <c r="W97" s="347"/>
      <c r="X97"/>
      <c r="Y97"/>
      <c r="Z97"/>
      <c r="AA97"/>
      <c r="AB97"/>
      <c r="AC97"/>
      <c r="AD97"/>
      <c r="AE97"/>
      <c r="AF97"/>
      <c r="AG97"/>
      <c r="AH97"/>
      <c r="AI97"/>
      <c r="AJ97"/>
      <c r="AK97"/>
      <c r="AL97" s="6"/>
      <c r="AM97" s="4"/>
      <c r="AN97" s="320">
        <v>37</v>
      </c>
      <c r="AO97" s="346"/>
      <c r="AP97" s="347"/>
      <c r="AQ97"/>
      <c r="AR97"/>
      <c r="AS97"/>
      <c r="AT97"/>
      <c r="AU97"/>
      <c r="AV97"/>
      <c r="AW97"/>
      <c r="AX97"/>
      <c r="AY97"/>
      <c r="AZ97"/>
      <c r="BA97"/>
      <c r="BB97"/>
      <c r="BC97"/>
      <c r="BD97"/>
      <c r="BE97" s="6"/>
      <c r="BF97" s="4"/>
      <c r="BG97" s="320">
        <v>37</v>
      </c>
      <c r="BH97" s="346"/>
      <c r="BI97" s="347"/>
      <c r="BJ97"/>
      <c r="BK97"/>
      <c r="BL97"/>
      <c r="BM97"/>
      <c r="BN97"/>
      <c r="BO97"/>
      <c r="BP97"/>
      <c r="BQ97"/>
      <c r="BR97"/>
      <c r="BS97"/>
      <c r="BT97"/>
      <c r="BU97"/>
      <c r="BV97"/>
      <c r="BW97"/>
      <c r="BX97" s="6"/>
    </row>
    <row r="98" spans="1:76">
      <c r="A98" s="4"/>
      <c r="B98" s="320">
        <v>38</v>
      </c>
      <c r="C98" s="346"/>
      <c r="D98" s="347"/>
      <c r="E98"/>
      <c r="F98"/>
      <c r="G98"/>
      <c r="H98"/>
      <c r="I98"/>
      <c r="J98"/>
      <c r="K98"/>
      <c r="L98"/>
      <c r="M98"/>
      <c r="N98"/>
      <c r="O98"/>
      <c r="P98"/>
      <c r="Q98"/>
      <c r="R98"/>
      <c r="S98" s="6"/>
      <c r="T98" s="4"/>
      <c r="U98" s="320">
        <v>38</v>
      </c>
      <c r="V98" s="346"/>
      <c r="W98" s="347"/>
      <c r="X98"/>
      <c r="Y98"/>
      <c r="Z98"/>
      <c r="AA98"/>
      <c r="AB98"/>
      <c r="AC98"/>
      <c r="AD98"/>
      <c r="AE98"/>
      <c r="AF98"/>
      <c r="AG98"/>
      <c r="AH98"/>
      <c r="AI98"/>
      <c r="AJ98"/>
      <c r="AK98"/>
      <c r="AL98" s="6"/>
      <c r="AM98" s="4"/>
      <c r="AN98" s="320">
        <v>38</v>
      </c>
      <c r="AO98" s="346"/>
      <c r="AP98" s="347"/>
      <c r="AQ98"/>
      <c r="AR98"/>
      <c r="AS98"/>
      <c r="AT98"/>
      <c r="AU98"/>
      <c r="AV98"/>
      <c r="AW98"/>
      <c r="AX98"/>
      <c r="AY98"/>
      <c r="AZ98"/>
      <c r="BA98"/>
      <c r="BB98"/>
      <c r="BC98"/>
      <c r="BD98"/>
      <c r="BE98" s="6"/>
      <c r="BF98" s="4"/>
      <c r="BG98" s="320">
        <v>38</v>
      </c>
      <c r="BH98" s="346"/>
      <c r="BI98" s="347"/>
      <c r="BJ98"/>
      <c r="BK98"/>
      <c r="BL98"/>
      <c r="BM98"/>
      <c r="BN98"/>
      <c r="BO98"/>
      <c r="BP98"/>
      <c r="BQ98"/>
      <c r="BR98"/>
      <c r="BS98"/>
      <c r="BT98"/>
      <c r="BU98"/>
      <c r="BV98"/>
      <c r="BW98"/>
      <c r="BX98" s="6"/>
    </row>
    <row r="99" spans="1:76">
      <c r="A99" s="4"/>
      <c r="B99" s="320">
        <v>39</v>
      </c>
      <c r="C99" s="346"/>
      <c r="D99" s="347"/>
      <c r="E99"/>
      <c r="F99"/>
      <c r="G99"/>
      <c r="H99"/>
      <c r="I99"/>
      <c r="J99"/>
      <c r="K99"/>
      <c r="L99"/>
      <c r="M99"/>
      <c r="N99"/>
      <c r="O99"/>
      <c r="P99"/>
      <c r="Q99"/>
      <c r="R99"/>
      <c r="S99" s="6"/>
      <c r="T99" s="4"/>
      <c r="U99" s="320">
        <v>39</v>
      </c>
      <c r="V99" s="346"/>
      <c r="W99" s="347"/>
      <c r="X99"/>
      <c r="Y99"/>
      <c r="Z99"/>
      <c r="AA99"/>
      <c r="AB99"/>
      <c r="AC99"/>
      <c r="AD99"/>
      <c r="AE99"/>
      <c r="AF99"/>
      <c r="AG99"/>
      <c r="AH99"/>
      <c r="AI99"/>
      <c r="AJ99"/>
      <c r="AK99"/>
      <c r="AL99" s="6"/>
      <c r="AM99" s="4"/>
      <c r="AN99" s="320">
        <v>39</v>
      </c>
      <c r="AO99" s="346"/>
      <c r="AP99" s="347"/>
      <c r="AQ99"/>
      <c r="AR99"/>
      <c r="AS99"/>
      <c r="AT99"/>
      <c r="AU99"/>
      <c r="AV99"/>
      <c r="AW99"/>
      <c r="AX99"/>
      <c r="AY99"/>
      <c r="AZ99"/>
      <c r="BA99"/>
      <c r="BB99"/>
      <c r="BC99"/>
      <c r="BD99"/>
      <c r="BE99" s="6"/>
      <c r="BF99" s="4"/>
      <c r="BG99" s="320">
        <v>39</v>
      </c>
      <c r="BH99" s="346"/>
      <c r="BI99" s="347"/>
      <c r="BJ99"/>
      <c r="BK99"/>
      <c r="BL99"/>
      <c r="BM99"/>
      <c r="BN99"/>
      <c r="BO99"/>
      <c r="BP99"/>
      <c r="BQ99"/>
      <c r="BR99"/>
      <c r="BS99"/>
      <c r="BT99"/>
      <c r="BU99"/>
      <c r="BV99"/>
      <c r="BW99"/>
      <c r="BX99" s="6"/>
    </row>
    <row r="100" spans="1:76">
      <c r="A100" s="4"/>
      <c r="B100" s="320">
        <v>40</v>
      </c>
      <c r="C100" s="346"/>
      <c r="D100" s="347"/>
      <c r="E100"/>
      <c r="F100"/>
      <c r="G100"/>
      <c r="H100"/>
      <c r="I100"/>
      <c r="J100"/>
      <c r="K100"/>
      <c r="L100"/>
      <c r="M100"/>
      <c r="N100"/>
      <c r="O100"/>
      <c r="P100"/>
      <c r="Q100"/>
      <c r="R100"/>
      <c r="S100" s="6"/>
      <c r="T100" s="4"/>
      <c r="U100" s="320">
        <v>40</v>
      </c>
      <c r="V100" s="346"/>
      <c r="W100" s="347"/>
      <c r="X100"/>
      <c r="Y100"/>
      <c r="Z100"/>
      <c r="AA100"/>
      <c r="AB100"/>
      <c r="AC100"/>
      <c r="AD100"/>
      <c r="AE100"/>
      <c r="AF100"/>
      <c r="AG100"/>
      <c r="AH100"/>
      <c r="AI100"/>
      <c r="AJ100"/>
      <c r="AK100"/>
      <c r="AL100" s="6"/>
      <c r="AM100" s="4"/>
      <c r="AN100" s="320">
        <v>40</v>
      </c>
      <c r="AO100" s="346"/>
      <c r="AP100" s="347"/>
      <c r="AQ100"/>
      <c r="AR100"/>
      <c r="AS100"/>
      <c r="AT100"/>
      <c r="AU100"/>
      <c r="AV100"/>
      <c r="AW100"/>
      <c r="AX100"/>
      <c r="AY100"/>
      <c r="AZ100"/>
      <c r="BA100"/>
      <c r="BB100"/>
      <c r="BC100"/>
      <c r="BD100"/>
      <c r="BE100" s="6"/>
      <c r="BF100" s="4"/>
      <c r="BG100" s="320">
        <v>40</v>
      </c>
      <c r="BH100" s="346"/>
      <c r="BI100" s="347"/>
      <c r="BJ100"/>
      <c r="BK100"/>
      <c r="BL100"/>
      <c r="BM100"/>
      <c r="BN100"/>
      <c r="BO100"/>
      <c r="BP100"/>
      <c r="BQ100"/>
      <c r="BR100"/>
      <c r="BS100"/>
      <c r="BT100"/>
      <c r="BU100"/>
      <c r="BV100"/>
      <c r="BW100"/>
      <c r="BX100" s="6"/>
    </row>
    <row r="101" spans="1:76">
      <c r="A101" s="4"/>
      <c r="B101" s="320">
        <v>41</v>
      </c>
      <c r="C101" s="346"/>
      <c r="D101" s="347"/>
      <c r="E101"/>
      <c r="F101"/>
      <c r="G101"/>
      <c r="H101"/>
      <c r="I101"/>
      <c r="J101"/>
      <c r="K101"/>
      <c r="L101"/>
      <c r="M101"/>
      <c r="N101"/>
      <c r="O101"/>
      <c r="P101"/>
      <c r="Q101"/>
      <c r="R101"/>
      <c r="S101" s="6"/>
      <c r="T101" s="4"/>
      <c r="U101" s="320">
        <v>41</v>
      </c>
      <c r="V101" s="346"/>
      <c r="W101" s="347"/>
      <c r="X101"/>
      <c r="Y101"/>
      <c r="Z101"/>
      <c r="AA101"/>
      <c r="AB101"/>
      <c r="AC101"/>
      <c r="AD101"/>
      <c r="AE101"/>
      <c r="AF101"/>
      <c r="AG101"/>
      <c r="AH101"/>
      <c r="AI101"/>
      <c r="AJ101"/>
      <c r="AK101"/>
      <c r="AL101" s="6"/>
      <c r="AM101" s="4"/>
      <c r="AN101" s="320">
        <v>41</v>
      </c>
      <c r="AO101" s="346"/>
      <c r="AP101" s="347"/>
      <c r="AQ101"/>
      <c r="AR101"/>
      <c r="AS101"/>
      <c r="AT101"/>
      <c r="AU101"/>
      <c r="AV101"/>
      <c r="AW101"/>
      <c r="AX101"/>
      <c r="AY101"/>
      <c r="AZ101"/>
      <c r="BA101"/>
      <c r="BB101"/>
      <c r="BC101"/>
      <c r="BD101"/>
      <c r="BE101" s="6"/>
      <c r="BF101" s="4"/>
      <c r="BG101" s="320">
        <v>41</v>
      </c>
      <c r="BH101" s="346"/>
      <c r="BI101" s="347"/>
      <c r="BJ101"/>
      <c r="BK101"/>
      <c r="BL101"/>
      <c r="BM101"/>
      <c r="BN101"/>
      <c r="BO101"/>
      <c r="BP101"/>
      <c r="BQ101"/>
      <c r="BR101"/>
      <c r="BS101"/>
      <c r="BT101"/>
      <c r="BU101"/>
      <c r="BV101"/>
      <c r="BW101"/>
      <c r="BX101" s="6"/>
    </row>
    <row r="102" spans="1:76">
      <c r="A102" s="4"/>
      <c r="B102" s="320">
        <v>42</v>
      </c>
      <c r="C102" s="346"/>
      <c r="D102" s="347"/>
      <c r="E102"/>
      <c r="F102"/>
      <c r="G102"/>
      <c r="H102"/>
      <c r="I102"/>
      <c r="J102"/>
      <c r="K102"/>
      <c r="L102"/>
      <c r="M102"/>
      <c r="N102"/>
      <c r="O102"/>
      <c r="P102"/>
      <c r="Q102"/>
      <c r="R102"/>
      <c r="S102" s="6"/>
      <c r="T102" s="4"/>
      <c r="U102" s="320">
        <v>42</v>
      </c>
      <c r="V102" s="346"/>
      <c r="W102" s="347"/>
      <c r="X102"/>
      <c r="Y102"/>
      <c r="Z102"/>
      <c r="AA102"/>
      <c r="AB102"/>
      <c r="AC102"/>
      <c r="AD102"/>
      <c r="AE102"/>
      <c r="AF102"/>
      <c r="AG102"/>
      <c r="AH102"/>
      <c r="AI102"/>
      <c r="AJ102"/>
      <c r="AK102"/>
      <c r="AL102" s="6"/>
      <c r="AM102" s="4"/>
      <c r="AN102" s="320">
        <v>42</v>
      </c>
      <c r="AO102" s="346"/>
      <c r="AP102" s="347"/>
      <c r="AQ102"/>
      <c r="AR102"/>
      <c r="AS102"/>
      <c r="AT102"/>
      <c r="AU102"/>
      <c r="AV102"/>
      <c r="AW102"/>
      <c r="AX102"/>
      <c r="AY102"/>
      <c r="AZ102"/>
      <c r="BA102"/>
      <c r="BB102"/>
      <c r="BC102"/>
      <c r="BD102"/>
      <c r="BE102" s="6"/>
      <c r="BF102" s="4"/>
      <c r="BG102" s="320">
        <v>42</v>
      </c>
      <c r="BH102" s="346"/>
      <c r="BI102" s="347"/>
      <c r="BJ102"/>
      <c r="BK102"/>
      <c r="BL102"/>
      <c r="BM102"/>
      <c r="BN102"/>
      <c r="BO102"/>
      <c r="BP102"/>
      <c r="BQ102"/>
      <c r="BR102"/>
      <c r="BS102"/>
      <c r="BT102"/>
      <c r="BU102"/>
      <c r="BV102"/>
      <c r="BW102"/>
      <c r="BX102" s="6"/>
    </row>
    <row r="103" spans="1:76">
      <c r="A103" s="4"/>
      <c r="B103" s="320">
        <v>43</v>
      </c>
      <c r="C103" s="346"/>
      <c r="D103" s="347"/>
      <c r="E103"/>
      <c r="F103"/>
      <c r="G103"/>
      <c r="H103"/>
      <c r="I103"/>
      <c r="J103"/>
      <c r="K103"/>
      <c r="L103"/>
      <c r="M103"/>
      <c r="N103"/>
      <c r="O103"/>
      <c r="P103"/>
      <c r="Q103"/>
      <c r="R103"/>
      <c r="S103" s="6"/>
      <c r="T103" s="4"/>
      <c r="U103" s="320">
        <v>43</v>
      </c>
      <c r="V103" s="346"/>
      <c r="W103" s="347"/>
      <c r="X103"/>
      <c r="Y103"/>
      <c r="Z103"/>
      <c r="AA103"/>
      <c r="AB103"/>
      <c r="AC103"/>
      <c r="AD103"/>
      <c r="AE103"/>
      <c r="AF103"/>
      <c r="AG103"/>
      <c r="AH103"/>
      <c r="AI103"/>
      <c r="AJ103"/>
      <c r="AK103"/>
      <c r="AL103" s="6"/>
      <c r="AM103" s="4"/>
      <c r="AN103" s="320">
        <v>43</v>
      </c>
      <c r="AO103" s="346"/>
      <c r="AP103" s="347"/>
      <c r="AQ103"/>
      <c r="AR103"/>
      <c r="AS103"/>
      <c r="AT103"/>
      <c r="AU103"/>
      <c r="AV103"/>
      <c r="AW103"/>
      <c r="AX103"/>
      <c r="AY103"/>
      <c r="AZ103"/>
      <c r="BA103"/>
      <c r="BB103"/>
      <c r="BC103"/>
      <c r="BD103"/>
      <c r="BE103" s="6"/>
      <c r="BF103" s="4"/>
      <c r="BG103" s="320">
        <v>43</v>
      </c>
      <c r="BH103" s="346"/>
      <c r="BI103" s="347"/>
      <c r="BJ103"/>
      <c r="BK103"/>
      <c r="BL103"/>
      <c r="BM103"/>
      <c r="BN103"/>
      <c r="BO103"/>
      <c r="BP103"/>
      <c r="BQ103"/>
      <c r="BR103"/>
      <c r="BS103"/>
      <c r="BT103"/>
      <c r="BU103"/>
      <c r="BV103"/>
      <c r="BW103"/>
      <c r="BX103" s="6"/>
    </row>
    <row r="104" spans="1:76">
      <c r="A104" s="4"/>
      <c r="B104" s="320">
        <v>44</v>
      </c>
      <c r="C104" s="346"/>
      <c r="D104" s="347"/>
      <c r="E104"/>
      <c r="F104"/>
      <c r="G104"/>
      <c r="H104"/>
      <c r="I104"/>
      <c r="J104"/>
      <c r="K104"/>
      <c r="L104"/>
      <c r="M104"/>
      <c r="N104"/>
      <c r="O104"/>
      <c r="P104"/>
      <c r="Q104"/>
      <c r="R104"/>
      <c r="S104" s="6"/>
      <c r="T104" s="4"/>
      <c r="U104" s="320">
        <v>44</v>
      </c>
      <c r="V104" s="346"/>
      <c r="W104" s="347"/>
      <c r="X104"/>
      <c r="Y104"/>
      <c r="Z104"/>
      <c r="AA104"/>
      <c r="AB104"/>
      <c r="AC104"/>
      <c r="AD104"/>
      <c r="AE104"/>
      <c r="AF104"/>
      <c r="AG104"/>
      <c r="AH104"/>
      <c r="AI104"/>
      <c r="AJ104"/>
      <c r="AK104"/>
      <c r="AL104" s="6"/>
      <c r="AM104" s="4"/>
      <c r="AN104" s="320">
        <v>44</v>
      </c>
      <c r="AO104" s="346"/>
      <c r="AP104" s="347"/>
      <c r="AQ104"/>
      <c r="AR104"/>
      <c r="AS104"/>
      <c r="AT104"/>
      <c r="AU104"/>
      <c r="AV104"/>
      <c r="AW104"/>
      <c r="AX104"/>
      <c r="AY104"/>
      <c r="AZ104"/>
      <c r="BA104"/>
      <c r="BB104"/>
      <c r="BC104"/>
      <c r="BD104"/>
      <c r="BE104" s="6"/>
      <c r="BF104" s="4"/>
      <c r="BG104" s="320">
        <v>44</v>
      </c>
      <c r="BH104" s="346"/>
      <c r="BI104" s="347"/>
      <c r="BJ104"/>
      <c r="BK104"/>
      <c r="BL104"/>
      <c r="BM104"/>
      <c r="BN104"/>
      <c r="BO104"/>
      <c r="BP104"/>
      <c r="BQ104"/>
      <c r="BR104"/>
      <c r="BS104"/>
      <c r="BT104"/>
      <c r="BU104"/>
      <c r="BV104"/>
      <c r="BW104"/>
      <c r="BX104" s="6"/>
    </row>
    <row r="105" spans="1:76">
      <c r="A105" s="4"/>
      <c r="B105" s="320">
        <v>45</v>
      </c>
      <c r="C105" s="346"/>
      <c r="D105" s="347"/>
      <c r="E105"/>
      <c r="F105"/>
      <c r="G105"/>
      <c r="H105"/>
      <c r="I105"/>
      <c r="J105"/>
      <c r="K105"/>
      <c r="L105"/>
      <c r="M105"/>
      <c r="N105"/>
      <c r="O105"/>
      <c r="P105"/>
      <c r="Q105"/>
      <c r="R105"/>
      <c r="S105" s="6"/>
      <c r="T105" s="4"/>
      <c r="U105" s="320">
        <v>45</v>
      </c>
      <c r="V105" s="346"/>
      <c r="W105" s="347"/>
      <c r="X105"/>
      <c r="Y105"/>
      <c r="Z105"/>
      <c r="AA105"/>
      <c r="AB105"/>
      <c r="AC105"/>
      <c r="AD105"/>
      <c r="AE105"/>
      <c r="AF105"/>
      <c r="AG105"/>
      <c r="AH105"/>
      <c r="AI105"/>
      <c r="AJ105"/>
      <c r="AK105"/>
      <c r="AL105" s="6"/>
      <c r="AM105" s="4"/>
      <c r="AN105" s="320">
        <v>45</v>
      </c>
      <c r="AO105" s="346"/>
      <c r="AP105" s="347"/>
      <c r="AQ105"/>
      <c r="AR105"/>
      <c r="AS105"/>
      <c r="AT105"/>
      <c r="AU105"/>
      <c r="AV105"/>
      <c r="AW105"/>
      <c r="AX105"/>
      <c r="AY105"/>
      <c r="AZ105"/>
      <c r="BA105"/>
      <c r="BB105"/>
      <c r="BC105"/>
      <c r="BD105"/>
      <c r="BE105" s="6"/>
      <c r="BF105" s="4"/>
      <c r="BG105" s="320">
        <v>45</v>
      </c>
      <c r="BH105" s="346"/>
      <c r="BI105" s="347"/>
      <c r="BJ105"/>
      <c r="BK105"/>
      <c r="BL105"/>
      <c r="BM105"/>
      <c r="BN105"/>
      <c r="BO105"/>
      <c r="BP105"/>
      <c r="BQ105"/>
      <c r="BR105"/>
      <c r="BS105"/>
      <c r="BT105"/>
      <c r="BU105"/>
      <c r="BV105"/>
      <c r="BW105"/>
      <c r="BX105" s="6"/>
    </row>
    <row r="106" spans="1:76">
      <c r="A106" s="4"/>
      <c r="B106" s="320">
        <v>46</v>
      </c>
      <c r="C106" s="346"/>
      <c r="D106" s="347"/>
      <c r="E106"/>
      <c r="F106"/>
      <c r="G106"/>
      <c r="H106"/>
      <c r="I106"/>
      <c r="J106"/>
      <c r="K106"/>
      <c r="L106"/>
      <c r="M106"/>
      <c r="N106"/>
      <c r="O106"/>
      <c r="P106"/>
      <c r="Q106"/>
      <c r="R106"/>
      <c r="S106" s="6"/>
      <c r="T106" s="4"/>
      <c r="U106" s="320">
        <v>46</v>
      </c>
      <c r="V106" s="346"/>
      <c r="W106" s="347"/>
      <c r="X106"/>
      <c r="Y106"/>
      <c r="Z106"/>
      <c r="AA106"/>
      <c r="AB106"/>
      <c r="AC106"/>
      <c r="AD106"/>
      <c r="AE106"/>
      <c r="AF106"/>
      <c r="AG106"/>
      <c r="AH106"/>
      <c r="AI106"/>
      <c r="AJ106"/>
      <c r="AK106"/>
      <c r="AL106" s="6"/>
      <c r="AM106" s="4"/>
      <c r="AN106" s="320">
        <v>46</v>
      </c>
      <c r="AO106" s="346"/>
      <c r="AP106" s="347"/>
      <c r="AQ106"/>
      <c r="AR106"/>
      <c r="AS106"/>
      <c r="AT106"/>
      <c r="AU106"/>
      <c r="AV106"/>
      <c r="AW106"/>
      <c r="AX106"/>
      <c r="AY106"/>
      <c r="AZ106"/>
      <c r="BA106"/>
      <c r="BB106"/>
      <c r="BC106"/>
      <c r="BD106"/>
      <c r="BE106" s="6"/>
      <c r="BF106" s="4"/>
      <c r="BG106" s="320">
        <v>46</v>
      </c>
      <c r="BH106" s="346"/>
      <c r="BI106" s="347"/>
      <c r="BJ106"/>
      <c r="BK106"/>
      <c r="BL106"/>
      <c r="BM106"/>
      <c r="BN106"/>
      <c r="BO106"/>
      <c r="BP106"/>
      <c r="BQ106"/>
      <c r="BR106"/>
      <c r="BS106"/>
      <c r="BT106"/>
      <c r="BU106"/>
      <c r="BV106"/>
      <c r="BW106"/>
      <c r="BX106" s="6"/>
    </row>
    <row r="107" spans="1:76">
      <c r="A107" s="4"/>
      <c r="B107" s="320">
        <v>47</v>
      </c>
      <c r="C107" s="346"/>
      <c r="D107" s="347"/>
      <c r="E107"/>
      <c r="F107"/>
      <c r="G107"/>
      <c r="H107"/>
      <c r="I107"/>
      <c r="J107"/>
      <c r="K107"/>
      <c r="L107"/>
      <c r="M107"/>
      <c r="N107"/>
      <c r="O107"/>
      <c r="P107"/>
      <c r="Q107"/>
      <c r="R107"/>
      <c r="S107" s="6"/>
      <c r="T107" s="4"/>
      <c r="U107" s="320">
        <v>47</v>
      </c>
      <c r="V107" s="346"/>
      <c r="W107" s="347"/>
      <c r="X107"/>
      <c r="Y107"/>
      <c r="Z107"/>
      <c r="AA107"/>
      <c r="AB107"/>
      <c r="AC107"/>
      <c r="AD107"/>
      <c r="AE107"/>
      <c r="AF107"/>
      <c r="AG107"/>
      <c r="AH107"/>
      <c r="AI107"/>
      <c r="AJ107"/>
      <c r="AK107"/>
      <c r="AL107" s="6"/>
      <c r="AM107" s="4"/>
      <c r="AN107" s="320">
        <v>47</v>
      </c>
      <c r="AO107" s="346"/>
      <c r="AP107" s="347"/>
      <c r="AQ107"/>
      <c r="AR107"/>
      <c r="AS107"/>
      <c r="AT107"/>
      <c r="AU107"/>
      <c r="AV107"/>
      <c r="AW107"/>
      <c r="AX107"/>
      <c r="AY107"/>
      <c r="AZ107"/>
      <c r="BA107"/>
      <c r="BB107"/>
      <c r="BC107"/>
      <c r="BD107"/>
      <c r="BE107" s="6"/>
      <c r="BF107" s="4"/>
      <c r="BG107" s="320">
        <v>47</v>
      </c>
      <c r="BH107" s="346"/>
      <c r="BI107" s="347"/>
      <c r="BJ107"/>
      <c r="BK107"/>
      <c r="BL107"/>
      <c r="BM107"/>
      <c r="BN107"/>
      <c r="BO107"/>
      <c r="BP107"/>
      <c r="BQ107"/>
      <c r="BR107"/>
      <c r="BS107"/>
      <c r="BT107"/>
      <c r="BU107"/>
      <c r="BV107"/>
      <c r="BW107"/>
      <c r="BX107" s="6"/>
    </row>
    <row r="108" spans="1:76">
      <c r="A108" s="4"/>
      <c r="B108" s="320">
        <v>48</v>
      </c>
      <c r="C108" s="346"/>
      <c r="D108" s="347"/>
      <c r="E108"/>
      <c r="F108"/>
      <c r="G108"/>
      <c r="H108"/>
      <c r="I108"/>
      <c r="J108"/>
      <c r="K108"/>
      <c r="L108"/>
      <c r="M108"/>
      <c r="N108"/>
      <c r="O108"/>
      <c r="P108"/>
      <c r="Q108"/>
      <c r="R108"/>
      <c r="S108" s="6"/>
      <c r="T108" s="4"/>
      <c r="U108" s="320">
        <v>48</v>
      </c>
      <c r="V108" s="346"/>
      <c r="W108" s="347"/>
      <c r="X108"/>
      <c r="Y108"/>
      <c r="Z108"/>
      <c r="AA108"/>
      <c r="AB108"/>
      <c r="AC108"/>
      <c r="AD108"/>
      <c r="AE108"/>
      <c r="AF108"/>
      <c r="AG108"/>
      <c r="AH108"/>
      <c r="AI108"/>
      <c r="AJ108"/>
      <c r="AK108"/>
      <c r="AL108" s="6"/>
      <c r="AM108" s="4"/>
      <c r="AN108" s="320">
        <v>48</v>
      </c>
      <c r="AO108" s="346"/>
      <c r="AP108" s="347"/>
      <c r="AQ108"/>
      <c r="AR108"/>
      <c r="AS108"/>
      <c r="AT108"/>
      <c r="AU108"/>
      <c r="AV108"/>
      <c r="AW108"/>
      <c r="AX108"/>
      <c r="AY108"/>
      <c r="AZ108"/>
      <c r="BA108"/>
      <c r="BB108"/>
      <c r="BC108"/>
      <c r="BD108"/>
      <c r="BE108" s="6"/>
      <c r="BF108" s="4"/>
      <c r="BG108" s="320">
        <v>48</v>
      </c>
      <c r="BH108" s="346"/>
      <c r="BI108" s="347"/>
      <c r="BJ108"/>
      <c r="BK108"/>
      <c r="BL108"/>
      <c r="BM108"/>
      <c r="BN108"/>
      <c r="BO108"/>
      <c r="BP108"/>
      <c r="BQ108"/>
      <c r="BR108"/>
      <c r="BS108"/>
      <c r="BT108"/>
      <c r="BU108"/>
      <c r="BV108"/>
      <c r="BW108"/>
      <c r="BX108" s="6"/>
    </row>
    <row r="109" spans="1:76">
      <c r="A109" s="4"/>
      <c r="B109" s="320">
        <v>49</v>
      </c>
      <c r="C109" s="346"/>
      <c r="D109" s="347"/>
      <c r="E109"/>
      <c r="F109"/>
      <c r="G109"/>
      <c r="H109"/>
      <c r="I109"/>
      <c r="J109"/>
      <c r="K109"/>
      <c r="L109"/>
      <c r="M109"/>
      <c r="N109"/>
      <c r="O109"/>
      <c r="P109"/>
      <c r="Q109"/>
      <c r="R109"/>
      <c r="S109" s="6"/>
      <c r="T109" s="4"/>
      <c r="U109" s="320">
        <v>49</v>
      </c>
      <c r="V109" s="346"/>
      <c r="W109" s="347"/>
      <c r="X109"/>
      <c r="Y109"/>
      <c r="Z109"/>
      <c r="AA109"/>
      <c r="AB109"/>
      <c r="AC109"/>
      <c r="AD109"/>
      <c r="AE109"/>
      <c r="AF109"/>
      <c r="AG109"/>
      <c r="AH109"/>
      <c r="AI109"/>
      <c r="AJ109"/>
      <c r="AK109"/>
      <c r="AL109" s="6"/>
      <c r="AM109" s="4"/>
      <c r="AN109" s="320">
        <v>49</v>
      </c>
      <c r="AO109" s="346"/>
      <c r="AP109" s="347"/>
      <c r="AQ109"/>
      <c r="AR109"/>
      <c r="AS109"/>
      <c r="AT109"/>
      <c r="AU109"/>
      <c r="AV109"/>
      <c r="AW109"/>
      <c r="AX109"/>
      <c r="AY109"/>
      <c r="AZ109"/>
      <c r="BA109"/>
      <c r="BB109"/>
      <c r="BC109"/>
      <c r="BD109"/>
      <c r="BE109" s="6"/>
      <c r="BF109" s="4"/>
      <c r="BG109" s="320">
        <v>49</v>
      </c>
      <c r="BH109" s="346"/>
      <c r="BI109" s="347"/>
      <c r="BJ109"/>
      <c r="BK109"/>
      <c r="BL109"/>
      <c r="BM109"/>
      <c r="BN109"/>
      <c r="BO109"/>
      <c r="BP109"/>
      <c r="BQ109"/>
      <c r="BR109"/>
      <c r="BS109"/>
      <c r="BT109"/>
      <c r="BU109"/>
      <c r="BV109"/>
      <c r="BW109"/>
      <c r="BX109" s="6"/>
    </row>
    <row r="110" spans="1:76">
      <c r="A110" s="4"/>
      <c r="B110" s="320">
        <v>50</v>
      </c>
      <c r="C110" s="346"/>
      <c r="D110" s="347"/>
      <c r="E110"/>
      <c r="F110"/>
      <c r="G110"/>
      <c r="H110"/>
      <c r="I110"/>
      <c r="J110"/>
      <c r="K110"/>
      <c r="L110"/>
      <c r="M110"/>
      <c r="N110"/>
      <c r="O110"/>
      <c r="P110"/>
      <c r="Q110"/>
      <c r="R110"/>
      <c r="S110" s="6"/>
      <c r="T110" s="4"/>
      <c r="U110" s="320">
        <v>50</v>
      </c>
      <c r="V110" s="346"/>
      <c r="W110" s="347"/>
      <c r="X110"/>
      <c r="Y110"/>
      <c r="Z110"/>
      <c r="AA110"/>
      <c r="AB110"/>
      <c r="AC110"/>
      <c r="AD110"/>
      <c r="AE110"/>
      <c r="AF110"/>
      <c r="AG110"/>
      <c r="AH110"/>
      <c r="AI110"/>
      <c r="AJ110"/>
      <c r="AK110"/>
      <c r="AL110" s="6"/>
      <c r="AM110" s="4"/>
      <c r="AN110" s="320">
        <v>50</v>
      </c>
      <c r="AO110" s="346"/>
      <c r="AP110" s="347"/>
      <c r="AQ110"/>
      <c r="AR110"/>
      <c r="AS110"/>
      <c r="AT110"/>
      <c r="AU110"/>
      <c r="AV110"/>
      <c r="AW110"/>
      <c r="AX110"/>
      <c r="AY110"/>
      <c r="AZ110"/>
      <c r="BA110"/>
      <c r="BB110"/>
      <c r="BC110"/>
      <c r="BD110"/>
      <c r="BE110" s="6"/>
      <c r="BF110" s="4"/>
      <c r="BG110" s="320">
        <v>50</v>
      </c>
      <c r="BH110" s="346"/>
      <c r="BI110" s="347"/>
      <c r="BJ110"/>
      <c r="BK110"/>
      <c r="BL110"/>
      <c r="BM110"/>
      <c r="BN110"/>
      <c r="BO110"/>
      <c r="BP110"/>
      <c r="BQ110"/>
      <c r="BR110"/>
      <c r="BS110"/>
      <c r="BT110"/>
      <c r="BU110"/>
      <c r="BV110"/>
      <c r="BW110"/>
      <c r="BX110" s="6"/>
    </row>
    <row r="111" spans="1:76">
      <c r="A111" s="4"/>
      <c r="B111" s="320">
        <v>51</v>
      </c>
      <c r="C111" s="346"/>
      <c r="D111" s="347"/>
      <c r="E111"/>
      <c r="F111"/>
      <c r="G111"/>
      <c r="H111"/>
      <c r="I111"/>
      <c r="J111"/>
      <c r="K111"/>
      <c r="L111"/>
      <c r="M111"/>
      <c r="N111"/>
      <c r="O111"/>
      <c r="P111"/>
      <c r="Q111"/>
      <c r="R111"/>
      <c r="S111" s="6"/>
      <c r="T111" s="4"/>
      <c r="U111" s="320">
        <v>51</v>
      </c>
      <c r="V111" s="346"/>
      <c r="W111" s="347"/>
      <c r="X111"/>
      <c r="Y111"/>
      <c r="Z111"/>
      <c r="AA111"/>
      <c r="AB111"/>
      <c r="AC111"/>
      <c r="AD111"/>
      <c r="AE111"/>
      <c r="AF111"/>
      <c r="AG111"/>
      <c r="AH111"/>
      <c r="AI111"/>
      <c r="AJ111"/>
      <c r="AK111"/>
      <c r="AL111" s="6"/>
      <c r="AM111" s="4"/>
      <c r="AN111" s="320">
        <v>51</v>
      </c>
      <c r="AO111" s="346"/>
      <c r="AP111" s="347"/>
      <c r="AQ111"/>
      <c r="AR111"/>
      <c r="AS111"/>
      <c r="AT111"/>
      <c r="AU111"/>
      <c r="AV111"/>
      <c r="AW111"/>
      <c r="AX111"/>
      <c r="AY111"/>
      <c r="AZ111"/>
      <c r="BA111"/>
      <c r="BB111"/>
      <c r="BC111"/>
      <c r="BD111"/>
      <c r="BE111" s="6"/>
      <c r="BF111" s="4"/>
      <c r="BG111" s="320">
        <v>51</v>
      </c>
      <c r="BH111" s="346"/>
      <c r="BI111" s="347"/>
      <c r="BJ111"/>
      <c r="BK111"/>
      <c r="BL111"/>
      <c r="BM111"/>
      <c r="BN111"/>
      <c r="BO111"/>
      <c r="BP111"/>
      <c r="BQ111"/>
      <c r="BR111"/>
      <c r="BS111"/>
      <c r="BT111"/>
      <c r="BU111"/>
      <c r="BV111"/>
      <c r="BW111"/>
      <c r="BX111" s="6"/>
    </row>
    <row r="112" spans="1:76">
      <c r="A112" s="4"/>
      <c r="B112" s="320">
        <v>52</v>
      </c>
      <c r="C112" s="346"/>
      <c r="D112" s="347"/>
      <c r="E112"/>
      <c r="F112"/>
      <c r="G112"/>
      <c r="H112"/>
      <c r="I112"/>
      <c r="J112"/>
      <c r="K112"/>
      <c r="L112"/>
      <c r="M112"/>
      <c r="N112"/>
      <c r="O112"/>
      <c r="P112"/>
      <c r="Q112"/>
      <c r="R112"/>
      <c r="S112" s="6"/>
      <c r="T112" s="4"/>
      <c r="U112" s="320">
        <v>52</v>
      </c>
      <c r="V112" s="346"/>
      <c r="W112" s="347"/>
      <c r="X112"/>
      <c r="Y112"/>
      <c r="Z112"/>
      <c r="AA112"/>
      <c r="AB112"/>
      <c r="AC112"/>
      <c r="AD112"/>
      <c r="AE112"/>
      <c r="AF112"/>
      <c r="AG112"/>
      <c r="AH112"/>
      <c r="AI112"/>
      <c r="AJ112"/>
      <c r="AK112"/>
      <c r="AL112" s="6"/>
      <c r="AM112" s="4"/>
      <c r="AN112" s="320">
        <v>52</v>
      </c>
      <c r="AO112" s="346"/>
      <c r="AP112" s="347"/>
      <c r="AQ112"/>
      <c r="AR112"/>
      <c r="AS112"/>
      <c r="AT112"/>
      <c r="AU112"/>
      <c r="AV112"/>
      <c r="AW112"/>
      <c r="AX112"/>
      <c r="AY112"/>
      <c r="AZ112"/>
      <c r="BA112"/>
      <c r="BB112"/>
      <c r="BC112"/>
      <c r="BD112"/>
      <c r="BE112" s="6"/>
      <c r="BF112" s="4"/>
      <c r="BG112" s="320">
        <v>52</v>
      </c>
      <c r="BH112" s="346"/>
      <c r="BI112" s="347"/>
      <c r="BJ112"/>
      <c r="BK112"/>
      <c r="BL112"/>
      <c r="BM112"/>
      <c r="BN112"/>
      <c r="BO112"/>
      <c r="BP112"/>
      <c r="BQ112"/>
      <c r="BR112"/>
      <c r="BS112"/>
      <c r="BT112"/>
      <c r="BU112"/>
      <c r="BV112"/>
      <c r="BW112"/>
      <c r="BX112" s="6"/>
    </row>
    <row r="113" spans="1:76">
      <c r="A113" s="4"/>
      <c r="B113" s="320">
        <v>53</v>
      </c>
      <c r="C113" s="346"/>
      <c r="D113" s="347"/>
      <c r="E113"/>
      <c r="F113"/>
      <c r="G113"/>
      <c r="H113"/>
      <c r="I113"/>
      <c r="J113"/>
      <c r="K113"/>
      <c r="L113"/>
      <c r="M113"/>
      <c r="N113"/>
      <c r="O113"/>
      <c r="P113"/>
      <c r="Q113"/>
      <c r="R113"/>
      <c r="S113" s="6"/>
      <c r="T113" s="4"/>
      <c r="U113" s="320">
        <v>53</v>
      </c>
      <c r="V113" s="346"/>
      <c r="W113" s="347"/>
      <c r="X113"/>
      <c r="Y113"/>
      <c r="Z113"/>
      <c r="AA113"/>
      <c r="AB113"/>
      <c r="AC113"/>
      <c r="AD113"/>
      <c r="AE113"/>
      <c r="AF113"/>
      <c r="AG113"/>
      <c r="AH113"/>
      <c r="AI113"/>
      <c r="AJ113"/>
      <c r="AK113"/>
      <c r="AL113" s="6"/>
      <c r="AM113" s="4"/>
      <c r="AN113" s="320">
        <v>53</v>
      </c>
      <c r="AO113" s="346"/>
      <c r="AP113" s="347"/>
      <c r="AQ113"/>
      <c r="AR113"/>
      <c r="AS113"/>
      <c r="AT113"/>
      <c r="AU113"/>
      <c r="AV113"/>
      <c r="AW113"/>
      <c r="AX113"/>
      <c r="AY113"/>
      <c r="AZ113"/>
      <c r="BA113"/>
      <c r="BB113"/>
      <c r="BC113"/>
      <c r="BD113"/>
      <c r="BE113" s="6"/>
      <c r="BF113" s="4"/>
      <c r="BG113" s="320">
        <v>53</v>
      </c>
      <c r="BH113" s="346"/>
      <c r="BI113" s="347"/>
      <c r="BJ113"/>
      <c r="BK113"/>
      <c r="BL113"/>
      <c r="BM113"/>
      <c r="BN113"/>
      <c r="BO113"/>
      <c r="BP113"/>
      <c r="BQ113"/>
      <c r="BR113"/>
      <c r="BS113"/>
      <c r="BT113"/>
      <c r="BU113"/>
      <c r="BV113"/>
      <c r="BW113"/>
      <c r="BX113" s="6"/>
    </row>
    <row r="114" spans="1:76">
      <c r="A114" s="4"/>
      <c r="B114" s="320">
        <v>54</v>
      </c>
      <c r="C114" s="346"/>
      <c r="D114" s="347"/>
      <c r="E114"/>
      <c r="F114"/>
      <c r="G114"/>
      <c r="H114"/>
      <c r="I114"/>
      <c r="J114"/>
      <c r="K114"/>
      <c r="L114"/>
      <c r="M114"/>
      <c r="N114"/>
      <c r="O114"/>
      <c r="P114"/>
      <c r="Q114"/>
      <c r="R114"/>
      <c r="S114" s="6"/>
      <c r="T114" s="4"/>
      <c r="U114" s="320">
        <v>54</v>
      </c>
      <c r="V114" s="346"/>
      <c r="W114" s="347"/>
      <c r="X114"/>
      <c r="Y114"/>
      <c r="Z114"/>
      <c r="AA114"/>
      <c r="AB114"/>
      <c r="AC114"/>
      <c r="AD114"/>
      <c r="AE114"/>
      <c r="AF114"/>
      <c r="AG114"/>
      <c r="AH114"/>
      <c r="AI114"/>
      <c r="AJ114"/>
      <c r="AK114"/>
      <c r="AL114" s="6"/>
      <c r="AM114" s="4"/>
      <c r="AN114" s="320">
        <v>54</v>
      </c>
      <c r="AO114" s="346"/>
      <c r="AP114" s="347"/>
      <c r="AQ114"/>
      <c r="AR114"/>
      <c r="AS114"/>
      <c r="AT114"/>
      <c r="AU114"/>
      <c r="AV114"/>
      <c r="AW114"/>
      <c r="AX114"/>
      <c r="AY114"/>
      <c r="AZ114"/>
      <c r="BA114"/>
      <c r="BB114"/>
      <c r="BC114"/>
      <c r="BD114"/>
      <c r="BE114" s="6"/>
      <c r="BF114" s="4"/>
      <c r="BG114" s="320">
        <v>54</v>
      </c>
      <c r="BH114" s="346"/>
      <c r="BI114" s="347"/>
      <c r="BJ114"/>
      <c r="BK114"/>
      <c r="BL114"/>
      <c r="BM114"/>
      <c r="BN114"/>
      <c r="BO114"/>
      <c r="BP114"/>
      <c r="BQ114"/>
      <c r="BR114"/>
      <c r="BS114"/>
      <c r="BT114"/>
      <c r="BU114"/>
      <c r="BV114"/>
      <c r="BW114"/>
      <c r="BX114" s="6"/>
    </row>
    <row r="115" spans="1:76">
      <c r="A115" s="4"/>
      <c r="B115" s="320">
        <v>55</v>
      </c>
      <c r="C115" s="346"/>
      <c r="D115" s="347"/>
      <c r="E115"/>
      <c r="F115"/>
      <c r="G115"/>
      <c r="H115"/>
      <c r="I115"/>
      <c r="J115"/>
      <c r="K115"/>
      <c r="L115"/>
      <c r="M115"/>
      <c r="N115"/>
      <c r="O115"/>
      <c r="P115"/>
      <c r="Q115"/>
      <c r="R115"/>
      <c r="S115" s="6"/>
      <c r="T115" s="4"/>
      <c r="U115" s="320">
        <v>55</v>
      </c>
      <c r="V115" s="346"/>
      <c r="W115" s="347"/>
      <c r="X115"/>
      <c r="Y115"/>
      <c r="Z115"/>
      <c r="AA115"/>
      <c r="AB115"/>
      <c r="AC115"/>
      <c r="AD115"/>
      <c r="AE115"/>
      <c r="AF115"/>
      <c r="AG115"/>
      <c r="AH115"/>
      <c r="AI115"/>
      <c r="AJ115"/>
      <c r="AK115"/>
      <c r="AL115" s="6"/>
      <c r="AM115" s="4"/>
      <c r="AN115" s="320">
        <v>55</v>
      </c>
      <c r="AO115" s="346"/>
      <c r="AP115" s="347"/>
      <c r="AQ115"/>
      <c r="AR115"/>
      <c r="AS115"/>
      <c r="AT115"/>
      <c r="AU115"/>
      <c r="AV115"/>
      <c r="AW115"/>
      <c r="AX115"/>
      <c r="AY115"/>
      <c r="AZ115"/>
      <c r="BA115"/>
      <c r="BB115"/>
      <c r="BC115"/>
      <c r="BD115"/>
      <c r="BE115" s="6"/>
      <c r="BF115" s="4"/>
      <c r="BG115" s="320">
        <v>55</v>
      </c>
      <c r="BH115" s="346"/>
      <c r="BI115" s="347"/>
      <c r="BJ115"/>
      <c r="BK115"/>
      <c r="BL115"/>
      <c r="BM115"/>
      <c r="BN115"/>
      <c r="BO115"/>
      <c r="BP115"/>
      <c r="BQ115"/>
      <c r="BR115"/>
      <c r="BS115"/>
      <c r="BT115"/>
      <c r="BU115"/>
      <c r="BV115"/>
      <c r="BW115"/>
      <c r="BX115" s="6"/>
    </row>
    <row r="116" spans="1:76">
      <c r="A116" s="4"/>
      <c r="B116" s="320">
        <v>56</v>
      </c>
      <c r="C116" s="346"/>
      <c r="D116" s="347"/>
      <c r="E116"/>
      <c r="F116"/>
      <c r="G116"/>
      <c r="H116"/>
      <c r="I116"/>
      <c r="J116"/>
      <c r="K116"/>
      <c r="L116"/>
      <c r="M116"/>
      <c r="N116"/>
      <c r="O116"/>
      <c r="P116"/>
      <c r="Q116"/>
      <c r="R116"/>
      <c r="S116" s="6"/>
      <c r="T116" s="4"/>
      <c r="U116" s="320">
        <v>56</v>
      </c>
      <c r="V116" s="346"/>
      <c r="W116" s="347"/>
      <c r="X116"/>
      <c r="Y116"/>
      <c r="Z116"/>
      <c r="AA116"/>
      <c r="AB116"/>
      <c r="AC116"/>
      <c r="AD116"/>
      <c r="AE116"/>
      <c r="AF116"/>
      <c r="AG116"/>
      <c r="AH116"/>
      <c r="AI116"/>
      <c r="AJ116"/>
      <c r="AK116"/>
      <c r="AL116" s="6"/>
      <c r="AM116" s="4"/>
      <c r="AN116" s="320">
        <v>56</v>
      </c>
      <c r="AO116" s="346"/>
      <c r="AP116" s="347"/>
      <c r="AQ116"/>
      <c r="AR116"/>
      <c r="AS116"/>
      <c r="AT116"/>
      <c r="AU116"/>
      <c r="AV116"/>
      <c r="AW116"/>
      <c r="AX116"/>
      <c r="AY116"/>
      <c r="AZ116"/>
      <c r="BA116"/>
      <c r="BB116"/>
      <c r="BC116"/>
      <c r="BD116"/>
      <c r="BE116" s="6"/>
      <c r="BF116" s="4"/>
      <c r="BG116" s="320">
        <v>56</v>
      </c>
      <c r="BH116" s="346"/>
      <c r="BI116" s="347"/>
      <c r="BJ116"/>
      <c r="BK116"/>
      <c r="BL116"/>
      <c r="BM116"/>
      <c r="BN116"/>
      <c r="BO116"/>
      <c r="BP116"/>
      <c r="BQ116"/>
      <c r="BR116"/>
      <c r="BS116"/>
      <c r="BT116"/>
      <c r="BU116"/>
      <c r="BV116"/>
      <c r="BW116"/>
      <c r="BX116" s="6"/>
    </row>
    <row r="117" spans="1:76">
      <c r="A117" s="4"/>
      <c r="B117" s="320">
        <v>57</v>
      </c>
      <c r="C117" s="346"/>
      <c r="D117" s="347"/>
      <c r="E117"/>
      <c r="F117"/>
      <c r="G117"/>
      <c r="H117"/>
      <c r="I117"/>
      <c r="J117"/>
      <c r="K117"/>
      <c r="L117"/>
      <c r="M117"/>
      <c r="N117"/>
      <c r="O117"/>
      <c r="P117"/>
      <c r="Q117"/>
      <c r="R117"/>
      <c r="S117" s="6"/>
      <c r="T117" s="4"/>
      <c r="U117" s="320">
        <v>57</v>
      </c>
      <c r="V117" s="346"/>
      <c r="W117" s="347"/>
      <c r="X117"/>
      <c r="Y117"/>
      <c r="Z117"/>
      <c r="AA117"/>
      <c r="AB117"/>
      <c r="AC117"/>
      <c r="AD117"/>
      <c r="AE117"/>
      <c r="AF117"/>
      <c r="AG117"/>
      <c r="AH117"/>
      <c r="AI117"/>
      <c r="AJ117"/>
      <c r="AK117"/>
      <c r="AL117" s="6"/>
      <c r="AM117" s="4"/>
      <c r="AN117" s="320">
        <v>57</v>
      </c>
      <c r="AO117" s="346"/>
      <c r="AP117" s="347"/>
      <c r="AQ117"/>
      <c r="AR117"/>
      <c r="AS117"/>
      <c r="AT117"/>
      <c r="AU117"/>
      <c r="AV117"/>
      <c r="AW117"/>
      <c r="AX117"/>
      <c r="AY117"/>
      <c r="AZ117"/>
      <c r="BA117"/>
      <c r="BB117"/>
      <c r="BC117"/>
      <c r="BD117"/>
      <c r="BE117" s="6"/>
      <c r="BF117" s="4"/>
      <c r="BG117" s="320">
        <v>57</v>
      </c>
      <c r="BH117" s="346"/>
      <c r="BI117" s="347"/>
      <c r="BJ117"/>
      <c r="BK117"/>
      <c r="BL117"/>
      <c r="BM117"/>
      <c r="BN117"/>
      <c r="BO117"/>
      <c r="BP117"/>
      <c r="BQ117"/>
      <c r="BR117"/>
      <c r="BS117"/>
      <c r="BT117"/>
      <c r="BU117"/>
      <c r="BV117"/>
      <c r="BW117"/>
      <c r="BX117" s="6"/>
    </row>
    <row r="118" spans="1:76">
      <c r="A118" s="4"/>
      <c r="B118" s="320">
        <v>58</v>
      </c>
      <c r="C118" s="346"/>
      <c r="D118" s="347"/>
      <c r="E118"/>
      <c r="F118"/>
      <c r="G118"/>
      <c r="H118"/>
      <c r="I118"/>
      <c r="J118"/>
      <c r="K118"/>
      <c r="L118"/>
      <c r="M118"/>
      <c r="N118"/>
      <c r="O118"/>
      <c r="P118"/>
      <c r="Q118"/>
      <c r="R118"/>
      <c r="S118" s="6"/>
      <c r="T118" s="4"/>
      <c r="U118" s="320">
        <v>58</v>
      </c>
      <c r="V118" s="346"/>
      <c r="W118" s="347"/>
      <c r="X118"/>
      <c r="Y118"/>
      <c r="Z118"/>
      <c r="AA118"/>
      <c r="AB118"/>
      <c r="AC118"/>
      <c r="AD118"/>
      <c r="AE118"/>
      <c r="AF118"/>
      <c r="AG118"/>
      <c r="AH118"/>
      <c r="AI118"/>
      <c r="AJ118"/>
      <c r="AK118"/>
      <c r="AL118" s="6"/>
      <c r="AM118" s="4"/>
      <c r="AN118" s="320">
        <v>58</v>
      </c>
      <c r="AO118" s="346"/>
      <c r="AP118" s="347"/>
      <c r="AQ118"/>
      <c r="AR118"/>
      <c r="AS118"/>
      <c r="AT118"/>
      <c r="AU118"/>
      <c r="AV118"/>
      <c r="AW118"/>
      <c r="AX118"/>
      <c r="AY118"/>
      <c r="AZ118"/>
      <c r="BA118"/>
      <c r="BB118"/>
      <c r="BC118"/>
      <c r="BD118"/>
      <c r="BE118" s="6"/>
      <c r="BF118" s="4"/>
      <c r="BG118" s="320">
        <v>58</v>
      </c>
      <c r="BH118" s="346"/>
      <c r="BI118" s="347"/>
      <c r="BJ118"/>
      <c r="BK118"/>
      <c r="BL118"/>
      <c r="BM118"/>
      <c r="BN118"/>
      <c r="BO118"/>
      <c r="BP118"/>
      <c r="BQ118"/>
      <c r="BR118"/>
      <c r="BS118"/>
      <c r="BT118"/>
      <c r="BU118"/>
      <c r="BV118"/>
      <c r="BW118"/>
      <c r="BX118" s="6"/>
    </row>
    <row r="119" spans="1:76">
      <c r="A119" s="4"/>
      <c r="B119" s="320">
        <v>59</v>
      </c>
      <c r="C119" s="346"/>
      <c r="D119" s="347"/>
      <c r="E119"/>
      <c r="F119"/>
      <c r="G119"/>
      <c r="H119"/>
      <c r="I119"/>
      <c r="J119"/>
      <c r="K119"/>
      <c r="L119"/>
      <c r="M119"/>
      <c r="N119"/>
      <c r="O119"/>
      <c r="P119"/>
      <c r="Q119"/>
      <c r="R119"/>
      <c r="S119" s="6"/>
      <c r="T119" s="4"/>
      <c r="U119" s="320">
        <v>59</v>
      </c>
      <c r="V119" s="346"/>
      <c r="W119" s="347"/>
      <c r="X119"/>
      <c r="Y119"/>
      <c r="Z119"/>
      <c r="AA119"/>
      <c r="AB119"/>
      <c r="AC119"/>
      <c r="AD119"/>
      <c r="AE119"/>
      <c r="AF119"/>
      <c r="AG119"/>
      <c r="AH119"/>
      <c r="AI119"/>
      <c r="AJ119"/>
      <c r="AK119"/>
      <c r="AL119" s="6"/>
      <c r="AM119" s="4"/>
      <c r="AN119" s="320">
        <v>59</v>
      </c>
      <c r="AO119" s="346"/>
      <c r="AP119" s="347"/>
      <c r="AQ119"/>
      <c r="AR119"/>
      <c r="AS119"/>
      <c r="AT119"/>
      <c r="AU119"/>
      <c r="AV119"/>
      <c r="AW119"/>
      <c r="AX119"/>
      <c r="AY119"/>
      <c r="AZ119"/>
      <c r="BA119"/>
      <c r="BB119"/>
      <c r="BC119"/>
      <c r="BD119"/>
      <c r="BE119" s="6"/>
      <c r="BF119" s="4"/>
      <c r="BG119" s="320">
        <v>59</v>
      </c>
      <c r="BH119" s="346"/>
      <c r="BI119" s="347"/>
      <c r="BJ119"/>
      <c r="BK119"/>
      <c r="BL119"/>
      <c r="BM119"/>
      <c r="BN119"/>
      <c r="BO119"/>
      <c r="BP119"/>
      <c r="BQ119"/>
      <c r="BR119"/>
      <c r="BS119"/>
      <c r="BT119"/>
      <c r="BU119"/>
      <c r="BV119"/>
      <c r="BW119"/>
      <c r="BX119" s="6"/>
    </row>
    <row r="120" spans="1:76">
      <c r="A120" s="4"/>
      <c r="B120" s="320">
        <v>60</v>
      </c>
      <c r="C120" s="346"/>
      <c r="D120" s="347"/>
      <c r="E120"/>
      <c r="F120"/>
      <c r="G120"/>
      <c r="H120"/>
      <c r="I120"/>
      <c r="J120"/>
      <c r="K120"/>
      <c r="L120"/>
      <c r="M120"/>
      <c r="N120"/>
      <c r="O120"/>
      <c r="P120"/>
      <c r="Q120"/>
      <c r="R120"/>
      <c r="S120" s="6"/>
      <c r="T120" s="4"/>
      <c r="U120" s="320">
        <v>60</v>
      </c>
      <c r="V120" s="346"/>
      <c r="W120" s="347"/>
      <c r="X120"/>
      <c r="Y120"/>
      <c r="Z120"/>
      <c r="AA120"/>
      <c r="AB120"/>
      <c r="AC120"/>
      <c r="AD120"/>
      <c r="AE120"/>
      <c r="AF120"/>
      <c r="AG120"/>
      <c r="AH120"/>
      <c r="AI120"/>
      <c r="AJ120"/>
      <c r="AK120"/>
      <c r="AL120" s="6"/>
      <c r="AM120" s="4"/>
      <c r="AN120" s="320">
        <v>60</v>
      </c>
      <c r="AO120" s="346"/>
      <c r="AP120" s="347"/>
      <c r="AQ120"/>
      <c r="AR120"/>
      <c r="AS120"/>
      <c r="AT120"/>
      <c r="AU120"/>
      <c r="AV120"/>
      <c r="AW120"/>
      <c r="AX120"/>
      <c r="AY120"/>
      <c r="AZ120"/>
      <c r="BA120"/>
      <c r="BB120"/>
      <c r="BC120"/>
      <c r="BD120"/>
      <c r="BE120" s="6"/>
      <c r="BF120" s="4"/>
      <c r="BG120" s="320">
        <v>60</v>
      </c>
      <c r="BH120" s="346"/>
      <c r="BI120" s="347"/>
      <c r="BJ120"/>
      <c r="BK120"/>
      <c r="BL120"/>
      <c r="BM120"/>
      <c r="BN120"/>
      <c r="BO120"/>
      <c r="BP120"/>
      <c r="BQ120"/>
      <c r="BR120"/>
      <c r="BS120"/>
      <c r="BT120"/>
      <c r="BU120"/>
      <c r="BV120"/>
      <c r="BW120"/>
      <c r="BX120" s="6"/>
    </row>
    <row r="121" spans="1:76">
      <c r="A121" s="4"/>
      <c r="B121" s="320">
        <v>61</v>
      </c>
      <c r="C121" s="346"/>
      <c r="D121" s="347"/>
      <c r="E121"/>
      <c r="F121"/>
      <c r="G121"/>
      <c r="H121"/>
      <c r="I121"/>
      <c r="J121"/>
      <c r="K121"/>
      <c r="L121"/>
      <c r="M121"/>
      <c r="N121"/>
      <c r="O121"/>
      <c r="P121"/>
      <c r="Q121"/>
      <c r="R121"/>
      <c r="S121" s="6"/>
      <c r="T121" s="4"/>
      <c r="U121" s="320">
        <v>61</v>
      </c>
      <c r="V121" s="346"/>
      <c r="W121" s="347"/>
      <c r="X121"/>
      <c r="Y121"/>
      <c r="Z121"/>
      <c r="AA121"/>
      <c r="AB121"/>
      <c r="AC121"/>
      <c r="AD121"/>
      <c r="AE121"/>
      <c r="AF121"/>
      <c r="AG121"/>
      <c r="AH121"/>
      <c r="AI121"/>
      <c r="AJ121"/>
      <c r="AK121"/>
      <c r="AL121" s="6"/>
      <c r="AM121" s="4"/>
      <c r="AN121" s="320">
        <v>61</v>
      </c>
      <c r="AO121" s="346"/>
      <c r="AP121" s="347"/>
      <c r="AQ121"/>
      <c r="AR121"/>
      <c r="AS121"/>
      <c r="AT121"/>
      <c r="AU121"/>
      <c r="AV121"/>
      <c r="AW121"/>
      <c r="AX121"/>
      <c r="AY121"/>
      <c r="AZ121"/>
      <c r="BA121"/>
      <c r="BB121"/>
      <c r="BC121"/>
      <c r="BD121"/>
      <c r="BE121" s="6"/>
      <c r="BF121" s="4"/>
      <c r="BG121" s="320">
        <v>61</v>
      </c>
      <c r="BH121" s="346"/>
      <c r="BI121" s="347"/>
      <c r="BJ121"/>
      <c r="BK121"/>
      <c r="BL121"/>
      <c r="BM121"/>
      <c r="BN121"/>
      <c r="BO121"/>
      <c r="BP121"/>
      <c r="BQ121"/>
      <c r="BR121"/>
      <c r="BS121"/>
      <c r="BT121"/>
      <c r="BU121"/>
      <c r="BV121"/>
      <c r="BW121"/>
      <c r="BX121" s="6"/>
    </row>
    <row r="122" spans="1:76">
      <c r="A122" s="4"/>
      <c r="B122" s="320">
        <v>62</v>
      </c>
      <c r="C122" s="346"/>
      <c r="D122" s="347"/>
      <c r="E122"/>
      <c r="F122"/>
      <c r="G122"/>
      <c r="H122"/>
      <c r="I122"/>
      <c r="J122"/>
      <c r="K122"/>
      <c r="L122"/>
      <c r="M122"/>
      <c r="N122"/>
      <c r="O122"/>
      <c r="P122"/>
      <c r="Q122"/>
      <c r="R122"/>
      <c r="S122" s="6"/>
      <c r="T122" s="4"/>
      <c r="U122" s="320">
        <v>62</v>
      </c>
      <c r="V122" s="346"/>
      <c r="W122" s="347"/>
      <c r="X122"/>
      <c r="Y122"/>
      <c r="Z122"/>
      <c r="AA122"/>
      <c r="AB122"/>
      <c r="AC122"/>
      <c r="AD122"/>
      <c r="AE122"/>
      <c r="AF122"/>
      <c r="AG122"/>
      <c r="AH122"/>
      <c r="AI122"/>
      <c r="AJ122"/>
      <c r="AK122"/>
      <c r="AL122" s="6"/>
      <c r="AM122" s="4"/>
      <c r="AN122" s="320">
        <v>62</v>
      </c>
      <c r="AO122" s="346"/>
      <c r="AP122" s="347"/>
      <c r="AQ122"/>
      <c r="AR122"/>
      <c r="AS122"/>
      <c r="AT122"/>
      <c r="AU122"/>
      <c r="AV122"/>
      <c r="AW122"/>
      <c r="AX122"/>
      <c r="AY122"/>
      <c r="AZ122"/>
      <c r="BA122"/>
      <c r="BB122"/>
      <c r="BC122"/>
      <c r="BD122"/>
      <c r="BE122" s="6"/>
      <c r="BF122" s="4"/>
      <c r="BG122" s="320">
        <v>62</v>
      </c>
      <c r="BH122" s="346"/>
      <c r="BI122" s="347"/>
      <c r="BJ122"/>
      <c r="BK122"/>
      <c r="BL122"/>
      <c r="BM122"/>
      <c r="BN122"/>
      <c r="BO122"/>
      <c r="BP122"/>
      <c r="BQ122"/>
      <c r="BR122"/>
      <c r="BS122"/>
      <c r="BT122"/>
      <c r="BU122"/>
      <c r="BV122"/>
      <c r="BW122"/>
      <c r="BX122" s="6"/>
    </row>
    <row r="123" spans="1:76">
      <c r="A123" s="4"/>
      <c r="B123" s="320">
        <v>63</v>
      </c>
      <c r="C123" s="346"/>
      <c r="D123" s="347"/>
      <c r="E123"/>
      <c r="F123"/>
      <c r="G123"/>
      <c r="H123"/>
      <c r="I123"/>
      <c r="J123"/>
      <c r="K123"/>
      <c r="L123"/>
      <c r="M123"/>
      <c r="N123"/>
      <c r="O123"/>
      <c r="P123"/>
      <c r="Q123"/>
      <c r="R123"/>
      <c r="S123" s="6"/>
      <c r="T123" s="4"/>
      <c r="U123" s="320">
        <v>63</v>
      </c>
      <c r="V123" s="346"/>
      <c r="W123" s="347"/>
      <c r="X123"/>
      <c r="Y123"/>
      <c r="Z123"/>
      <c r="AA123"/>
      <c r="AB123"/>
      <c r="AC123"/>
      <c r="AD123"/>
      <c r="AE123"/>
      <c r="AF123"/>
      <c r="AG123"/>
      <c r="AH123"/>
      <c r="AI123"/>
      <c r="AJ123"/>
      <c r="AK123"/>
      <c r="AL123" s="6"/>
      <c r="AM123" s="4"/>
      <c r="AN123" s="320">
        <v>63</v>
      </c>
      <c r="AO123" s="346"/>
      <c r="AP123" s="347"/>
      <c r="AQ123"/>
      <c r="AR123"/>
      <c r="AS123"/>
      <c r="AT123"/>
      <c r="AU123"/>
      <c r="AV123"/>
      <c r="AW123"/>
      <c r="AX123"/>
      <c r="AY123"/>
      <c r="AZ123"/>
      <c r="BA123"/>
      <c r="BB123"/>
      <c r="BC123"/>
      <c r="BD123"/>
      <c r="BE123" s="6"/>
      <c r="BF123" s="4"/>
      <c r="BG123" s="320">
        <v>63</v>
      </c>
      <c r="BH123" s="346"/>
      <c r="BI123" s="347"/>
      <c r="BJ123"/>
      <c r="BK123"/>
      <c r="BL123"/>
      <c r="BM123"/>
      <c r="BN123"/>
      <c r="BO123"/>
      <c r="BP123"/>
      <c r="BQ123"/>
      <c r="BR123"/>
      <c r="BS123"/>
      <c r="BT123"/>
      <c r="BU123"/>
      <c r="BV123"/>
      <c r="BW123"/>
      <c r="BX123" s="6"/>
    </row>
    <row r="124" spans="1:76">
      <c r="A124" s="4"/>
      <c r="B124" s="320">
        <v>64</v>
      </c>
      <c r="C124" s="346"/>
      <c r="D124" s="347"/>
      <c r="E124"/>
      <c r="F124"/>
      <c r="G124"/>
      <c r="H124"/>
      <c r="I124"/>
      <c r="J124"/>
      <c r="K124"/>
      <c r="L124"/>
      <c r="M124"/>
      <c r="N124"/>
      <c r="O124"/>
      <c r="P124"/>
      <c r="Q124"/>
      <c r="R124"/>
      <c r="S124" s="6"/>
      <c r="T124" s="4"/>
      <c r="U124" s="320">
        <v>64</v>
      </c>
      <c r="V124" s="346"/>
      <c r="W124" s="347"/>
      <c r="X124"/>
      <c r="Y124"/>
      <c r="Z124"/>
      <c r="AA124"/>
      <c r="AB124"/>
      <c r="AC124"/>
      <c r="AD124"/>
      <c r="AE124"/>
      <c r="AF124"/>
      <c r="AG124"/>
      <c r="AH124"/>
      <c r="AI124"/>
      <c r="AJ124"/>
      <c r="AK124"/>
      <c r="AL124" s="6"/>
      <c r="AM124" s="4"/>
      <c r="AN124" s="320">
        <v>64</v>
      </c>
      <c r="AO124" s="346"/>
      <c r="AP124" s="347"/>
      <c r="AQ124"/>
      <c r="AR124"/>
      <c r="AS124"/>
      <c r="AT124"/>
      <c r="AU124"/>
      <c r="AV124"/>
      <c r="AW124"/>
      <c r="AX124"/>
      <c r="AY124"/>
      <c r="AZ124"/>
      <c r="BA124"/>
      <c r="BB124"/>
      <c r="BC124"/>
      <c r="BD124"/>
      <c r="BE124" s="6"/>
      <c r="BF124" s="4"/>
      <c r="BG124" s="320">
        <v>64</v>
      </c>
      <c r="BH124" s="346"/>
      <c r="BI124" s="347"/>
      <c r="BJ124"/>
      <c r="BK124"/>
      <c r="BL124"/>
      <c r="BM124"/>
      <c r="BN124"/>
      <c r="BO124"/>
      <c r="BP124"/>
      <c r="BQ124"/>
      <c r="BR124"/>
      <c r="BS124"/>
      <c r="BT124"/>
      <c r="BU124"/>
      <c r="BV124"/>
      <c r="BW124"/>
      <c r="BX124" s="6"/>
    </row>
    <row r="125" spans="1:76">
      <c r="A125" s="4"/>
      <c r="B125" s="320">
        <v>65</v>
      </c>
      <c r="C125" s="346"/>
      <c r="D125" s="347"/>
      <c r="E125"/>
      <c r="F125"/>
      <c r="G125"/>
      <c r="H125"/>
      <c r="I125"/>
      <c r="J125"/>
      <c r="K125"/>
      <c r="L125"/>
      <c r="M125"/>
      <c r="N125"/>
      <c r="O125"/>
      <c r="P125"/>
      <c r="Q125"/>
      <c r="R125"/>
      <c r="S125" s="6"/>
      <c r="T125" s="4"/>
      <c r="U125" s="320">
        <v>65</v>
      </c>
      <c r="V125" s="346"/>
      <c r="W125" s="347"/>
      <c r="X125"/>
      <c r="Y125"/>
      <c r="Z125"/>
      <c r="AA125"/>
      <c r="AB125"/>
      <c r="AC125"/>
      <c r="AD125"/>
      <c r="AE125"/>
      <c r="AF125"/>
      <c r="AG125"/>
      <c r="AH125"/>
      <c r="AI125"/>
      <c r="AJ125"/>
      <c r="AK125"/>
      <c r="AL125" s="6"/>
      <c r="AM125" s="4"/>
      <c r="AN125" s="320">
        <v>65</v>
      </c>
      <c r="AO125" s="346"/>
      <c r="AP125" s="347"/>
      <c r="AQ125"/>
      <c r="AR125"/>
      <c r="AS125"/>
      <c r="AT125"/>
      <c r="AU125"/>
      <c r="AV125"/>
      <c r="AW125"/>
      <c r="AX125"/>
      <c r="AY125"/>
      <c r="AZ125"/>
      <c r="BA125"/>
      <c r="BB125"/>
      <c r="BC125"/>
      <c r="BD125"/>
      <c r="BE125" s="6"/>
      <c r="BF125" s="4"/>
      <c r="BG125" s="320">
        <v>65</v>
      </c>
      <c r="BH125" s="346"/>
      <c r="BI125" s="347"/>
      <c r="BJ125"/>
      <c r="BK125"/>
      <c r="BL125"/>
      <c r="BM125"/>
      <c r="BN125"/>
      <c r="BO125"/>
      <c r="BP125"/>
      <c r="BQ125"/>
      <c r="BR125"/>
      <c r="BS125"/>
      <c r="BT125"/>
      <c r="BU125"/>
      <c r="BV125"/>
      <c r="BW125"/>
      <c r="BX125" s="6"/>
    </row>
    <row r="126" spans="1:76">
      <c r="A126" s="4"/>
      <c r="B126" s="320">
        <v>66</v>
      </c>
      <c r="C126" s="346"/>
      <c r="D126" s="347"/>
      <c r="E126"/>
      <c r="F126"/>
      <c r="G126"/>
      <c r="H126"/>
      <c r="I126"/>
      <c r="J126"/>
      <c r="K126"/>
      <c r="L126"/>
      <c r="M126"/>
      <c r="N126"/>
      <c r="O126"/>
      <c r="P126"/>
      <c r="Q126"/>
      <c r="R126"/>
      <c r="S126" s="6"/>
      <c r="T126" s="4"/>
      <c r="U126" s="320">
        <v>66</v>
      </c>
      <c r="V126" s="346"/>
      <c r="W126" s="347"/>
      <c r="X126"/>
      <c r="Y126"/>
      <c r="Z126"/>
      <c r="AA126"/>
      <c r="AB126"/>
      <c r="AC126"/>
      <c r="AD126"/>
      <c r="AE126"/>
      <c r="AF126"/>
      <c r="AG126"/>
      <c r="AH126"/>
      <c r="AI126"/>
      <c r="AJ126"/>
      <c r="AK126"/>
      <c r="AL126" s="6"/>
      <c r="AM126" s="4"/>
      <c r="AN126" s="320">
        <v>66</v>
      </c>
      <c r="AO126" s="346"/>
      <c r="AP126" s="347"/>
      <c r="AQ126"/>
      <c r="AR126"/>
      <c r="AS126"/>
      <c r="AT126"/>
      <c r="AU126"/>
      <c r="AV126"/>
      <c r="AW126"/>
      <c r="AX126"/>
      <c r="AY126"/>
      <c r="AZ126"/>
      <c r="BA126"/>
      <c r="BB126"/>
      <c r="BC126"/>
      <c r="BD126"/>
      <c r="BE126" s="6"/>
      <c r="BF126" s="4"/>
      <c r="BG126" s="320">
        <v>66</v>
      </c>
      <c r="BH126" s="346"/>
      <c r="BI126" s="347"/>
      <c r="BJ126"/>
      <c r="BK126"/>
      <c r="BL126"/>
      <c r="BM126"/>
      <c r="BN126"/>
      <c r="BO126"/>
      <c r="BP126"/>
      <c r="BQ126"/>
      <c r="BR126"/>
      <c r="BS126"/>
      <c r="BT126"/>
      <c r="BU126"/>
      <c r="BV126"/>
      <c r="BW126"/>
      <c r="BX126" s="6"/>
    </row>
    <row r="127" spans="1:76">
      <c r="A127" s="4"/>
      <c r="B127" s="320">
        <v>67</v>
      </c>
      <c r="C127" s="346"/>
      <c r="D127" s="347"/>
      <c r="E127"/>
      <c r="F127"/>
      <c r="G127"/>
      <c r="H127"/>
      <c r="I127"/>
      <c r="J127"/>
      <c r="K127"/>
      <c r="L127"/>
      <c r="M127"/>
      <c r="N127"/>
      <c r="O127"/>
      <c r="P127"/>
      <c r="Q127"/>
      <c r="R127"/>
      <c r="S127" s="6"/>
      <c r="T127" s="4"/>
      <c r="U127" s="320">
        <v>67</v>
      </c>
      <c r="V127" s="346"/>
      <c r="W127" s="347"/>
      <c r="X127"/>
      <c r="Y127"/>
      <c r="Z127"/>
      <c r="AA127"/>
      <c r="AB127"/>
      <c r="AC127"/>
      <c r="AD127"/>
      <c r="AE127"/>
      <c r="AF127"/>
      <c r="AG127"/>
      <c r="AH127"/>
      <c r="AI127"/>
      <c r="AJ127"/>
      <c r="AK127"/>
      <c r="AL127" s="6"/>
      <c r="AM127" s="4"/>
      <c r="AN127" s="320">
        <v>67</v>
      </c>
      <c r="AO127" s="346"/>
      <c r="AP127" s="347"/>
      <c r="AQ127"/>
      <c r="AR127"/>
      <c r="AS127"/>
      <c r="AT127"/>
      <c r="AU127"/>
      <c r="AV127"/>
      <c r="AW127"/>
      <c r="AX127"/>
      <c r="AY127"/>
      <c r="AZ127"/>
      <c r="BA127"/>
      <c r="BB127"/>
      <c r="BC127"/>
      <c r="BD127"/>
      <c r="BE127" s="6"/>
      <c r="BF127" s="4"/>
      <c r="BG127" s="320">
        <v>67</v>
      </c>
      <c r="BH127" s="346"/>
      <c r="BI127" s="347"/>
      <c r="BJ127"/>
      <c r="BK127"/>
      <c r="BL127"/>
      <c r="BM127"/>
      <c r="BN127"/>
      <c r="BO127"/>
      <c r="BP127"/>
      <c r="BQ127"/>
      <c r="BR127"/>
      <c r="BS127"/>
      <c r="BT127"/>
      <c r="BU127"/>
      <c r="BV127"/>
      <c r="BW127"/>
      <c r="BX127" s="6"/>
    </row>
    <row r="128" spans="1:76">
      <c r="A128" s="4"/>
      <c r="B128" s="320">
        <v>68</v>
      </c>
      <c r="C128" s="346"/>
      <c r="D128" s="347"/>
      <c r="E128"/>
      <c r="F128"/>
      <c r="G128"/>
      <c r="H128"/>
      <c r="I128"/>
      <c r="J128"/>
      <c r="K128"/>
      <c r="L128"/>
      <c r="M128"/>
      <c r="N128"/>
      <c r="O128"/>
      <c r="P128"/>
      <c r="Q128"/>
      <c r="R128"/>
      <c r="S128" s="6"/>
      <c r="T128" s="4"/>
      <c r="U128" s="320">
        <v>68</v>
      </c>
      <c r="V128" s="346"/>
      <c r="W128" s="347"/>
      <c r="X128"/>
      <c r="Y128"/>
      <c r="Z128"/>
      <c r="AA128"/>
      <c r="AB128"/>
      <c r="AC128"/>
      <c r="AD128"/>
      <c r="AE128"/>
      <c r="AF128"/>
      <c r="AG128"/>
      <c r="AH128"/>
      <c r="AI128"/>
      <c r="AJ128"/>
      <c r="AK128"/>
      <c r="AL128" s="6"/>
      <c r="AM128" s="4"/>
      <c r="AN128" s="320">
        <v>68</v>
      </c>
      <c r="AO128" s="346"/>
      <c r="AP128" s="347"/>
      <c r="AQ128"/>
      <c r="AR128"/>
      <c r="AS128"/>
      <c r="AT128"/>
      <c r="AU128"/>
      <c r="AV128"/>
      <c r="AW128"/>
      <c r="AX128"/>
      <c r="AY128"/>
      <c r="AZ128"/>
      <c r="BA128"/>
      <c r="BB128"/>
      <c r="BC128"/>
      <c r="BD128"/>
      <c r="BE128" s="6"/>
      <c r="BF128" s="4"/>
      <c r="BG128" s="320">
        <v>68</v>
      </c>
      <c r="BH128" s="346"/>
      <c r="BI128" s="347"/>
      <c r="BJ128"/>
      <c r="BK128"/>
      <c r="BL128"/>
      <c r="BM128"/>
      <c r="BN128"/>
      <c r="BO128"/>
      <c r="BP128"/>
      <c r="BQ128"/>
      <c r="BR128"/>
      <c r="BS128"/>
      <c r="BT128"/>
      <c r="BU128"/>
      <c r="BV128"/>
      <c r="BW128"/>
      <c r="BX128" s="6"/>
    </row>
    <row r="129" spans="1:76">
      <c r="A129" s="4"/>
      <c r="B129" s="320">
        <v>69</v>
      </c>
      <c r="C129" s="346"/>
      <c r="D129" s="347"/>
      <c r="E129"/>
      <c r="F129"/>
      <c r="G129"/>
      <c r="H129"/>
      <c r="I129"/>
      <c r="J129"/>
      <c r="K129"/>
      <c r="L129"/>
      <c r="M129"/>
      <c r="N129"/>
      <c r="O129"/>
      <c r="P129"/>
      <c r="Q129"/>
      <c r="R129"/>
      <c r="S129" s="6"/>
      <c r="T129" s="4"/>
      <c r="U129" s="320">
        <v>69</v>
      </c>
      <c r="V129" s="346"/>
      <c r="W129" s="347"/>
      <c r="X129"/>
      <c r="Y129"/>
      <c r="Z129"/>
      <c r="AA129"/>
      <c r="AB129"/>
      <c r="AC129"/>
      <c r="AD129"/>
      <c r="AE129"/>
      <c r="AF129"/>
      <c r="AG129"/>
      <c r="AH129"/>
      <c r="AI129"/>
      <c r="AJ129"/>
      <c r="AK129"/>
      <c r="AL129" s="6"/>
      <c r="AM129" s="4"/>
      <c r="AN129" s="320">
        <v>69</v>
      </c>
      <c r="AO129" s="346"/>
      <c r="AP129" s="347"/>
      <c r="AQ129"/>
      <c r="AR129"/>
      <c r="AS129"/>
      <c r="AT129"/>
      <c r="AU129"/>
      <c r="AV129"/>
      <c r="AW129"/>
      <c r="AX129"/>
      <c r="AY129"/>
      <c r="AZ129"/>
      <c r="BA129"/>
      <c r="BB129"/>
      <c r="BC129"/>
      <c r="BD129"/>
      <c r="BE129" s="6"/>
      <c r="BF129" s="4"/>
      <c r="BG129" s="320">
        <v>69</v>
      </c>
      <c r="BH129" s="346"/>
      <c r="BI129" s="347"/>
      <c r="BJ129"/>
      <c r="BK129"/>
      <c r="BL129"/>
      <c r="BM129"/>
      <c r="BN129"/>
      <c r="BO129"/>
      <c r="BP129"/>
      <c r="BQ129"/>
      <c r="BR129"/>
      <c r="BS129"/>
      <c r="BT129"/>
      <c r="BU129"/>
      <c r="BV129"/>
      <c r="BW129"/>
      <c r="BX129" s="6"/>
    </row>
    <row r="130" spans="1:76">
      <c r="A130" s="4"/>
      <c r="B130" s="320">
        <v>70</v>
      </c>
      <c r="C130" s="346"/>
      <c r="D130" s="347"/>
      <c r="E130"/>
      <c r="F130"/>
      <c r="G130"/>
      <c r="H130"/>
      <c r="I130"/>
      <c r="J130"/>
      <c r="K130"/>
      <c r="L130"/>
      <c r="M130"/>
      <c r="N130"/>
      <c r="O130"/>
      <c r="P130"/>
      <c r="Q130"/>
      <c r="R130"/>
      <c r="S130" s="6"/>
      <c r="T130" s="4"/>
      <c r="U130" s="320">
        <v>70</v>
      </c>
      <c r="V130" s="346"/>
      <c r="W130" s="347"/>
      <c r="X130"/>
      <c r="Y130"/>
      <c r="Z130"/>
      <c r="AA130"/>
      <c r="AB130"/>
      <c r="AC130"/>
      <c r="AD130"/>
      <c r="AE130"/>
      <c r="AF130"/>
      <c r="AG130"/>
      <c r="AH130"/>
      <c r="AI130"/>
      <c r="AJ130"/>
      <c r="AK130"/>
      <c r="AL130" s="6"/>
      <c r="AM130" s="4"/>
      <c r="AN130" s="320">
        <v>70</v>
      </c>
      <c r="AO130" s="346"/>
      <c r="AP130" s="347"/>
      <c r="AQ130"/>
      <c r="AR130"/>
      <c r="AS130"/>
      <c r="AT130"/>
      <c r="AU130"/>
      <c r="AV130"/>
      <c r="AW130"/>
      <c r="AX130"/>
      <c r="AY130"/>
      <c r="AZ130"/>
      <c r="BA130"/>
      <c r="BB130"/>
      <c r="BC130"/>
      <c r="BD130"/>
      <c r="BE130" s="6"/>
      <c r="BF130" s="4"/>
      <c r="BG130" s="320">
        <v>70</v>
      </c>
      <c r="BH130" s="346"/>
      <c r="BI130" s="347"/>
      <c r="BJ130"/>
      <c r="BK130"/>
      <c r="BL130"/>
      <c r="BM130"/>
      <c r="BN130"/>
      <c r="BO130"/>
      <c r="BP130"/>
      <c r="BQ130"/>
      <c r="BR130"/>
      <c r="BS130"/>
      <c r="BT130"/>
      <c r="BU130"/>
      <c r="BV130"/>
      <c r="BW130"/>
      <c r="BX130" s="6"/>
    </row>
    <row r="131" spans="1:76">
      <c r="A131" s="4"/>
      <c r="B131" s="320">
        <v>71</v>
      </c>
      <c r="C131" s="346"/>
      <c r="D131" s="347"/>
      <c r="E131"/>
      <c r="F131"/>
      <c r="G131"/>
      <c r="H131"/>
      <c r="I131"/>
      <c r="J131"/>
      <c r="K131"/>
      <c r="L131"/>
      <c r="M131"/>
      <c r="N131"/>
      <c r="O131"/>
      <c r="P131"/>
      <c r="Q131"/>
      <c r="R131"/>
      <c r="S131" s="6"/>
      <c r="T131" s="4"/>
      <c r="U131" s="320">
        <v>71</v>
      </c>
      <c r="V131" s="346"/>
      <c r="W131" s="347"/>
      <c r="X131"/>
      <c r="Y131"/>
      <c r="Z131"/>
      <c r="AA131"/>
      <c r="AB131"/>
      <c r="AC131"/>
      <c r="AD131"/>
      <c r="AE131"/>
      <c r="AF131"/>
      <c r="AG131"/>
      <c r="AH131"/>
      <c r="AI131"/>
      <c r="AJ131"/>
      <c r="AK131"/>
      <c r="AL131" s="6"/>
      <c r="AM131" s="4"/>
      <c r="AN131" s="320">
        <v>71</v>
      </c>
      <c r="AO131" s="346"/>
      <c r="AP131" s="347"/>
      <c r="AQ131"/>
      <c r="AR131"/>
      <c r="AS131"/>
      <c r="AT131"/>
      <c r="AU131"/>
      <c r="AV131"/>
      <c r="AW131"/>
      <c r="AX131"/>
      <c r="AY131"/>
      <c r="AZ131"/>
      <c r="BA131"/>
      <c r="BB131"/>
      <c r="BC131"/>
      <c r="BD131"/>
      <c r="BE131" s="6"/>
      <c r="BF131" s="4"/>
      <c r="BG131" s="320">
        <v>71</v>
      </c>
      <c r="BH131" s="346"/>
      <c r="BI131" s="347"/>
      <c r="BJ131"/>
      <c r="BK131"/>
      <c r="BL131"/>
      <c r="BM131"/>
      <c r="BN131"/>
      <c r="BO131"/>
      <c r="BP131"/>
      <c r="BQ131"/>
      <c r="BR131"/>
      <c r="BS131"/>
      <c r="BT131"/>
      <c r="BU131"/>
      <c r="BV131"/>
      <c r="BW131"/>
      <c r="BX131" s="6"/>
    </row>
    <row r="132" spans="1:76">
      <c r="A132" s="4"/>
      <c r="B132" s="320">
        <v>72</v>
      </c>
      <c r="C132" s="346"/>
      <c r="D132" s="347"/>
      <c r="E132"/>
      <c r="F132"/>
      <c r="G132"/>
      <c r="H132"/>
      <c r="I132"/>
      <c r="J132"/>
      <c r="K132"/>
      <c r="L132"/>
      <c r="M132"/>
      <c r="N132"/>
      <c r="O132"/>
      <c r="P132"/>
      <c r="Q132"/>
      <c r="R132"/>
      <c r="S132" s="6"/>
      <c r="T132" s="4"/>
      <c r="U132" s="320">
        <v>72</v>
      </c>
      <c r="V132" s="346"/>
      <c r="W132" s="347"/>
      <c r="X132"/>
      <c r="Y132"/>
      <c r="Z132"/>
      <c r="AA132"/>
      <c r="AB132"/>
      <c r="AC132"/>
      <c r="AD132"/>
      <c r="AE132"/>
      <c r="AF132"/>
      <c r="AG132"/>
      <c r="AH132"/>
      <c r="AI132"/>
      <c r="AJ132"/>
      <c r="AK132"/>
      <c r="AL132" s="6"/>
      <c r="AM132" s="4"/>
      <c r="AN132" s="320">
        <v>72</v>
      </c>
      <c r="AO132" s="346"/>
      <c r="AP132" s="347"/>
      <c r="AQ132"/>
      <c r="AR132"/>
      <c r="AS132"/>
      <c r="AT132"/>
      <c r="AU132"/>
      <c r="AV132"/>
      <c r="AW132"/>
      <c r="AX132"/>
      <c r="AY132"/>
      <c r="AZ132"/>
      <c r="BA132"/>
      <c r="BB132"/>
      <c r="BC132"/>
      <c r="BD132"/>
      <c r="BE132" s="6"/>
      <c r="BF132" s="4"/>
      <c r="BG132" s="320">
        <v>72</v>
      </c>
      <c r="BH132" s="346"/>
      <c r="BI132" s="347"/>
      <c r="BJ132"/>
      <c r="BK132"/>
      <c r="BL132"/>
      <c r="BM132"/>
      <c r="BN132"/>
      <c r="BO132"/>
      <c r="BP132"/>
      <c r="BQ132"/>
      <c r="BR132"/>
      <c r="BS132"/>
      <c r="BT132"/>
      <c r="BU132"/>
      <c r="BV132"/>
      <c r="BW132"/>
      <c r="BX132" s="6"/>
    </row>
    <row r="133" spans="1:76">
      <c r="A133" s="4"/>
      <c r="B133" s="320">
        <v>73</v>
      </c>
      <c r="C133" s="346"/>
      <c r="D133" s="347"/>
      <c r="E133"/>
      <c r="F133"/>
      <c r="G133"/>
      <c r="H133"/>
      <c r="I133"/>
      <c r="J133"/>
      <c r="K133"/>
      <c r="L133"/>
      <c r="M133"/>
      <c r="N133"/>
      <c r="O133"/>
      <c r="P133"/>
      <c r="Q133"/>
      <c r="R133"/>
      <c r="S133" s="6"/>
      <c r="T133" s="4"/>
      <c r="U133" s="320">
        <v>73</v>
      </c>
      <c r="V133" s="346"/>
      <c r="W133" s="347"/>
      <c r="X133"/>
      <c r="Y133"/>
      <c r="Z133"/>
      <c r="AA133"/>
      <c r="AB133"/>
      <c r="AC133"/>
      <c r="AD133"/>
      <c r="AE133"/>
      <c r="AF133"/>
      <c r="AG133"/>
      <c r="AH133"/>
      <c r="AI133"/>
      <c r="AJ133"/>
      <c r="AK133"/>
      <c r="AL133" s="6"/>
      <c r="AM133" s="4"/>
      <c r="AN133" s="320">
        <v>73</v>
      </c>
      <c r="AO133" s="346"/>
      <c r="AP133" s="347"/>
      <c r="AQ133"/>
      <c r="AR133"/>
      <c r="AS133"/>
      <c r="AT133"/>
      <c r="AU133"/>
      <c r="AV133"/>
      <c r="AW133"/>
      <c r="AX133"/>
      <c r="AY133"/>
      <c r="AZ133"/>
      <c r="BA133"/>
      <c r="BB133"/>
      <c r="BC133"/>
      <c r="BD133"/>
      <c r="BE133" s="6"/>
      <c r="BF133" s="4"/>
      <c r="BG133" s="320">
        <v>73</v>
      </c>
      <c r="BH133" s="346"/>
      <c r="BI133" s="347"/>
      <c r="BJ133"/>
      <c r="BK133"/>
      <c r="BL133"/>
      <c r="BM133"/>
      <c r="BN133"/>
      <c r="BO133"/>
      <c r="BP133"/>
      <c r="BQ133"/>
      <c r="BR133"/>
      <c r="BS133"/>
      <c r="BT133"/>
      <c r="BU133"/>
      <c r="BV133"/>
      <c r="BW133"/>
      <c r="BX133" s="6"/>
    </row>
    <row r="134" spans="1:76">
      <c r="A134" s="4"/>
      <c r="B134" s="320">
        <v>74</v>
      </c>
      <c r="C134" s="346"/>
      <c r="D134" s="347"/>
      <c r="E134"/>
      <c r="F134"/>
      <c r="G134"/>
      <c r="H134"/>
      <c r="I134"/>
      <c r="J134"/>
      <c r="K134"/>
      <c r="L134"/>
      <c r="M134"/>
      <c r="N134"/>
      <c r="O134"/>
      <c r="P134"/>
      <c r="Q134"/>
      <c r="R134"/>
      <c r="S134" s="6"/>
      <c r="T134" s="4"/>
      <c r="U134" s="320">
        <v>74</v>
      </c>
      <c r="V134" s="346"/>
      <c r="W134" s="347"/>
      <c r="X134"/>
      <c r="Y134"/>
      <c r="Z134"/>
      <c r="AA134"/>
      <c r="AB134"/>
      <c r="AC134"/>
      <c r="AD134"/>
      <c r="AE134"/>
      <c r="AF134"/>
      <c r="AG134"/>
      <c r="AH134"/>
      <c r="AI134"/>
      <c r="AJ134"/>
      <c r="AK134"/>
      <c r="AL134" s="6"/>
      <c r="AM134" s="4"/>
      <c r="AN134" s="320">
        <v>74</v>
      </c>
      <c r="AO134" s="346"/>
      <c r="AP134" s="347"/>
      <c r="AQ134"/>
      <c r="AR134"/>
      <c r="AS134"/>
      <c r="AT134"/>
      <c r="AU134"/>
      <c r="AV134"/>
      <c r="AW134"/>
      <c r="AX134"/>
      <c r="AY134"/>
      <c r="AZ134"/>
      <c r="BA134"/>
      <c r="BB134"/>
      <c r="BC134"/>
      <c r="BD134"/>
      <c r="BE134" s="6"/>
      <c r="BF134" s="4"/>
      <c r="BG134" s="320">
        <v>74</v>
      </c>
      <c r="BH134" s="346"/>
      <c r="BI134" s="347"/>
      <c r="BJ134"/>
      <c r="BK134"/>
      <c r="BL134"/>
      <c r="BM134"/>
      <c r="BN134"/>
      <c r="BO134"/>
      <c r="BP134"/>
      <c r="BQ134"/>
      <c r="BR134"/>
      <c r="BS134"/>
      <c r="BT134"/>
      <c r="BU134"/>
      <c r="BV134"/>
      <c r="BW134"/>
      <c r="BX134" s="6"/>
    </row>
    <row r="135" spans="1:76">
      <c r="A135" s="4"/>
      <c r="B135" s="320">
        <v>75</v>
      </c>
      <c r="C135" s="346"/>
      <c r="D135" s="347"/>
      <c r="E135"/>
      <c r="F135"/>
      <c r="G135"/>
      <c r="H135"/>
      <c r="I135"/>
      <c r="J135"/>
      <c r="K135"/>
      <c r="L135"/>
      <c r="M135"/>
      <c r="N135"/>
      <c r="O135"/>
      <c r="P135"/>
      <c r="Q135"/>
      <c r="R135"/>
      <c r="S135" s="6"/>
      <c r="T135" s="4"/>
      <c r="U135" s="320">
        <v>75</v>
      </c>
      <c r="V135" s="346"/>
      <c r="W135" s="347"/>
      <c r="X135"/>
      <c r="Y135"/>
      <c r="Z135"/>
      <c r="AA135"/>
      <c r="AB135"/>
      <c r="AC135"/>
      <c r="AD135"/>
      <c r="AE135"/>
      <c r="AF135"/>
      <c r="AG135"/>
      <c r="AH135"/>
      <c r="AI135"/>
      <c r="AJ135"/>
      <c r="AK135"/>
      <c r="AL135" s="6"/>
      <c r="AM135" s="4"/>
      <c r="AN135" s="320">
        <v>75</v>
      </c>
      <c r="AO135" s="346"/>
      <c r="AP135" s="347"/>
      <c r="AQ135"/>
      <c r="AR135"/>
      <c r="AS135"/>
      <c r="AT135"/>
      <c r="AU135"/>
      <c r="AV135"/>
      <c r="AW135"/>
      <c r="AX135"/>
      <c r="AY135"/>
      <c r="AZ135"/>
      <c r="BA135"/>
      <c r="BB135"/>
      <c r="BC135"/>
      <c r="BD135"/>
      <c r="BE135" s="6"/>
      <c r="BF135" s="4"/>
      <c r="BG135" s="320">
        <v>75</v>
      </c>
      <c r="BH135" s="346"/>
      <c r="BI135" s="347"/>
      <c r="BJ135"/>
      <c r="BK135"/>
      <c r="BL135"/>
      <c r="BM135"/>
      <c r="BN135"/>
      <c r="BO135"/>
      <c r="BP135"/>
      <c r="BQ135"/>
      <c r="BR135"/>
      <c r="BS135"/>
      <c r="BT135"/>
      <c r="BU135"/>
      <c r="BV135"/>
      <c r="BW135"/>
      <c r="BX135" s="6"/>
    </row>
    <row r="136" spans="1:76">
      <c r="A136" s="4"/>
      <c r="B136" s="320">
        <v>76</v>
      </c>
      <c r="C136" s="346"/>
      <c r="D136" s="347"/>
      <c r="E136"/>
      <c r="F136"/>
      <c r="G136"/>
      <c r="H136"/>
      <c r="I136"/>
      <c r="J136"/>
      <c r="K136"/>
      <c r="L136"/>
      <c r="M136"/>
      <c r="N136"/>
      <c r="O136"/>
      <c r="P136"/>
      <c r="Q136"/>
      <c r="R136"/>
      <c r="S136" s="6"/>
      <c r="T136" s="4"/>
      <c r="U136" s="320">
        <v>76</v>
      </c>
      <c r="V136" s="346"/>
      <c r="W136" s="347"/>
      <c r="X136"/>
      <c r="Y136"/>
      <c r="Z136"/>
      <c r="AA136"/>
      <c r="AB136"/>
      <c r="AC136"/>
      <c r="AD136"/>
      <c r="AE136"/>
      <c r="AF136"/>
      <c r="AG136"/>
      <c r="AH136"/>
      <c r="AI136"/>
      <c r="AJ136"/>
      <c r="AK136"/>
      <c r="AL136" s="6"/>
      <c r="AM136" s="4"/>
      <c r="AN136" s="320">
        <v>76</v>
      </c>
      <c r="AO136" s="346"/>
      <c r="AP136" s="347"/>
      <c r="AQ136"/>
      <c r="AR136"/>
      <c r="AS136"/>
      <c r="AT136"/>
      <c r="AU136"/>
      <c r="AV136"/>
      <c r="AW136"/>
      <c r="AX136"/>
      <c r="AY136"/>
      <c r="AZ136"/>
      <c r="BA136"/>
      <c r="BB136"/>
      <c r="BC136"/>
      <c r="BD136"/>
      <c r="BE136" s="6"/>
      <c r="BF136" s="4"/>
      <c r="BG136" s="320">
        <v>76</v>
      </c>
      <c r="BH136" s="346"/>
      <c r="BI136" s="347"/>
      <c r="BJ136"/>
      <c r="BK136"/>
      <c r="BL136"/>
      <c r="BM136"/>
      <c r="BN136"/>
      <c r="BO136"/>
      <c r="BP136"/>
      <c r="BQ136"/>
      <c r="BR136"/>
      <c r="BS136"/>
      <c r="BT136"/>
      <c r="BU136"/>
      <c r="BV136"/>
      <c r="BW136"/>
      <c r="BX136" s="6"/>
    </row>
    <row r="137" spans="1:76">
      <c r="A137" s="4"/>
      <c r="B137" s="320">
        <v>77</v>
      </c>
      <c r="C137" s="346"/>
      <c r="D137" s="347"/>
      <c r="E137"/>
      <c r="F137"/>
      <c r="G137"/>
      <c r="H137"/>
      <c r="I137"/>
      <c r="J137"/>
      <c r="K137"/>
      <c r="L137"/>
      <c r="M137"/>
      <c r="N137"/>
      <c r="O137"/>
      <c r="P137"/>
      <c r="Q137"/>
      <c r="R137"/>
      <c r="S137" s="6"/>
      <c r="T137" s="4"/>
      <c r="U137" s="320">
        <v>77</v>
      </c>
      <c r="V137" s="346"/>
      <c r="W137" s="347"/>
      <c r="X137"/>
      <c r="Y137"/>
      <c r="Z137"/>
      <c r="AA137"/>
      <c r="AB137"/>
      <c r="AC137"/>
      <c r="AD137"/>
      <c r="AE137"/>
      <c r="AF137"/>
      <c r="AG137"/>
      <c r="AH137"/>
      <c r="AI137"/>
      <c r="AJ137"/>
      <c r="AK137"/>
      <c r="AL137" s="6"/>
      <c r="AM137" s="4"/>
      <c r="AN137" s="320">
        <v>77</v>
      </c>
      <c r="AO137" s="346"/>
      <c r="AP137" s="347"/>
      <c r="AQ137"/>
      <c r="AR137"/>
      <c r="AS137"/>
      <c r="AT137"/>
      <c r="AU137"/>
      <c r="AV137"/>
      <c r="AW137"/>
      <c r="AX137"/>
      <c r="AY137"/>
      <c r="AZ137"/>
      <c r="BA137"/>
      <c r="BB137"/>
      <c r="BC137"/>
      <c r="BD137"/>
      <c r="BE137" s="6"/>
      <c r="BF137" s="4"/>
      <c r="BG137" s="320">
        <v>77</v>
      </c>
      <c r="BH137" s="346"/>
      <c r="BI137" s="347"/>
      <c r="BJ137"/>
      <c r="BK137"/>
      <c r="BL137"/>
      <c r="BM137"/>
      <c r="BN137"/>
      <c r="BO137"/>
      <c r="BP137"/>
      <c r="BQ137"/>
      <c r="BR137"/>
      <c r="BS137"/>
      <c r="BT137"/>
      <c r="BU137"/>
      <c r="BV137"/>
      <c r="BW137"/>
      <c r="BX137" s="6"/>
    </row>
    <row r="138" spans="1:76">
      <c r="A138" s="4"/>
      <c r="B138" s="320">
        <v>78</v>
      </c>
      <c r="C138" s="346"/>
      <c r="D138" s="347"/>
      <c r="E138"/>
      <c r="F138"/>
      <c r="G138"/>
      <c r="H138"/>
      <c r="I138"/>
      <c r="J138"/>
      <c r="K138"/>
      <c r="L138"/>
      <c r="M138"/>
      <c r="N138"/>
      <c r="O138"/>
      <c r="P138"/>
      <c r="Q138"/>
      <c r="R138"/>
      <c r="S138" s="6"/>
      <c r="T138" s="4"/>
      <c r="U138" s="320">
        <v>78</v>
      </c>
      <c r="V138" s="346"/>
      <c r="W138" s="347"/>
      <c r="X138"/>
      <c r="Y138"/>
      <c r="Z138"/>
      <c r="AA138"/>
      <c r="AB138"/>
      <c r="AC138"/>
      <c r="AD138"/>
      <c r="AE138"/>
      <c r="AF138"/>
      <c r="AG138"/>
      <c r="AH138"/>
      <c r="AI138"/>
      <c r="AJ138"/>
      <c r="AK138"/>
      <c r="AL138" s="6"/>
      <c r="AM138" s="4"/>
      <c r="AN138" s="320">
        <v>78</v>
      </c>
      <c r="AO138" s="346"/>
      <c r="AP138" s="347"/>
      <c r="AQ138"/>
      <c r="AR138"/>
      <c r="AS138"/>
      <c r="AT138"/>
      <c r="AU138"/>
      <c r="AV138"/>
      <c r="AW138"/>
      <c r="AX138"/>
      <c r="AY138"/>
      <c r="AZ138"/>
      <c r="BA138"/>
      <c r="BB138"/>
      <c r="BC138"/>
      <c r="BD138"/>
      <c r="BE138" s="6"/>
      <c r="BF138" s="4"/>
      <c r="BG138" s="320">
        <v>78</v>
      </c>
      <c r="BH138" s="346"/>
      <c r="BI138" s="347"/>
      <c r="BJ138"/>
      <c r="BK138"/>
      <c r="BL138"/>
      <c r="BM138"/>
      <c r="BN138"/>
      <c r="BO138"/>
      <c r="BP138"/>
      <c r="BQ138"/>
      <c r="BR138"/>
      <c r="BS138"/>
      <c r="BT138"/>
      <c r="BU138"/>
      <c r="BV138"/>
      <c r="BW138"/>
      <c r="BX138" s="6"/>
    </row>
    <row r="139" spans="1:76">
      <c r="A139" s="4"/>
      <c r="B139" s="320">
        <v>79</v>
      </c>
      <c r="C139" s="346"/>
      <c r="D139" s="347"/>
      <c r="E139"/>
      <c r="F139"/>
      <c r="G139"/>
      <c r="H139"/>
      <c r="I139"/>
      <c r="J139"/>
      <c r="K139"/>
      <c r="L139"/>
      <c r="M139"/>
      <c r="N139"/>
      <c r="O139"/>
      <c r="P139"/>
      <c r="Q139"/>
      <c r="R139"/>
      <c r="S139" s="6"/>
      <c r="T139" s="4"/>
      <c r="U139" s="320">
        <v>79</v>
      </c>
      <c r="V139" s="346"/>
      <c r="W139" s="347"/>
      <c r="X139"/>
      <c r="Y139"/>
      <c r="Z139"/>
      <c r="AA139"/>
      <c r="AB139"/>
      <c r="AC139"/>
      <c r="AD139"/>
      <c r="AE139"/>
      <c r="AF139"/>
      <c r="AG139"/>
      <c r="AH139"/>
      <c r="AI139"/>
      <c r="AJ139"/>
      <c r="AK139"/>
      <c r="AL139" s="6"/>
      <c r="AM139" s="4"/>
      <c r="AN139" s="320">
        <v>79</v>
      </c>
      <c r="AO139" s="346"/>
      <c r="AP139" s="347"/>
      <c r="AQ139"/>
      <c r="AR139"/>
      <c r="AS139"/>
      <c r="AT139"/>
      <c r="AU139"/>
      <c r="AV139"/>
      <c r="AW139"/>
      <c r="AX139"/>
      <c r="AY139"/>
      <c r="AZ139"/>
      <c r="BA139"/>
      <c r="BB139"/>
      <c r="BC139"/>
      <c r="BD139"/>
      <c r="BE139" s="6"/>
      <c r="BF139" s="4"/>
      <c r="BG139" s="320">
        <v>79</v>
      </c>
      <c r="BH139" s="346"/>
      <c r="BI139" s="347"/>
      <c r="BJ139"/>
      <c r="BK139"/>
      <c r="BL139"/>
      <c r="BM139"/>
      <c r="BN139"/>
      <c r="BO139"/>
      <c r="BP139"/>
      <c r="BQ139"/>
      <c r="BR139"/>
      <c r="BS139"/>
      <c r="BT139"/>
      <c r="BU139"/>
      <c r="BV139"/>
      <c r="BW139"/>
      <c r="BX139" s="6"/>
    </row>
    <row r="140" spans="1:76">
      <c r="A140" s="4"/>
      <c r="B140" s="320">
        <v>80</v>
      </c>
      <c r="C140" s="346"/>
      <c r="D140" s="347"/>
      <c r="E140"/>
      <c r="F140"/>
      <c r="G140"/>
      <c r="H140"/>
      <c r="I140"/>
      <c r="J140"/>
      <c r="K140"/>
      <c r="L140"/>
      <c r="M140"/>
      <c r="N140"/>
      <c r="O140"/>
      <c r="P140"/>
      <c r="Q140"/>
      <c r="R140"/>
      <c r="S140" s="6"/>
      <c r="T140" s="4"/>
      <c r="U140" s="320">
        <v>80</v>
      </c>
      <c r="V140" s="346"/>
      <c r="W140" s="347"/>
      <c r="X140"/>
      <c r="Y140"/>
      <c r="Z140"/>
      <c r="AA140"/>
      <c r="AB140"/>
      <c r="AC140"/>
      <c r="AD140"/>
      <c r="AE140"/>
      <c r="AF140"/>
      <c r="AG140"/>
      <c r="AH140"/>
      <c r="AI140"/>
      <c r="AJ140"/>
      <c r="AK140"/>
      <c r="AL140" s="6"/>
      <c r="AM140" s="4"/>
      <c r="AN140" s="320">
        <v>80</v>
      </c>
      <c r="AO140" s="346"/>
      <c r="AP140" s="347"/>
      <c r="AQ140"/>
      <c r="AR140"/>
      <c r="AS140"/>
      <c r="AT140"/>
      <c r="AU140"/>
      <c r="AV140"/>
      <c r="AW140"/>
      <c r="AX140"/>
      <c r="AY140"/>
      <c r="AZ140"/>
      <c r="BA140"/>
      <c r="BB140"/>
      <c r="BC140"/>
      <c r="BD140"/>
      <c r="BE140" s="6"/>
      <c r="BF140" s="4"/>
      <c r="BG140" s="320">
        <v>80</v>
      </c>
      <c r="BH140" s="346"/>
      <c r="BI140" s="347"/>
      <c r="BJ140"/>
      <c r="BK140"/>
      <c r="BL140"/>
      <c r="BM140"/>
      <c r="BN140"/>
      <c r="BO140"/>
      <c r="BP140"/>
      <c r="BQ140"/>
      <c r="BR140"/>
      <c r="BS140"/>
      <c r="BT140"/>
      <c r="BU140"/>
      <c r="BV140"/>
      <c r="BW140"/>
      <c r="BX140" s="6"/>
    </row>
    <row r="141" spans="1:76">
      <c r="A141" s="4"/>
      <c r="B141" s="320">
        <v>81</v>
      </c>
      <c r="C141" s="346"/>
      <c r="D141" s="347"/>
      <c r="E141"/>
      <c r="F141"/>
      <c r="G141"/>
      <c r="H141"/>
      <c r="I141"/>
      <c r="J141"/>
      <c r="K141"/>
      <c r="L141"/>
      <c r="M141"/>
      <c r="N141"/>
      <c r="O141"/>
      <c r="P141"/>
      <c r="Q141"/>
      <c r="R141"/>
      <c r="S141" s="6"/>
      <c r="T141" s="4"/>
      <c r="U141" s="320">
        <v>81</v>
      </c>
      <c r="V141" s="346"/>
      <c r="W141" s="347"/>
      <c r="X141"/>
      <c r="Y141"/>
      <c r="Z141"/>
      <c r="AA141"/>
      <c r="AB141"/>
      <c r="AC141"/>
      <c r="AD141"/>
      <c r="AE141"/>
      <c r="AF141"/>
      <c r="AG141"/>
      <c r="AH141"/>
      <c r="AI141"/>
      <c r="AJ141"/>
      <c r="AK141"/>
      <c r="AL141" s="6"/>
      <c r="AM141" s="4"/>
      <c r="AN141" s="320">
        <v>81</v>
      </c>
      <c r="AO141" s="346"/>
      <c r="AP141" s="347"/>
      <c r="AQ141"/>
      <c r="AR141"/>
      <c r="AS141"/>
      <c r="AT141"/>
      <c r="AU141"/>
      <c r="AV141"/>
      <c r="AW141"/>
      <c r="AX141"/>
      <c r="AY141"/>
      <c r="AZ141"/>
      <c r="BA141"/>
      <c r="BB141"/>
      <c r="BC141"/>
      <c r="BD141"/>
      <c r="BE141" s="6"/>
      <c r="BF141" s="4"/>
      <c r="BG141" s="320">
        <v>81</v>
      </c>
      <c r="BH141" s="346"/>
      <c r="BI141" s="347"/>
      <c r="BJ141"/>
      <c r="BK141"/>
      <c r="BL141"/>
      <c r="BM141"/>
      <c r="BN141"/>
      <c r="BO141"/>
      <c r="BP141"/>
      <c r="BQ141"/>
      <c r="BR141"/>
      <c r="BS141"/>
      <c r="BT141"/>
      <c r="BU141"/>
      <c r="BV141"/>
      <c r="BW141"/>
      <c r="BX141" s="6"/>
    </row>
    <row r="142" spans="1:76">
      <c r="A142" s="4"/>
      <c r="B142" s="320">
        <v>82</v>
      </c>
      <c r="C142" s="346"/>
      <c r="D142" s="347"/>
      <c r="E142"/>
      <c r="F142"/>
      <c r="G142"/>
      <c r="H142"/>
      <c r="I142"/>
      <c r="J142"/>
      <c r="K142"/>
      <c r="L142"/>
      <c r="M142"/>
      <c r="N142"/>
      <c r="O142"/>
      <c r="P142"/>
      <c r="Q142"/>
      <c r="R142"/>
      <c r="S142" s="6"/>
      <c r="T142" s="4"/>
      <c r="U142" s="320">
        <v>82</v>
      </c>
      <c r="V142" s="346"/>
      <c r="W142" s="347"/>
      <c r="X142"/>
      <c r="Y142"/>
      <c r="Z142"/>
      <c r="AA142"/>
      <c r="AB142"/>
      <c r="AC142"/>
      <c r="AD142"/>
      <c r="AE142"/>
      <c r="AF142"/>
      <c r="AG142"/>
      <c r="AH142"/>
      <c r="AI142"/>
      <c r="AJ142"/>
      <c r="AK142"/>
      <c r="AL142" s="6"/>
      <c r="AM142" s="4"/>
      <c r="AN142" s="320">
        <v>82</v>
      </c>
      <c r="AO142" s="346"/>
      <c r="AP142" s="347"/>
      <c r="AQ142"/>
      <c r="AR142"/>
      <c r="AS142"/>
      <c r="AT142"/>
      <c r="AU142"/>
      <c r="AV142"/>
      <c r="AW142"/>
      <c r="AX142"/>
      <c r="AY142"/>
      <c r="AZ142"/>
      <c r="BA142"/>
      <c r="BB142"/>
      <c r="BC142"/>
      <c r="BD142"/>
      <c r="BE142" s="6"/>
      <c r="BF142" s="4"/>
      <c r="BG142" s="320">
        <v>82</v>
      </c>
      <c r="BH142" s="346"/>
      <c r="BI142" s="347"/>
      <c r="BJ142"/>
      <c r="BK142"/>
      <c r="BL142"/>
      <c r="BM142"/>
      <c r="BN142"/>
      <c r="BO142"/>
      <c r="BP142"/>
      <c r="BQ142"/>
      <c r="BR142"/>
      <c r="BS142"/>
      <c r="BT142"/>
      <c r="BU142"/>
      <c r="BV142"/>
      <c r="BW142"/>
      <c r="BX142" s="6"/>
    </row>
    <row r="143" spans="1:76">
      <c r="A143" s="4"/>
      <c r="B143" s="320">
        <v>83</v>
      </c>
      <c r="C143" s="346"/>
      <c r="D143" s="347"/>
      <c r="E143"/>
      <c r="F143"/>
      <c r="G143"/>
      <c r="H143"/>
      <c r="I143"/>
      <c r="J143"/>
      <c r="K143"/>
      <c r="L143"/>
      <c r="M143"/>
      <c r="N143"/>
      <c r="O143"/>
      <c r="P143"/>
      <c r="Q143"/>
      <c r="R143"/>
      <c r="S143" s="6"/>
      <c r="T143" s="4"/>
      <c r="U143" s="320">
        <v>83</v>
      </c>
      <c r="V143" s="346"/>
      <c r="W143" s="347"/>
      <c r="X143"/>
      <c r="Y143"/>
      <c r="Z143"/>
      <c r="AA143"/>
      <c r="AB143"/>
      <c r="AC143"/>
      <c r="AD143"/>
      <c r="AE143"/>
      <c r="AF143"/>
      <c r="AG143"/>
      <c r="AH143"/>
      <c r="AI143"/>
      <c r="AJ143"/>
      <c r="AK143"/>
      <c r="AL143" s="6"/>
      <c r="AM143" s="4"/>
      <c r="AN143" s="320">
        <v>83</v>
      </c>
      <c r="AO143" s="346"/>
      <c r="AP143" s="347"/>
      <c r="AQ143"/>
      <c r="AR143"/>
      <c r="AS143"/>
      <c r="AT143"/>
      <c r="AU143"/>
      <c r="AV143"/>
      <c r="AW143"/>
      <c r="AX143"/>
      <c r="AY143"/>
      <c r="AZ143"/>
      <c r="BA143"/>
      <c r="BB143"/>
      <c r="BC143"/>
      <c r="BD143"/>
      <c r="BE143" s="6"/>
      <c r="BF143" s="4"/>
      <c r="BG143" s="320">
        <v>83</v>
      </c>
      <c r="BH143" s="346"/>
      <c r="BI143" s="347"/>
      <c r="BJ143"/>
      <c r="BK143"/>
      <c r="BL143"/>
      <c r="BM143"/>
      <c r="BN143"/>
      <c r="BO143"/>
      <c r="BP143"/>
      <c r="BQ143"/>
      <c r="BR143"/>
      <c r="BS143"/>
      <c r="BT143"/>
      <c r="BU143"/>
      <c r="BV143"/>
      <c r="BW143"/>
      <c r="BX143" s="6"/>
    </row>
    <row r="144" spans="1:76">
      <c r="A144" s="4"/>
      <c r="B144" s="320">
        <v>84</v>
      </c>
      <c r="C144" s="346"/>
      <c r="D144" s="347"/>
      <c r="E144"/>
      <c r="F144"/>
      <c r="G144"/>
      <c r="H144"/>
      <c r="I144"/>
      <c r="J144"/>
      <c r="K144"/>
      <c r="L144"/>
      <c r="M144"/>
      <c r="N144"/>
      <c r="O144"/>
      <c r="P144"/>
      <c r="Q144"/>
      <c r="R144"/>
      <c r="S144" s="6"/>
      <c r="T144" s="4"/>
      <c r="U144" s="320">
        <v>84</v>
      </c>
      <c r="V144" s="346"/>
      <c r="W144" s="347"/>
      <c r="X144"/>
      <c r="Y144"/>
      <c r="Z144"/>
      <c r="AA144"/>
      <c r="AB144"/>
      <c r="AC144"/>
      <c r="AD144"/>
      <c r="AE144"/>
      <c r="AF144"/>
      <c r="AG144"/>
      <c r="AH144"/>
      <c r="AI144"/>
      <c r="AJ144"/>
      <c r="AK144"/>
      <c r="AL144" s="6"/>
      <c r="AM144" s="4"/>
      <c r="AN144" s="320">
        <v>84</v>
      </c>
      <c r="AO144" s="346"/>
      <c r="AP144" s="347"/>
      <c r="AQ144"/>
      <c r="AR144"/>
      <c r="AS144"/>
      <c r="AT144"/>
      <c r="AU144"/>
      <c r="AV144"/>
      <c r="AW144"/>
      <c r="AX144"/>
      <c r="AY144"/>
      <c r="AZ144"/>
      <c r="BA144"/>
      <c r="BB144"/>
      <c r="BC144"/>
      <c r="BD144"/>
      <c r="BE144" s="6"/>
      <c r="BF144" s="4"/>
      <c r="BG144" s="320">
        <v>84</v>
      </c>
      <c r="BH144" s="346"/>
      <c r="BI144" s="347"/>
      <c r="BJ144"/>
      <c r="BK144"/>
      <c r="BL144"/>
      <c r="BM144"/>
      <c r="BN144"/>
      <c r="BO144"/>
      <c r="BP144"/>
      <c r="BQ144"/>
      <c r="BR144"/>
      <c r="BS144"/>
      <c r="BT144"/>
      <c r="BU144"/>
      <c r="BV144"/>
      <c r="BW144"/>
      <c r="BX144" s="6"/>
    </row>
    <row r="145" spans="1:76">
      <c r="A145" s="4"/>
      <c r="B145" s="320">
        <v>85</v>
      </c>
      <c r="C145" s="346"/>
      <c r="D145" s="347"/>
      <c r="E145"/>
      <c r="F145"/>
      <c r="G145"/>
      <c r="H145"/>
      <c r="I145"/>
      <c r="J145"/>
      <c r="K145"/>
      <c r="L145"/>
      <c r="M145"/>
      <c r="N145"/>
      <c r="O145"/>
      <c r="P145"/>
      <c r="Q145"/>
      <c r="R145"/>
      <c r="S145" s="6"/>
      <c r="T145" s="4"/>
      <c r="U145" s="320">
        <v>85</v>
      </c>
      <c r="V145" s="346"/>
      <c r="W145" s="347"/>
      <c r="X145"/>
      <c r="Y145"/>
      <c r="Z145"/>
      <c r="AA145"/>
      <c r="AB145"/>
      <c r="AC145"/>
      <c r="AD145"/>
      <c r="AE145"/>
      <c r="AF145"/>
      <c r="AG145"/>
      <c r="AH145"/>
      <c r="AI145"/>
      <c r="AJ145"/>
      <c r="AK145"/>
      <c r="AL145" s="6"/>
      <c r="AM145" s="4"/>
      <c r="AN145" s="320">
        <v>85</v>
      </c>
      <c r="AO145" s="346"/>
      <c r="AP145" s="347"/>
      <c r="AQ145"/>
      <c r="AR145"/>
      <c r="AS145"/>
      <c r="AT145"/>
      <c r="AU145"/>
      <c r="AV145"/>
      <c r="AW145"/>
      <c r="AX145"/>
      <c r="AY145"/>
      <c r="AZ145"/>
      <c r="BA145"/>
      <c r="BB145"/>
      <c r="BC145"/>
      <c r="BD145"/>
      <c r="BE145" s="6"/>
      <c r="BF145" s="4"/>
      <c r="BG145" s="320">
        <v>85</v>
      </c>
      <c r="BH145" s="346"/>
      <c r="BI145" s="347"/>
      <c r="BJ145"/>
      <c r="BK145"/>
      <c r="BL145"/>
      <c r="BM145"/>
      <c r="BN145"/>
      <c r="BO145"/>
      <c r="BP145"/>
      <c r="BQ145"/>
      <c r="BR145"/>
      <c r="BS145"/>
      <c r="BT145"/>
      <c r="BU145"/>
      <c r="BV145"/>
      <c r="BW145"/>
      <c r="BX145" s="6"/>
    </row>
    <row r="146" spans="1:76">
      <c r="A146" s="4"/>
      <c r="B146" s="320">
        <v>86</v>
      </c>
      <c r="C146" s="346"/>
      <c r="D146" s="347"/>
      <c r="E146"/>
      <c r="F146"/>
      <c r="G146"/>
      <c r="H146"/>
      <c r="I146"/>
      <c r="J146"/>
      <c r="K146"/>
      <c r="L146"/>
      <c r="M146"/>
      <c r="N146"/>
      <c r="O146"/>
      <c r="P146"/>
      <c r="Q146"/>
      <c r="R146"/>
      <c r="S146" s="6"/>
      <c r="T146" s="4"/>
      <c r="U146" s="320">
        <v>86</v>
      </c>
      <c r="V146" s="346"/>
      <c r="W146" s="347"/>
      <c r="X146"/>
      <c r="Y146"/>
      <c r="Z146"/>
      <c r="AA146"/>
      <c r="AB146"/>
      <c r="AC146"/>
      <c r="AD146"/>
      <c r="AE146"/>
      <c r="AF146"/>
      <c r="AG146"/>
      <c r="AH146"/>
      <c r="AI146"/>
      <c r="AJ146"/>
      <c r="AK146"/>
      <c r="AL146" s="6"/>
      <c r="AM146" s="4"/>
      <c r="AN146" s="320">
        <v>86</v>
      </c>
      <c r="AO146" s="346"/>
      <c r="AP146" s="347"/>
      <c r="AQ146"/>
      <c r="AR146"/>
      <c r="AS146"/>
      <c r="AT146"/>
      <c r="AU146"/>
      <c r="AV146"/>
      <c r="AW146"/>
      <c r="AX146"/>
      <c r="AY146"/>
      <c r="AZ146"/>
      <c r="BA146"/>
      <c r="BB146"/>
      <c r="BC146"/>
      <c r="BD146"/>
      <c r="BE146" s="6"/>
      <c r="BF146" s="4"/>
      <c r="BG146" s="320">
        <v>86</v>
      </c>
      <c r="BH146" s="346"/>
      <c r="BI146" s="347"/>
      <c r="BJ146"/>
      <c r="BK146"/>
      <c r="BL146"/>
      <c r="BM146"/>
      <c r="BN146"/>
      <c r="BO146"/>
      <c r="BP146"/>
      <c r="BQ146"/>
      <c r="BR146"/>
      <c r="BS146"/>
      <c r="BT146"/>
      <c r="BU146"/>
      <c r="BV146"/>
      <c r="BW146"/>
      <c r="BX146" s="6"/>
    </row>
    <row r="147" spans="1:76">
      <c r="A147" s="4"/>
      <c r="B147" s="320">
        <v>87</v>
      </c>
      <c r="C147" s="346"/>
      <c r="D147" s="347"/>
      <c r="E147"/>
      <c r="F147"/>
      <c r="G147"/>
      <c r="H147"/>
      <c r="I147"/>
      <c r="J147"/>
      <c r="K147"/>
      <c r="L147"/>
      <c r="M147"/>
      <c r="N147"/>
      <c r="O147"/>
      <c r="P147"/>
      <c r="Q147"/>
      <c r="R147"/>
      <c r="S147" s="6"/>
      <c r="T147" s="4"/>
      <c r="U147" s="320">
        <v>87</v>
      </c>
      <c r="V147" s="346"/>
      <c r="W147" s="347"/>
      <c r="X147"/>
      <c r="Y147"/>
      <c r="Z147"/>
      <c r="AA147"/>
      <c r="AB147"/>
      <c r="AC147"/>
      <c r="AD147"/>
      <c r="AE147"/>
      <c r="AF147"/>
      <c r="AG147"/>
      <c r="AH147"/>
      <c r="AI147"/>
      <c r="AJ147"/>
      <c r="AK147"/>
      <c r="AL147" s="6"/>
      <c r="AM147" s="4"/>
      <c r="AN147" s="320">
        <v>87</v>
      </c>
      <c r="AO147" s="346"/>
      <c r="AP147" s="347"/>
      <c r="AQ147"/>
      <c r="AR147"/>
      <c r="AS147"/>
      <c r="AT147"/>
      <c r="AU147"/>
      <c r="AV147"/>
      <c r="AW147"/>
      <c r="AX147"/>
      <c r="AY147"/>
      <c r="AZ147"/>
      <c r="BA147"/>
      <c r="BB147"/>
      <c r="BC147"/>
      <c r="BD147"/>
      <c r="BE147" s="6"/>
      <c r="BF147" s="4"/>
      <c r="BG147" s="320">
        <v>87</v>
      </c>
      <c r="BH147" s="346"/>
      <c r="BI147" s="347"/>
      <c r="BJ147"/>
      <c r="BK147"/>
      <c r="BL147"/>
      <c r="BM147"/>
      <c r="BN147"/>
      <c r="BO147"/>
      <c r="BP147"/>
      <c r="BQ147"/>
      <c r="BR147"/>
      <c r="BS147"/>
      <c r="BT147"/>
      <c r="BU147"/>
      <c r="BV147"/>
      <c r="BW147"/>
      <c r="BX147" s="6"/>
    </row>
    <row r="148" spans="1:76">
      <c r="A148" s="4"/>
      <c r="B148" s="320">
        <v>88</v>
      </c>
      <c r="C148" s="346"/>
      <c r="D148" s="347"/>
      <c r="E148"/>
      <c r="F148"/>
      <c r="G148"/>
      <c r="H148"/>
      <c r="I148"/>
      <c r="J148"/>
      <c r="K148"/>
      <c r="L148"/>
      <c r="M148"/>
      <c r="N148"/>
      <c r="O148"/>
      <c r="P148"/>
      <c r="Q148"/>
      <c r="R148"/>
      <c r="S148" s="6"/>
      <c r="T148" s="4"/>
      <c r="U148" s="320">
        <v>88</v>
      </c>
      <c r="V148" s="346"/>
      <c r="W148" s="347"/>
      <c r="X148"/>
      <c r="Y148"/>
      <c r="Z148"/>
      <c r="AA148"/>
      <c r="AB148"/>
      <c r="AC148"/>
      <c r="AD148"/>
      <c r="AE148"/>
      <c r="AF148"/>
      <c r="AG148"/>
      <c r="AH148"/>
      <c r="AI148"/>
      <c r="AJ148"/>
      <c r="AK148"/>
      <c r="AL148" s="6"/>
      <c r="AM148" s="4"/>
      <c r="AN148" s="320">
        <v>88</v>
      </c>
      <c r="AO148" s="346"/>
      <c r="AP148" s="347"/>
      <c r="AQ148"/>
      <c r="AR148"/>
      <c r="AS148"/>
      <c r="AT148"/>
      <c r="AU148"/>
      <c r="AV148"/>
      <c r="AW148"/>
      <c r="AX148"/>
      <c r="AY148"/>
      <c r="AZ148"/>
      <c r="BA148"/>
      <c r="BB148"/>
      <c r="BC148"/>
      <c r="BD148"/>
      <c r="BE148" s="6"/>
      <c r="BF148" s="4"/>
      <c r="BG148" s="320">
        <v>88</v>
      </c>
      <c r="BH148" s="346"/>
      <c r="BI148" s="347"/>
      <c r="BJ148"/>
      <c r="BK148"/>
      <c r="BL148"/>
      <c r="BM148"/>
      <c r="BN148"/>
      <c r="BO148"/>
      <c r="BP148"/>
      <c r="BQ148"/>
      <c r="BR148"/>
      <c r="BS148"/>
      <c r="BT148"/>
      <c r="BU148"/>
      <c r="BV148"/>
      <c r="BW148"/>
      <c r="BX148" s="6"/>
    </row>
    <row r="149" spans="1:76">
      <c r="A149" s="4"/>
      <c r="B149" s="320">
        <v>89</v>
      </c>
      <c r="C149" s="346"/>
      <c r="D149" s="347"/>
      <c r="E149"/>
      <c r="F149"/>
      <c r="G149"/>
      <c r="H149"/>
      <c r="I149"/>
      <c r="J149"/>
      <c r="K149"/>
      <c r="L149"/>
      <c r="M149"/>
      <c r="N149"/>
      <c r="O149"/>
      <c r="P149"/>
      <c r="Q149"/>
      <c r="R149"/>
      <c r="S149" s="6"/>
      <c r="T149" s="4"/>
      <c r="U149" s="320">
        <v>89</v>
      </c>
      <c r="V149" s="346"/>
      <c r="W149" s="347"/>
      <c r="X149"/>
      <c r="Y149"/>
      <c r="Z149"/>
      <c r="AA149"/>
      <c r="AB149"/>
      <c r="AC149"/>
      <c r="AD149"/>
      <c r="AE149"/>
      <c r="AF149"/>
      <c r="AG149"/>
      <c r="AH149"/>
      <c r="AI149"/>
      <c r="AJ149"/>
      <c r="AK149"/>
      <c r="AL149" s="6"/>
      <c r="AM149" s="4"/>
      <c r="AN149" s="320">
        <v>89</v>
      </c>
      <c r="AO149" s="346"/>
      <c r="AP149" s="347"/>
      <c r="AQ149"/>
      <c r="AR149"/>
      <c r="AS149"/>
      <c r="AT149"/>
      <c r="AU149"/>
      <c r="AV149"/>
      <c r="AW149"/>
      <c r="AX149"/>
      <c r="AY149"/>
      <c r="AZ149"/>
      <c r="BA149"/>
      <c r="BB149"/>
      <c r="BC149"/>
      <c r="BD149"/>
      <c r="BE149" s="6"/>
      <c r="BF149" s="4"/>
      <c r="BG149" s="320">
        <v>89</v>
      </c>
      <c r="BH149" s="346"/>
      <c r="BI149" s="347"/>
      <c r="BJ149"/>
      <c r="BK149"/>
      <c r="BL149"/>
      <c r="BM149"/>
      <c r="BN149"/>
      <c r="BO149"/>
      <c r="BP149"/>
      <c r="BQ149"/>
      <c r="BR149"/>
      <c r="BS149"/>
      <c r="BT149"/>
      <c r="BU149"/>
      <c r="BV149"/>
      <c r="BW149"/>
      <c r="BX149" s="6"/>
    </row>
    <row r="150" spans="1:76">
      <c r="A150" s="4"/>
      <c r="B150" s="320">
        <v>90</v>
      </c>
      <c r="C150" s="346"/>
      <c r="D150" s="347"/>
      <c r="E150"/>
      <c r="F150"/>
      <c r="G150"/>
      <c r="H150"/>
      <c r="I150"/>
      <c r="J150"/>
      <c r="K150"/>
      <c r="L150"/>
      <c r="M150"/>
      <c r="N150"/>
      <c r="O150"/>
      <c r="P150"/>
      <c r="Q150"/>
      <c r="R150"/>
      <c r="S150" s="6"/>
      <c r="T150" s="4"/>
      <c r="U150" s="320">
        <v>90</v>
      </c>
      <c r="V150" s="346"/>
      <c r="W150" s="347"/>
      <c r="X150"/>
      <c r="Y150"/>
      <c r="Z150"/>
      <c r="AA150"/>
      <c r="AB150"/>
      <c r="AC150"/>
      <c r="AD150"/>
      <c r="AE150"/>
      <c r="AF150"/>
      <c r="AG150"/>
      <c r="AH150"/>
      <c r="AI150"/>
      <c r="AJ150"/>
      <c r="AK150"/>
      <c r="AL150" s="6"/>
      <c r="AM150" s="4"/>
      <c r="AN150" s="320">
        <v>90</v>
      </c>
      <c r="AO150" s="346"/>
      <c r="AP150" s="347"/>
      <c r="AQ150"/>
      <c r="AR150"/>
      <c r="AS150"/>
      <c r="AT150"/>
      <c r="AU150"/>
      <c r="AV150"/>
      <c r="AW150"/>
      <c r="AX150"/>
      <c r="AY150"/>
      <c r="AZ150"/>
      <c r="BA150"/>
      <c r="BB150"/>
      <c r="BC150"/>
      <c r="BD150"/>
      <c r="BE150" s="6"/>
      <c r="BF150" s="4"/>
      <c r="BG150" s="320">
        <v>90</v>
      </c>
      <c r="BH150" s="346"/>
      <c r="BI150" s="347"/>
      <c r="BJ150"/>
      <c r="BK150"/>
      <c r="BL150"/>
      <c r="BM150"/>
      <c r="BN150"/>
      <c r="BO150"/>
      <c r="BP150"/>
      <c r="BQ150"/>
      <c r="BR150"/>
      <c r="BS150"/>
      <c r="BT150"/>
      <c r="BU150"/>
      <c r="BV150"/>
      <c r="BW150"/>
      <c r="BX150" s="6"/>
    </row>
    <row r="151" spans="1:76">
      <c r="A151" s="4"/>
      <c r="B151" s="320">
        <v>91</v>
      </c>
      <c r="C151" s="346"/>
      <c r="D151" s="347"/>
      <c r="E151"/>
      <c r="F151"/>
      <c r="G151"/>
      <c r="H151"/>
      <c r="I151"/>
      <c r="J151"/>
      <c r="K151"/>
      <c r="L151"/>
      <c r="M151"/>
      <c r="N151"/>
      <c r="O151"/>
      <c r="P151"/>
      <c r="Q151"/>
      <c r="R151"/>
      <c r="S151" s="6"/>
      <c r="T151" s="4"/>
      <c r="U151" s="320">
        <v>91</v>
      </c>
      <c r="V151" s="346"/>
      <c r="W151" s="347"/>
      <c r="X151"/>
      <c r="Y151"/>
      <c r="Z151"/>
      <c r="AA151"/>
      <c r="AB151"/>
      <c r="AC151"/>
      <c r="AD151"/>
      <c r="AE151"/>
      <c r="AF151"/>
      <c r="AG151"/>
      <c r="AH151"/>
      <c r="AI151"/>
      <c r="AJ151"/>
      <c r="AK151"/>
      <c r="AL151" s="6"/>
      <c r="AM151" s="4"/>
      <c r="AN151" s="320">
        <v>91</v>
      </c>
      <c r="AO151" s="346"/>
      <c r="AP151" s="347"/>
      <c r="AQ151"/>
      <c r="AR151"/>
      <c r="AS151"/>
      <c r="AT151"/>
      <c r="AU151"/>
      <c r="AV151"/>
      <c r="AW151"/>
      <c r="AX151"/>
      <c r="AY151"/>
      <c r="AZ151"/>
      <c r="BA151"/>
      <c r="BB151"/>
      <c r="BC151"/>
      <c r="BD151"/>
      <c r="BE151" s="6"/>
      <c r="BF151" s="4"/>
      <c r="BG151" s="320">
        <v>91</v>
      </c>
      <c r="BH151" s="346"/>
      <c r="BI151" s="347"/>
      <c r="BJ151"/>
      <c r="BK151"/>
      <c r="BL151"/>
      <c r="BM151"/>
      <c r="BN151"/>
      <c r="BO151"/>
      <c r="BP151"/>
      <c r="BQ151"/>
      <c r="BR151"/>
      <c r="BS151"/>
      <c r="BT151"/>
      <c r="BU151"/>
      <c r="BV151"/>
      <c r="BW151"/>
      <c r="BX151" s="6"/>
    </row>
    <row r="152" spans="1:76">
      <c r="A152" s="4"/>
      <c r="B152" s="320">
        <v>92</v>
      </c>
      <c r="C152" s="346"/>
      <c r="D152" s="347"/>
      <c r="E152"/>
      <c r="F152"/>
      <c r="G152"/>
      <c r="H152"/>
      <c r="I152"/>
      <c r="J152"/>
      <c r="K152"/>
      <c r="L152"/>
      <c r="M152"/>
      <c r="N152"/>
      <c r="O152"/>
      <c r="P152"/>
      <c r="Q152"/>
      <c r="R152"/>
      <c r="S152" s="6"/>
      <c r="T152" s="4"/>
      <c r="U152" s="320">
        <v>92</v>
      </c>
      <c r="V152" s="346"/>
      <c r="W152" s="347"/>
      <c r="X152"/>
      <c r="Y152"/>
      <c r="Z152"/>
      <c r="AA152"/>
      <c r="AB152"/>
      <c r="AC152"/>
      <c r="AD152"/>
      <c r="AE152"/>
      <c r="AF152"/>
      <c r="AG152"/>
      <c r="AH152"/>
      <c r="AI152"/>
      <c r="AJ152"/>
      <c r="AK152"/>
      <c r="AL152" s="6"/>
      <c r="AM152" s="4"/>
      <c r="AN152" s="320">
        <v>92</v>
      </c>
      <c r="AO152" s="346"/>
      <c r="AP152" s="347"/>
      <c r="AQ152"/>
      <c r="AR152"/>
      <c r="AS152"/>
      <c r="AT152"/>
      <c r="AU152"/>
      <c r="AV152"/>
      <c r="AW152"/>
      <c r="AX152"/>
      <c r="AY152"/>
      <c r="AZ152"/>
      <c r="BA152"/>
      <c r="BB152"/>
      <c r="BC152"/>
      <c r="BD152"/>
      <c r="BE152" s="6"/>
      <c r="BF152" s="4"/>
      <c r="BG152" s="320">
        <v>92</v>
      </c>
      <c r="BH152" s="346"/>
      <c r="BI152" s="347"/>
      <c r="BJ152"/>
      <c r="BK152"/>
      <c r="BL152"/>
      <c r="BM152"/>
      <c r="BN152"/>
      <c r="BO152"/>
      <c r="BP152"/>
      <c r="BQ152"/>
      <c r="BR152"/>
      <c r="BS152"/>
      <c r="BT152"/>
      <c r="BU152"/>
      <c r="BV152"/>
      <c r="BW152"/>
      <c r="BX152" s="6"/>
    </row>
    <row r="153" spans="1:76">
      <c r="A153" s="4"/>
      <c r="B153" s="320">
        <v>93</v>
      </c>
      <c r="C153" s="346"/>
      <c r="D153" s="347"/>
      <c r="E153"/>
      <c r="F153"/>
      <c r="G153"/>
      <c r="H153"/>
      <c r="I153"/>
      <c r="J153"/>
      <c r="K153"/>
      <c r="L153"/>
      <c r="M153"/>
      <c r="N153"/>
      <c r="O153"/>
      <c r="P153"/>
      <c r="Q153"/>
      <c r="R153"/>
      <c r="S153" s="6"/>
      <c r="T153" s="4"/>
      <c r="U153" s="320">
        <v>93</v>
      </c>
      <c r="V153" s="346"/>
      <c r="W153" s="347"/>
      <c r="X153"/>
      <c r="Y153"/>
      <c r="Z153"/>
      <c r="AA153"/>
      <c r="AB153"/>
      <c r="AC153"/>
      <c r="AD153"/>
      <c r="AE153"/>
      <c r="AF153"/>
      <c r="AG153"/>
      <c r="AH153"/>
      <c r="AI153"/>
      <c r="AJ153"/>
      <c r="AK153"/>
      <c r="AL153" s="6"/>
      <c r="AM153" s="4"/>
      <c r="AN153" s="320">
        <v>93</v>
      </c>
      <c r="AO153" s="346"/>
      <c r="AP153" s="347"/>
      <c r="AQ153"/>
      <c r="AR153"/>
      <c r="AS153"/>
      <c r="AT153"/>
      <c r="AU153"/>
      <c r="AV153"/>
      <c r="AW153"/>
      <c r="AX153"/>
      <c r="AY153"/>
      <c r="AZ153"/>
      <c r="BA153"/>
      <c r="BB153"/>
      <c r="BC153"/>
      <c r="BD153"/>
      <c r="BE153" s="6"/>
      <c r="BF153" s="4"/>
      <c r="BG153" s="320">
        <v>93</v>
      </c>
      <c r="BH153" s="346"/>
      <c r="BI153" s="347"/>
      <c r="BJ153"/>
      <c r="BK153"/>
      <c r="BL153"/>
      <c r="BM153"/>
      <c r="BN153"/>
      <c r="BO153"/>
      <c r="BP153"/>
      <c r="BQ153"/>
      <c r="BR153"/>
      <c r="BS153"/>
      <c r="BT153"/>
      <c r="BU153"/>
      <c r="BV153"/>
      <c r="BW153"/>
      <c r="BX153" s="6"/>
    </row>
    <row r="154" spans="1:76">
      <c r="A154" s="4"/>
      <c r="B154" s="320">
        <v>94</v>
      </c>
      <c r="C154" s="346"/>
      <c r="D154" s="347"/>
      <c r="E154"/>
      <c r="F154"/>
      <c r="G154"/>
      <c r="H154"/>
      <c r="I154"/>
      <c r="J154"/>
      <c r="K154"/>
      <c r="L154"/>
      <c r="M154"/>
      <c r="N154"/>
      <c r="O154"/>
      <c r="P154"/>
      <c r="Q154"/>
      <c r="R154"/>
      <c r="S154" s="6"/>
      <c r="T154" s="4"/>
      <c r="U154" s="320">
        <v>94</v>
      </c>
      <c r="V154" s="346"/>
      <c r="W154" s="347"/>
      <c r="X154"/>
      <c r="Y154"/>
      <c r="Z154"/>
      <c r="AA154"/>
      <c r="AB154"/>
      <c r="AC154"/>
      <c r="AD154"/>
      <c r="AE154"/>
      <c r="AF154"/>
      <c r="AG154"/>
      <c r="AH154"/>
      <c r="AI154"/>
      <c r="AJ154"/>
      <c r="AK154"/>
      <c r="AL154" s="6"/>
      <c r="AM154" s="4"/>
      <c r="AN154" s="320">
        <v>94</v>
      </c>
      <c r="AO154" s="346"/>
      <c r="AP154" s="347"/>
      <c r="AQ154"/>
      <c r="AR154"/>
      <c r="AS154"/>
      <c r="AT154"/>
      <c r="AU154"/>
      <c r="AV154"/>
      <c r="AW154"/>
      <c r="AX154"/>
      <c r="AY154"/>
      <c r="AZ154"/>
      <c r="BA154"/>
      <c r="BB154"/>
      <c r="BC154"/>
      <c r="BD154"/>
      <c r="BE154" s="6"/>
      <c r="BF154" s="4"/>
      <c r="BG154" s="320">
        <v>94</v>
      </c>
      <c r="BH154" s="346"/>
      <c r="BI154" s="347"/>
      <c r="BJ154"/>
      <c r="BK154"/>
      <c r="BL154"/>
      <c r="BM154"/>
      <c r="BN154"/>
      <c r="BO154"/>
      <c r="BP154"/>
      <c r="BQ154"/>
      <c r="BR154"/>
      <c r="BS154"/>
      <c r="BT154"/>
      <c r="BU154"/>
      <c r="BV154"/>
      <c r="BW154"/>
      <c r="BX154" s="6"/>
    </row>
    <row r="155" spans="1:76">
      <c r="A155" s="4"/>
      <c r="B155" s="320">
        <v>95</v>
      </c>
      <c r="C155" s="346"/>
      <c r="D155" s="347"/>
      <c r="E155"/>
      <c r="F155"/>
      <c r="G155"/>
      <c r="H155"/>
      <c r="I155"/>
      <c r="J155"/>
      <c r="K155"/>
      <c r="L155"/>
      <c r="M155"/>
      <c r="N155"/>
      <c r="O155"/>
      <c r="P155"/>
      <c r="Q155"/>
      <c r="R155"/>
      <c r="S155" s="6"/>
      <c r="T155" s="4"/>
      <c r="U155" s="320">
        <v>95</v>
      </c>
      <c r="V155" s="346"/>
      <c r="W155" s="347"/>
      <c r="X155"/>
      <c r="Y155"/>
      <c r="Z155"/>
      <c r="AA155"/>
      <c r="AB155"/>
      <c r="AC155"/>
      <c r="AD155"/>
      <c r="AE155"/>
      <c r="AF155"/>
      <c r="AG155"/>
      <c r="AH155"/>
      <c r="AI155"/>
      <c r="AJ155"/>
      <c r="AK155"/>
      <c r="AL155" s="6"/>
      <c r="AM155" s="4"/>
      <c r="AN155" s="320">
        <v>95</v>
      </c>
      <c r="AO155" s="346"/>
      <c r="AP155" s="347"/>
      <c r="AQ155"/>
      <c r="AR155"/>
      <c r="AS155"/>
      <c r="AT155"/>
      <c r="AU155"/>
      <c r="AV155"/>
      <c r="AW155"/>
      <c r="AX155"/>
      <c r="AY155"/>
      <c r="AZ155"/>
      <c r="BA155"/>
      <c r="BB155"/>
      <c r="BC155"/>
      <c r="BD155"/>
      <c r="BE155" s="6"/>
      <c r="BF155" s="4"/>
      <c r="BG155" s="320">
        <v>95</v>
      </c>
      <c r="BH155" s="346"/>
      <c r="BI155" s="347"/>
      <c r="BJ155"/>
      <c r="BK155"/>
      <c r="BL155"/>
      <c r="BM155"/>
      <c r="BN155"/>
      <c r="BO155"/>
      <c r="BP155"/>
      <c r="BQ155"/>
      <c r="BR155"/>
      <c r="BS155"/>
      <c r="BT155"/>
      <c r="BU155"/>
      <c r="BV155"/>
      <c r="BW155"/>
      <c r="BX155" s="6"/>
    </row>
    <row r="156" spans="1:76">
      <c r="A156" s="4"/>
      <c r="B156" s="320">
        <v>96</v>
      </c>
      <c r="C156" s="346"/>
      <c r="D156" s="347"/>
      <c r="E156"/>
      <c r="F156"/>
      <c r="G156"/>
      <c r="H156"/>
      <c r="I156"/>
      <c r="J156"/>
      <c r="K156"/>
      <c r="L156"/>
      <c r="M156"/>
      <c r="N156"/>
      <c r="O156"/>
      <c r="P156"/>
      <c r="Q156"/>
      <c r="R156"/>
      <c r="S156" s="6"/>
      <c r="T156" s="4"/>
      <c r="U156" s="320">
        <v>96</v>
      </c>
      <c r="V156" s="346"/>
      <c r="W156" s="347"/>
      <c r="X156"/>
      <c r="Y156"/>
      <c r="Z156"/>
      <c r="AA156"/>
      <c r="AB156"/>
      <c r="AC156"/>
      <c r="AD156"/>
      <c r="AE156"/>
      <c r="AF156"/>
      <c r="AG156"/>
      <c r="AH156"/>
      <c r="AI156"/>
      <c r="AJ156"/>
      <c r="AK156"/>
      <c r="AL156" s="6"/>
      <c r="AM156" s="4"/>
      <c r="AN156" s="320">
        <v>96</v>
      </c>
      <c r="AO156" s="346"/>
      <c r="AP156" s="347"/>
      <c r="AQ156"/>
      <c r="AR156"/>
      <c r="AS156"/>
      <c r="AT156"/>
      <c r="AU156"/>
      <c r="AV156"/>
      <c r="AW156"/>
      <c r="AX156"/>
      <c r="AY156"/>
      <c r="AZ156"/>
      <c r="BA156"/>
      <c r="BB156"/>
      <c r="BC156"/>
      <c r="BD156"/>
      <c r="BE156" s="6"/>
      <c r="BF156" s="4"/>
      <c r="BG156" s="320">
        <v>96</v>
      </c>
      <c r="BH156" s="346"/>
      <c r="BI156" s="347"/>
      <c r="BJ156"/>
      <c r="BK156"/>
      <c r="BL156"/>
      <c r="BM156"/>
      <c r="BN156"/>
      <c r="BO156"/>
      <c r="BP156"/>
      <c r="BQ156"/>
      <c r="BR156"/>
      <c r="BS156"/>
      <c r="BT156"/>
      <c r="BU156"/>
      <c r="BV156"/>
      <c r="BW156"/>
      <c r="BX156" s="6"/>
    </row>
    <row r="157" spans="1:76">
      <c r="A157" s="4"/>
      <c r="B157" s="320">
        <v>97</v>
      </c>
      <c r="C157" s="346"/>
      <c r="D157" s="347"/>
      <c r="E157"/>
      <c r="F157"/>
      <c r="G157"/>
      <c r="H157"/>
      <c r="I157"/>
      <c r="J157"/>
      <c r="K157"/>
      <c r="L157"/>
      <c r="M157"/>
      <c r="N157"/>
      <c r="O157"/>
      <c r="P157"/>
      <c r="Q157"/>
      <c r="R157"/>
      <c r="S157" s="6"/>
      <c r="T157" s="4"/>
      <c r="U157" s="320">
        <v>97</v>
      </c>
      <c r="V157" s="346"/>
      <c r="W157" s="347"/>
      <c r="X157"/>
      <c r="Y157"/>
      <c r="Z157"/>
      <c r="AA157"/>
      <c r="AB157"/>
      <c r="AC157"/>
      <c r="AD157"/>
      <c r="AE157"/>
      <c r="AF157"/>
      <c r="AG157"/>
      <c r="AH157"/>
      <c r="AI157"/>
      <c r="AJ157"/>
      <c r="AK157"/>
      <c r="AL157" s="6"/>
      <c r="AM157" s="4"/>
      <c r="AN157" s="320">
        <v>97</v>
      </c>
      <c r="AO157" s="346"/>
      <c r="AP157" s="347"/>
      <c r="AQ157"/>
      <c r="AR157"/>
      <c r="AS157"/>
      <c r="AT157"/>
      <c r="AU157"/>
      <c r="AV157"/>
      <c r="AW157"/>
      <c r="AX157"/>
      <c r="AY157"/>
      <c r="AZ157"/>
      <c r="BA157"/>
      <c r="BB157"/>
      <c r="BC157"/>
      <c r="BD157"/>
      <c r="BE157" s="6"/>
      <c r="BF157" s="4"/>
      <c r="BG157" s="320">
        <v>97</v>
      </c>
      <c r="BH157" s="346"/>
      <c r="BI157" s="347"/>
      <c r="BJ157"/>
      <c r="BK157"/>
      <c r="BL157"/>
      <c r="BM157"/>
      <c r="BN157"/>
      <c r="BO157"/>
      <c r="BP157"/>
      <c r="BQ157"/>
      <c r="BR157"/>
      <c r="BS157"/>
      <c r="BT157"/>
      <c r="BU157"/>
      <c r="BV157"/>
      <c r="BW157"/>
      <c r="BX157" s="6"/>
    </row>
    <row r="158" spans="1:76">
      <c r="A158" s="4"/>
      <c r="B158" s="320">
        <v>98</v>
      </c>
      <c r="C158" s="346"/>
      <c r="D158" s="347"/>
      <c r="E158"/>
      <c r="F158"/>
      <c r="G158"/>
      <c r="H158"/>
      <c r="I158"/>
      <c r="J158"/>
      <c r="K158"/>
      <c r="L158"/>
      <c r="M158"/>
      <c r="N158"/>
      <c r="O158"/>
      <c r="P158"/>
      <c r="Q158"/>
      <c r="R158"/>
      <c r="S158" s="6"/>
      <c r="T158" s="4"/>
      <c r="U158" s="320">
        <v>98</v>
      </c>
      <c r="V158" s="346"/>
      <c r="W158" s="347"/>
      <c r="X158"/>
      <c r="Y158"/>
      <c r="Z158"/>
      <c r="AA158"/>
      <c r="AB158"/>
      <c r="AC158"/>
      <c r="AD158"/>
      <c r="AE158"/>
      <c r="AF158"/>
      <c r="AG158"/>
      <c r="AH158"/>
      <c r="AI158"/>
      <c r="AJ158"/>
      <c r="AK158"/>
      <c r="AL158" s="6"/>
      <c r="AM158" s="4"/>
      <c r="AN158" s="320">
        <v>98</v>
      </c>
      <c r="AO158" s="346"/>
      <c r="AP158" s="347"/>
      <c r="AQ158"/>
      <c r="AR158"/>
      <c r="AS158"/>
      <c r="AT158"/>
      <c r="AU158"/>
      <c r="AV158"/>
      <c r="AW158"/>
      <c r="AX158"/>
      <c r="AY158"/>
      <c r="AZ158"/>
      <c r="BA158"/>
      <c r="BB158"/>
      <c r="BC158"/>
      <c r="BD158"/>
      <c r="BE158" s="6"/>
      <c r="BF158" s="4"/>
      <c r="BG158" s="320">
        <v>98</v>
      </c>
      <c r="BH158" s="346"/>
      <c r="BI158" s="347"/>
      <c r="BJ158"/>
      <c r="BK158"/>
      <c r="BL158"/>
      <c r="BM158"/>
      <c r="BN158"/>
      <c r="BO158"/>
      <c r="BP158"/>
      <c r="BQ158"/>
      <c r="BR158"/>
      <c r="BS158"/>
      <c r="BT158"/>
      <c r="BU158"/>
      <c r="BV158"/>
      <c r="BW158"/>
      <c r="BX158" s="6"/>
    </row>
    <row r="159" spans="1:76">
      <c r="A159" s="4"/>
      <c r="B159" s="320">
        <v>99</v>
      </c>
      <c r="C159" s="346"/>
      <c r="D159" s="347"/>
      <c r="E159"/>
      <c r="F159"/>
      <c r="G159"/>
      <c r="H159"/>
      <c r="I159"/>
      <c r="J159"/>
      <c r="K159"/>
      <c r="L159"/>
      <c r="M159"/>
      <c r="N159"/>
      <c r="O159"/>
      <c r="P159"/>
      <c r="Q159"/>
      <c r="R159"/>
      <c r="S159" s="6"/>
      <c r="T159" s="4"/>
      <c r="U159" s="320">
        <v>99</v>
      </c>
      <c r="V159" s="346"/>
      <c r="W159" s="347"/>
      <c r="X159"/>
      <c r="Y159"/>
      <c r="Z159"/>
      <c r="AA159"/>
      <c r="AB159"/>
      <c r="AC159"/>
      <c r="AD159"/>
      <c r="AE159"/>
      <c r="AF159"/>
      <c r="AG159"/>
      <c r="AH159"/>
      <c r="AI159"/>
      <c r="AJ159"/>
      <c r="AK159"/>
      <c r="AL159" s="6"/>
      <c r="AM159" s="4"/>
      <c r="AN159" s="320">
        <v>99</v>
      </c>
      <c r="AO159" s="346"/>
      <c r="AP159" s="347"/>
      <c r="AQ159"/>
      <c r="AR159"/>
      <c r="AS159"/>
      <c r="AT159"/>
      <c r="AU159"/>
      <c r="AV159"/>
      <c r="AW159"/>
      <c r="AX159"/>
      <c r="AY159"/>
      <c r="AZ159"/>
      <c r="BA159"/>
      <c r="BB159"/>
      <c r="BC159"/>
      <c r="BD159"/>
      <c r="BE159" s="6"/>
      <c r="BF159" s="4"/>
      <c r="BG159" s="320">
        <v>99</v>
      </c>
      <c r="BH159" s="346"/>
      <c r="BI159" s="347"/>
      <c r="BJ159"/>
      <c r="BK159"/>
      <c r="BL159"/>
      <c r="BM159"/>
      <c r="BN159"/>
      <c r="BO159"/>
      <c r="BP159"/>
      <c r="BQ159"/>
      <c r="BR159"/>
      <c r="BS159"/>
      <c r="BT159"/>
      <c r="BU159"/>
      <c r="BV159"/>
      <c r="BW159"/>
      <c r="BX159" s="6"/>
    </row>
    <row r="160" spans="1:76">
      <c r="A160" s="4"/>
      <c r="B160" s="320">
        <v>100</v>
      </c>
      <c r="C160" s="346"/>
      <c r="D160" s="347"/>
      <c r="E160"/>
      <c r="F160"/>
      <c r="G160"/>
      <c r="H160"/>
      <c r="I160"/>
      <c r="J160"/>
      <c r="K160"/>
      <c r="L160"/>
      <c r="M160"/>
      <c r="N160"/>
      <c r="O160"/>
      <c r="P160"/>
      <c r="Q160"/>
      <c r="R160"/>
      <c r="S160" s="6"/>
      <c r="T160" s="4"/>
      <c r="U160" s="320">
        <v>100</v>
      </c>
      <c r="V160" s="346"/>
      <c r="W160" s="347"/>
      <c r="X160"/>
      <c r="Y160"/>
      <c r="Z160"/>
      <c r="AA160"/>
      <c r="AB160"/>
      <c r="AC160"/>
      <c r="AD160"/>
      <c r="AE160"/>
      <c r="AF160"/>
      <c r="AG160"/>
      <c r="AH160"/>
      <c r="AI160"/>
      <c r="AJ160"/>
      <c r="AK160"/>
      <c r="AL160" s="6"/>
      <c r="AM160" s="4"/>
      <c r="AN160" s="320">
        <v>100</v>
      </c>
      <c r="AO160" s="346"/>
      <c r="AP160" s="347"/>
      <c r="AQ160"/>
      <c r="AR160"/>
      <c r="AS160"/>
      <c r="AT160"/>
      <c r="AU160"/>
      <c r="AV160"/>
      <c r="AW160"/>
      <c r="AX160"/>
      <c r="AY160"/>
      <c r="AZ160"/>
      <c r="BA160"/>
      <c r="BB160"/>
      <c r="BC160"/>
      <c r="BD160"/>
      <c r="BE160" s="6"/>
      <c r="BF160" s="4"/>
      <c r="BG160" s="320">
        <v>100</v>
      </c>
      <c r="BH160" s="346"/>
      <c r="BI160" s="347"/>
      <c r="BJ160"/>
      <c r="BK160"/>
      <c r="BL160"/>
      <c r="BM160"/>
      <c r="BN160"/>
      <c r="BO160"/>
      <c r="BP160"/>
      <c r="BQ160"/>
      <c r="BR160"/>
      <c r="BS160"/>
      <c r="BT160"/>
      <c r="BU160"/>
      <c r="BV160"/>
      <c r="BW160"/>
      <c r="BX160" s="6"/>
    </row>
    <row r="161" spans="1:76">
      <c r="A161" s="4"/>
      <c r="B161" s="320">
        <v>101</v>
      </c>
      <c r="C161" s="346"/>
      <c r="D161" s="347"/>
      <c r="E161"/>
      <c r="F161"/>
      <c r="G161"/>
      <c r="H161"/>
      <c r="I161"/>
      <c r="J161"/>
      <c r="K161"/>
      <c r="L161"/>
      <c r="M161"/>
      <c r="N161"/>
      <c r="O161"/>
      <c r="P161"/>
      <c r="Q161"/>
      <c r="R161"/>
      <c r="S161" s="6"/>
      <c r="T161" s="4"/>
      <c r="U161" s="320">
        <v>101</v>
      </c>
      <c r="V161" s="346"/>
      <c r="W161" s="347"/>
      <c r="X161"/>
      <c r="Y161"/>
      <c r="Z161"/>
      <c r="AA161"/>
      <c r="AB161"/>
      <c r="AC161"/>
      <c r="AD161"/>
      <c r="AE161"/>
      <c r="AF161"/>
      <c r="AG161"/>
      <c r="AH161"/>
      <c r="AI161"/>
      <c r="AJ161"/>
      <c r="AK161"/>
      <c r="AL161" s="6"/>
      <c r="AM161" s="4"/>
      <c r="AN161" s="320">
        <v>101</v>
      </c>
      <c r="AO161" s="346"/>
      <c r="AP161" s="347"/>
      <c r="AQ161"/>
      <c r="AR161"/>
      <c r="AS161"/>
      <c r="AT161"/>
      <c r="AU161"/>
      <c r="AV161"/>
      <c r="AW161"/>
      <c r="AX161"/>
      <c r="AY161"/>
      <c r="AZ161"/>
      <c r="BA161"/>
      <c r="BB161"/>
      <c r="BC161"/>
      <c r="BD161"/>
      <c r="BE161" s="6"/>
      <c r="BF161" s="4"/>
      <c r="BG161" s="320">
        <v>101</v>
      </c>
      <c r="BH161" s="346"/>
      <c r="BI161" s="347"/>
      <c r="BJ161"/>
      <c r="BK161"/>
      <c r="BL161"/>
      <c r="BM161"/>
      <c r="BN161"/>
      <c r="BO161"/>
      <c r="BP161"/>
      <c r="BQ161"/>
      <c r="BR161"/>
      <c r="BS161"/>
      <c r="BT161"/>
      <c r="BU161"/>
      <c r="BV161"/>
      <c r="BW161"/>
      <c r="BX161" s="6"/>
    </row>
    <row r="162" spans="1:76">
      <c r="A162" s="4"/>
      <c r="B162" s="320">
        <v>102</v>
      </c>
      <c r="C162" s="346"/>
      <c r="D162" s="347"/>
      <c r="E162"/>
      <c r="F162"/>
      <c r="G162"/>
      <c r="H162"/>
      <c r="I162"/>
      <c r="J162"/>
      <c r="K162"/>
      <c r="L162"/>
      <c r="M162"/>
      <c r="N162"/>
      <c r="O162"/>
      <c r="P162"/>
      <c r="Q162"/>
      <c r="R162"/>
      <c r="S162" s="6"/>
      <c r="T162" s="4"/>
      <c r="U162" s="320">
        <v>102</v>
      </c>
      <c r="V162" s="346"/>
      <c r="W162" s="347"/>
      <c r="X162"/>
      <c r="Y162"/>
      <c r="Z162"/>
      <c r="AA162"/>
      <c r="AB162"/>
      <c r="AC162"/>
      <c r="AD162"/>
      <c r="AE162"/>
      <c r="AF162"/>
      <c r="AG162"/>
      <c r="AH162"/>
      <c r="AI162"/>
      <c r="AJ162"/>
      <c r="AK162"/>
      <c r="AL162" s="6"/>
      <c r="AM162" s="4"/>
      <c r="AN162" s="320">
        <v>102</v>
      </c>
      <c r="AO162" s="346"/>
      <c r="AP162" s="347"/>
      <c r="AQ162"/>
      <c r="AR162"/>
      <c r="AS162"/>
      <c r="AT162"/>
      <c r="AU162"/>
      <c r="AV162"/>
      <c r="AW162"/>
      <c r="AX162"/>
      <c r="AY162"/>
      <c r="AZ162"/>
      <c r="BA162"/>
      <c r="BB162"/>
      <c r="BC162"/>
      <c r="BD162"/>
      <c r="BE162" s="6"/>
      <c r="BF162" s="4"/>
      <c r="BG162" s="320">
        <v>102</v>
      </c>
      <c r="BH162" s="346"/>
      <c r="BI162" s="347"/>
      <c r="BJ162"/>
      <c r="BK162"/>
      <c r="BL162"/>
      <c r="BM162"/>
      <c r="BN162"/>
      <c r="BO162"/>
      <c r="BP162"/>
      <c r="BQ162"/>
      <c r="BR162"/>
      <c r="BS162"/>
      <c r="BT162"/>
      <c r="BU162"/>
      <c r="BV162"/>
      <c r="BW162"/>
      <c r="BX162" s="6"/>
    </row>
    <row r="163" spans="1:76">
      <c r="A163" s="4"/>
      <c r="B163" s="320">
        <v>103</v>
      </c>
      <c r="C163" s="346"/>
      <c r="D163" s="347"/>
      <c r="E163"/>
      <c r="F163"/>
      <c r="G163"/>
      <c r="H163"/>
      <c r="I163"/>
      <c r="J163"/>
      <c r="K163"/>
      <c r="L163"/>
      <c r="M163"/>
      <c r="N163"/>
      <c r="O163"/>
      <c r="P163"/>
      <c r="Q163"/>
      <c r="R163"/>
      <c r="S163" s="6"/>
      <c r="T163" s="4"/>
      <c r="U163" s="320">
        <v>103</v>
      </c>
      <c r="V163" s="346"/>
      <c r="W163" s="347"/>
      <c r="X163"/>
      <c r="Y163"/>
      <c r="Z163"/>
      <c r="AA163"/>
      <c r="AB163"/>
      <c r="AC163"/>
      <c r="AD163"/>
      <c r="AE163"/>
      <c r="AF163"/>
      <c r="AG163"/>
      <c r="AH163"/>
      <c r="AI163"/>
      <c r="AJ163"/>
      <c r="AK163"/>
      <c r="AL163" s="6"/>
      <c r="AM163" s="4"/>
      <c r="AN163" s="320">
        <v>103</v>
      </c>
      <c r="AO163" s="346"/>
      <c r="AP163" s="347"/>
      <c r="AQ163"/>
      <c r="AR163"/>
      <c r="AS163"/>
      <c r="AT163"/>
      <c r="AU163"/>
      <c r="AV163"/>
      <c r="AW163"/>
      <c r="AX163"/>
      <c r="AY163"/>
      <c r="AZ163"/>
      <c r="BA163"/>
      <c r="BB163"/>
      <c r="BC163"/>
      <c r="BD163"/>
      <c r="BE163" s="6"/>
      <c r="BF163" s="4"/>
      <c r="BG163" s="320">
        <v>103</v>
      </c>
      <c r="BH163" s="346"/>
      <c r="BI163" s="347"/>
      <c r="BJ163"/>
      <c r="BK163"/>
      <c r="BL163"/>
      <c r="BM163"/>
      <c r="BN163"/>
      <c r="BO163"/>
      <c r="BP163"/>
      <c r="BQ163"/>
      <c r="BR163"/>
      <c r="BS163"/>
      <c r="BT163"/>
      <c r="BU163"/>
      <c r="BV163"/>
      <c r="BW163"/>
      <c r="BX163" s="6"/>
    </row>
    <row r="164" spans="1:76">
      <c r="A164" s="4"/>
      <c r="B164" s="320">
        <v>104</v>
      </c>
      <c r="C164" s="346"/>
      <c r="D164" s="347"/>
      <c r="E164"/>
      <c r="F164"/>
      <c r="G164"/>
      <c r="H164"/>
      <c r="I164"/>
      <c r="J164"/>
      <c r="K164"/>
      <c r="L164"/>
      <c r="M164"/>
      <c r="N164"/>
      <c r="O164"/>
      <c r="P164"/>
      <c r="Q164"/>
      <c r="R164"/>
      <c r="S164" s="6"/>
      <c r="T164" s="4"/>
      <c r="U164" s="320">
        <v>104</v>
      </c>
      <c r="V164" s="346"/>
      <c r="W164" s="347"/>
      <c r="X164"/>
      <c r="Y164"/>
      <c r="Z164"/>
      <c r="AA164"/>
      <c r="AB164"/>
      <c r="AC164"/>
      <c r="AD164"/>
      <c r="AE164"/>
      <c r="AF164"/>
      <c r="AG164"/>
      <c r="AH164"/>
      <c r="AI164"/>
      <c r="AJ164"/>
      <c r="AK164"/>
      <c r="AL164" s="6"/>
      <c r="AM164" s="4"/>
      <c r="AN164" s="320">
        <v>104</v>
      </c>
      <c r="AO164" s="346"/>
      <c r="AP164" s="347"/>
      <c r="AQ164"/>
      <c r="AR164"/>
      <c r="AS164"/>
      <c r="AT164"/>
      <c r="AU164"/>
      <c r="AV164"/>
      <c r="AW164"/>
      <c r="AX164"/>
      <c r="AY164"/>
      <c r="AZ164"/>
      <c r="BA164"/>
      <c r="BB164"/>
      <c r="BC164"/>
      <c r="BD164"/>
      <c r="BE164" s="6"/>
      <c r="BF164" s="4"/>
      <c r="BG164" s="320">
        <v>104</v>
      </c>
      <c r="BH164" s="346"/>
      <c r="BI164" s="347"/>
      <c r="BJ164"/>
      <c r="BK164"/>
      <c r="BL164"/>
      <c r="BM164"/>
      <c r="BN164"/>
      <c r="BO164"/>
      <c r="BP164"/>
      <c r="BQ164"/>
      <c r="BR164"/>
      <c r="BS164"/>
      <c r="BT164"/>
      <c r="BU164"/>
      <c r="BV164"/>
      <c r="BW164"/>
      <c r="BX164" s="6"/>
    </row>
    <row r="165" spans="1:76">
      <c r="A165" s="4"/>
      <c r="B165" s="320">
        <v>105</v>
      </c>
      <c r="C165" s="346"/>
      <c r="D165" s="347"/>
      <c r="E165"/>
      <c r="F165"/>
      <c r="G165"/>
      <c r="H165"/>
      <c r="I165"/>
      <c r="J165"/>
      <c r="K165"/>
      <c r="L165"/>
      <c r="M165"/>
      <c r="N165"/>
      <c r="O165"/>
      <c r="P165"/>
      <c r="Q165"/>
      <c r="R165"/>
      <c r="S165" s="6"/>
      <c r="T165" s="4"/>
      <c r="U165" s="320">
        <v>105</v>
      </c>
      <c r="V165" s="346"/>
      <c r="W165" s="347"/>
      <c r="X165"/>
      <c r="Y165"/>
      <c r="Z165"/>
      <c r="AA165"/>
      <c r="AB165"/>
      <c r="AC165"/>
      <c r="AD165"/>
      <c r="AE165"/>
      <c r="AF165"/>
      <c r="AG165"/>
      <c r="AH165"/>
      <c r="AI165"/>
      <c r="AJ165"/>
      <c r="AK165"/>
      <c r="AL165" s="6"/>
      <c r="AM165" s="4"/>
      <c r="AN165" s="320">
        <v>105</v>
      </c>
      <c r="AO165" s="346"/>
      <c r="AP165" s="347"/>
      <c r="AQ165"/>
      <c r="AR165"/>
      <c r="AS165"/>
      <c r="AT165"/>
      <c r="AU165"/>
      <c r="AV165"/>
      <c r="AW165"/>
      <c r="AX165"/>
      <c r="AY165"/>
      <c r="AZ165"/>
      <c r="BA165"/>
      <c r="BB165"/>
      <c r="BC165"/>
      <c r="BD165"/>
      <c r="BE165" s="6"/>
      <c r="BF165" s="4"/>
      <c r="BG165" s="320">
        <v>105</v>
      </c>
      <c r="BH165" s="346"/>
      <c r="BI165" s="347"/>
      <c r="BJ165"/>
      <c r="BK165"/>
      <c r="BL165"/>
      <c r="BM165"/>
      <c r="BN165"/>
      <c r="BO165"/>
      <c r="BP165"/>
      <c r="BQ165"/>
      <c r="BR165"/>
      <c r="BS165"/>
      <c r="BT165"/>
      <c r="BU165"/>
      <c r="BV165"/>
      <c r="BW165"/>
      <c r="BX165" s="6"/>
    </row>
    <row r="166" spans="1:76">
      <c r="A166" s="4"/>
      <c r="B166" s="320">
        <v>106</v>
      </c>
      <c r="C166" s="346"/>
      <c r="D166" s="347"/>
      <c r="E166"/>
      <c r="F166"/>
      <c r="G166"/>
      <c r="H166"/>
      <c r="I166"/>
      <c r="J166"/>
      <c r="K166"/>
      <c r="L166"/>
      <c r="M166"/>
      <c r="N166"/>
      <c r="O166"/>
      <c r="P166"/>
      <c r="Q166"/>
      <c r="R166"/>
      <c r="S166" s="6"/>
      <c r="T166" s="4"/>
      <c r="U166" s="320">
        <v>106</v>
      </c>
      <c r="V166" s="346"/>
      <c r="W166" s="347"/>
      <c r="X166"/>
      <c r="Y166"/>
      <c r="Z166"/>
      <c r="AA166"/>
      <c r="AB166"/>
      <c r="AC166"/>
      <c r="AD166"/>
      <c r="AE166"/>
      <c r="AF166"/>
      <c r="AG166"/>
      <c r="AH166"/>
      <c r="AI166"/>
      <c r="AJ166"/>
      <c r="AK166"/>
      <c r="AL166" s="6"/>
      <c r="AM166" s="4"/>
      <c r="AN166" s="320">
        <v>106</v>
      </c>
      <c r="AO166" s="346"/>
      <c r="AP166" s="347"/>
      <c r="AQ166"/>
      <c r="AR166"/>
      <c r="AS166"/>
      <c r="AT166"/>
      <c r="AU166"/>
      <c r="AV166"/>
      <c r="AW166"/>
      <c r="AX166"/>
      <c r="AY166"/>
      <c r="AZ166"/>
      <c r="BA166"/>
      <c r="BB166"/>
      <c r="BC166"/>
      <c r="BD166"/>
      <c r="BE166" s="6"/>
      <c r="BF166" s="4"/>
      <c r="BG166" s="320">
        <v>106</v>
      </c>
      <c r="BH166" s="346"/>
      <c r="BI166" s="347"/>
      <c r="BJ166"/>
      <c r="BK166"/>
      <c r="BL166"/>
      <c r="BM166"/>
      <c r="BN166"/>
      <c r="BO166"/>
      <c r="BP166"/>
      <c r="BQ166"/>
      <c r="BR166"/>
      <c r="BS166"/>
      <c r="BT166"/>
      <c r="BU166"/>
      <c r="BV166"/>
      <c r="BW166"/>
      <c r="BX166" s="6"/>
    </row>
    <row r="167" spans="1:76">
      <c r="A167" s="4"/>
      <c r="B167" s="320">
        <v>107</v>
      </c>
      <c r="C167" s="346"/>
      <c r="D167" s="347"/>
      <c r="E167"/>
      <c r="F167"/>
      <c r="G167"/>
      <c r="H167"/>
      <c r="I167"/>
      <c r="J167"/>
      <c r="K167"/>
      <c r="L167"/>
      <c r="M167"/>
      <c r="N167"/>
      <c r="O167"/>
      <c r="P167"/>
      <c r="Q167"/>
      <c r="R167"/>
      <c r="S167" s="6"/>
      <c r="T167" s="4"/>
      <c r="U167" s="320">
        <v>107</v>
      </c>
      <c r="V167" s="346"/>
      <c r="W167" s="347"/>
      <c r="X167"/>
      <c r="Y167"/>
      <c r="Z167"/>
      <c r="AA167"/>
      <c r="AB167"/>
      <c r="AC167"/>
      <c r="AD167"/>
      <c r="AE167"/>
      <c r="AF167"/>
      <c r="AG167"/>
      <c r="AH167"/>
      <c r="AI167"/>
      <c r="AJ167"/>
      <c r="AK167"/>
      <c r="AL167" s="6"/>
      <c r="AM167" s="4"/>
      <c r="AN167" s="320">
        <v>107</v>
      </c>
      <c r="AO167" s="346"/>
      <c r="AP167" s="347"/>
      <c r="AQ167"/>
      <c r="AR167"/>
      <c r="AS167"/>
      <c r="AT167"/>
      <c r="AU167"/>
      <c r="AV167"/>
      <c r="AW167"/>
      <c r="AX167"/>
      <c r="AY167"/>
      <c r="AZ167"/>
      <c r="BA167"/>
      <c r="BB167"/>
      <c r="BC167"/>
      <c r="BD167"/>
      <c r="BE167" s="6"/>
      <c r="BF167" s="4"/>
      <c r="BG167" s="320">
        <v>107</v>
      </c>
      <c r="BH167" s="346"/>
      <c r="BI167" s="347"/>
      <c r="BJ167"/>
      <c r="BK167"/>
      <c r="BL167"/>
      <c r="BM167"/>
      <c r="BN167"/>
      <c r="BO167"/>
      <c r="BP167"/>
      <c r="BQ167"/>
      <c r="BR167"/>
      <c r="BS167"/>
      <c r="BT167"/>
      <c r="BU167"/>
      <c r="BV167"/>
      <c r="BW167"/>
      <c r="BX167" s="6"/>
    </row>
    <row r="168" spans="1:76">
      <c r="A168" s="4"/>
      <c r="B168" s="320">
        <v>108</v>
      </c>
      <c r="C168" s="346"/>
      <c r="D168" s="347"/>
      <c r="E168"/>
      <c r="F168"/>
      <c r="G168"/>
      <c r="H168"/>
      <c r="I168"/>
      <c r="J168"/>
      <c r="K168"/>
      <c r="L168"/>
      <c r="M168"/>
      <c r="N168"/>
      <c r="O168"/>
      <c r="P168"/>
      <c r="Q168"/>
      <c r="R168"/>
      <c r="S168" s="6"/>
      <c r="T168" s="4"/>
      <c r="U168" s="320">
        <v>108</v>
      </c>
      <c r="V168" s="346"/>
      <c r="W168" s="347"/>
      <c r="X168"/>
      <c r="Y168"/>
      <c r="Z168"/>
      <c r="AA168"/>
      <c r="AB168"/>
      <c r="AC168"/>
      <c r="AD168"/>
      <c r="AE168"/>
      <c r="AF168"/>
      <c r="AG168"/>
      <c r="AH168"/>
      <c r="AI168"/>
      <c r="AJ168"/>
      <c r="AK168"/>
      <c r="AL168" s="6"/>
      <c r="AM168" s="4"/>
      <c r="AN168" s="320">
        <v>108</v>
      </c>
      <c r="AO168" s="346"/>
      <c r="AP168" s="347"/>
      <c r="AQ168"/>
      <c r="AR168"/>
      <c r="AS168"/>
      <c r="AT168"/>
      <c r="AU168"/>
      <c r="AV168"/>
      <c r="AW168"/>
      <c r="AX168"/>
      <c r="AY168"/>
      <c r="AZ168"/>
      <c r="BA168"/>
      <c r="BB168"/>
      <c r="BC168"/>
      <c r="BD168"/>
      <c r="BE168" s="6"/>
      <c r="BF168" s="4"/>
      <c r="BG168" s="320">
        <v>108</v>
      </c>
      <c r="BH168" s="346"/>
      <c r="BI168" s="347"/>
      <c r="BJ168"/>
      <c r="BK168"/>
      <c r="BL168"/>
      <c r="BM168"/>
      <c r="BN168"/>
      <c r="BO168"/>
      <c r="BP168"/>
      <c r="BQ168"/>
      <c r="BR168"/>
      <c r="BS168"/>
      <c r="BT168"/>
      <c r="BU168"/>
      <c r="BV168"/>
      <c r="BW168"/>
      <c r="BX168" s="6"/>
    </row>
    <row r="169" spans="1:76">
      <c r="A169" s="4"/>
      <c r="B169" s="320">
        <v>109</v>
      </c>
      <c r="C169" s="346"/>
      <c r="D169" s="347"/>
      <c r="E169"/>
      <c r="F169"/>
      <c r="G169"/>
      <c r="H169"/>
      <c r="I169"/>
      <c r="J169"/>
      <c r="K169"/>
      <c r="L169"/>
      <c r="M169"/>
      <c r="N169"/>
      <c r="O169"/>
      <c r="P169"/>
      <c r="Q169"/>
      <c r="R169"/>
      <c r="S169" s="6"/>
      <c r="T169" s="4"/>
      <c r="U169" s="320">
        <v>109</v>
      </c>
      <c r="V169" s="346"/>
      <c r="W169" s="347"/>
      <c r="X169"/>
      <c r="Y169"/>
      <c r="Z169"/>
      <c r="AA169"/>
      <c r="AB169"/>
      <c r="AC169"/>
      <c r="AD169"/>
      <c r="AE169"/>
      <c r="AF169"/>
      <c r="AG169"/>
      <c r="AH169"/>
      <c r="AI169"/>
      <c r="AJ169"/>
      <c r="AK169"/>
      <c r="AL169" s="6"/>
      <c r="AM169" s="4"/>
      <c r="AN169" s="320">
        <v>109</v>
      </c>
      <c r="AO169" s="346"/>
      <c r="AP169" s="347"/>
      <c r="AQ169"/>
      <c r="AR169"/>
      <c r="AS169"/>
      <c r="AT169"/>
      <c r="AU169"/>
      <c r="AV169"/>
      <c r="AW169"/>
      <c r="AX169"/>
      <c r="AY169"/>
      <c r="AZ169"/>
      <c r="BA169"/>
      <c r="BB169"/>
      <c r="BC169"/>
      <c r="BD169"/>
      <c r="BE169" s="6"/>
      <c r="BF169" s="4"/>
      <c r="BG169" s="320">
        <v>109</v>
      </c>
      <c r="BH169" s="346"/>
      <c r="BI169" s="347"/>
      <c r="BJ169"/>
      <c r="BK169"/>
      <c r="BL169"/>
      <c r="BM169"/>
      <c r="BN169"/>
      <c r="BO169"/>
      <c r="BP169"/>
      <c r="BQ169"/>
      <c r="BR169"/>
      <c r="BS169"/>
      <c r="BT169"/>
      <c r="BU169"/>
      <c r="BV169"/>
      <c r="BW169"/>
      <c r="BX169" s="6"/>
    </row>
    <row r="170" spans="1:76">
      <c r="A170" s="4"/>
      <c r="B170" s="320">
        <v>110</v>
      </c>
      <c r="C170" s="346"/>
      <c r="D170" s="347"/>
      <c r="E170"/>
      <c r="F170"/>
      <c r="G170"/>
      <c r="H170"/>
      <c r="I170"/>
      <c r="J170"/>
      <c r="K170"/>
      <c r="L170"/>
      <c r="M170"/>
      <c r="N170"/>
      <c r="O170"/>
      <c r="P170"/>
      <c r="Q170"/>
      <c r="R170"/>
      <c r="S170" s="6"/>
      <c r="T170" s="4"/>
      <c r="U170" s="320">
        <v>110</v>
      </c>
      <c r="V170" s="346"/>
      <c r="W170" s="347"/>
      <c r="X170"/>
      <c r="Y170"/>
      <c r="Z170"/>
      <c r="AA170"/>
      <c r="AB170"/>
      <c r="AC170"/>
      <c r="AD170"/>
      <c r="AE170"/>
      <c r="AF170"/>
      <c r="AG170"/>
      <c r="AH170"/>
      <c r="AI170"/>
      <c r="AJ170"/>
      <c r="AK170"/>
      <c r="AL170" s="6"/>
      <c r="AM170" s="4"/>
      <c r="AN170" s="320">
        <v>110</v>
      </c>
      <c r="AO170" s="346"/>
      <c r="AP170" s="347"/>
      <c r="AQ170"/>
      <c r="AR170"/>
      <c r="AS170"/>
      <c r="AT170"/>
      <c r="AU170"/>
      <c r="AV170"/>
      <c r="AW170"/>
      <c r="AX170"/>
      <c r="AY170"/>
      <c r="AZ170"/>
      <c r="BA170"/>
      <c r="BB170"/>
      <c r="BC170"/>
      <c r="BD170"/>
      <c r="BE170" s="6"/>
      <c r="BF170" s="4"/>
      <c r="BG170" s="320">
        <v>110</v>
      </c>
      <c r="BH170" s="346"/>
      <c r="BI170" s="347"/>
      <c r="BJ170"/>
      <c r="BK170"/>
      <c r="BL170"/>
      <c r="BM170"/>
      <c r="BN170"/>
      <c r="BO170"/>
      <c r="BP170"/>
      <c r="BQ170"/>
      <c r="BR170"/>
      <c r="BS170"/>
      <c r="BT170"/>
      <c r="BU170"/>
      <c r="BV170"/>
      <c r="BW170"/>
      <c r="BX170" s="6"/>
    </row>
    <row r="171" spans="1:76">
      <c r="A171" s="4"/>
      <c r="B171" s="320">
        <v>111</v>
      </c>
      <c r="C171" s="346"/>
      <c r="D171" s="347"/>
      <c r="E171"/>
      <c r="F171"/>
      <c r="G171"/>
      <c r="H171"/>
      <c r="I171"/>
      <c r="J171"/>
      <c r="K171"/>
      <c r="L171"/>
      <c r="M171"/>
      <c r="N171"/>
      <c r="O171"/>
      <c r="P171"/>
      <c r="Q171"/>
      <c r="R171"/>
      <c r="S171" s="6"/>
      <c r="T171" s="4"/>
      <c r="U171" s="320">
        <v>111</v>
      </c>
      <c r="V171" s="346"/>
      <c r="W171" s="347"/>
      <c r="X171"/>
      <c r="Y171"/>
      <c r="Z171"/>
      <c r="AA171"/>
      <c r="AB171"/>
      <c r="AC171"/>
      <c r="AD171"/>
      <c r="AE171"/>
      <c r="AF171"/>
      <c r="AG171"/>
      <c r="AH171"/>
      <c r="AI171"/>
      <c r="AJ171"/>
      <c r="AK171"/>
      <c r="AL171" s="6"/>
      <c r="AM171" s="4"/>
      <c r="AN171" s="320">
        <v>111</v>
      </c>
      <c r="AO171" s="346"/>
      <c r="AP171" s="347"/>
      <c r="AQ171"/>
      <c r="AR171"/>
      <c r="AS171"/>
      <c r="AT171"/>
      <c r="AU171"/>
      <c r="AV171"/>
      <c r="AW171"/>
      <c r="AX171"/>
      <c r="AY171"/>
      <c r="AZ171"/>
      <c r="BA171"/>
      <c r="BB171"/>
      <c r="BC171"/>
      <c r="BD171"/>
      <c r="BE171" s="6"/>
      <c r="BF171" s="4"/>
      <c r="BG171" s="320">
        <v>111</v>
      </c>
      <c r="BH171" s="346"/>
      <c r="BI171" s="347"/>
      <c r="BJ171"/>
      <c r="BK171"/>
      <c r="BL171"/>
      <c r="BM171"/>
      <c r="BN171"/>
      <c r="BO171"/>
      <c r="BP171"/>
      <c r="BQ171"/>
      <c r="BR171"/>
      <c r="BS171"/>
      <c r="BT171"/>
      <c r="BU171"/>
      <c r="BV171"/>
      <c r="BW171"/>
      <c r="BX171" s="6"/>
    </row>
    <row r="172" spans="1:76">
      <c r="A172" s="4"/>
      <c r="B172" s="320">
        <v>112</v>
      </c>
      <c r="C172" s="346"/>
      <c r="D172" s="347"/>
      <c r="E172"/>
      <c r="F172"/>
      <c r="G172"/>
      <c r="H172"/>
      <c r="I172"/>
      <c r="J172"/>
      <c r="K172"/>
      <c r="L172"/>
      <c r="M172"/>
      <c r="N172"/>
      <c r="O172"/>
      <c r="P172"/>
      <c r="Q172"/>
      <c r="R172"/>
      <c r="S172" s="6"/>
      <c r="T172" s="4"/>
      <c r="U172" s="320">
        <v>112</v>
      </c>
      <c r="V172" s="346"/>
      <c r="W172" s="347"/>
      <c r="X172"/>
      <c r="Y172"/>
      <c r="Z172"/>
      <c r="AA172"/>
      <c r="AB172"/>
      <c r="AC172"/>
      <c r="AD172"/>
      <c r="AE172"/>
      <c r="AF172"/>
      <c r="AG172"/>
      <c r="AH172"/>
      <c r="AI172"/>
      <c r="AJ172"/>
      <c r="AK172"/>
      <c r="AL172" s="6"/>
      <c r="AM172" s="4"/>
      <c r="AN172" s="320">
        <v>112</v>
      </c>
      <c r="AO172" s="346"/>
      <c r="AP172" s="347"/>
      <c r="AQ172"/>
      <c r="AR172"/>
      <c r="AS172"/>
      <c r="AT172"/>
      <c r="AU172"/>
      <c r="AV172"/>
      <c r="AW172"/>
      <c r="AX172"/>
      <c r="AY172"/>
      <c r="AZ172"/>
      <c r="BA172"/>
      <c r="BB172"/>
      <c r="BC172"/>
      <c r="BD172"/>
      <c r="BE172" s="6"/>
      <c r="BF172" s="4"/>
      <c r="BG172" s="320">
        <v>112</v>
      </c>
      <c r="BH172" s="346"/>
      <c r="BI172" s="347"/>
      <c r="BJ172"/>
      <c r="BK172"/>
      <c r="BL172"/>
      <c r="BM172"/>
      <c r="BN172"/>
      <c r="BO172"/>
      <c r="BP172"/>
      <c r="BQ172"/>
      <c r="BR172"/>
      <c r="BS172"/>
      <c r="BT172"/>
      <c r="BU172"/>
      <c r="BV172"/>
      <c r="BW172"/>
      <c r="BX172" s="6"/>
    </row>
    <row r="173" spans="1:76">
      <c r="A173" s="4"/>
      <c r="B173" s="320">
        <v>113</v>
      </c>
      <c r="C173" s="346"/>
      <c r="D173" s="347"/>
      <c r="E173"/>
      <c r="F173"/>
      <c r="G173"/>
      <c r="H173"/>
      <c r="I173"/>
      <c r="J173"/>
      <c r="K173"/>
      <c r="L173"/>
      <c r="M173"/>
      <c r="N173"/>
      <c r="O173"/>
      <c r="P173"/>
      <c r="Q173"/>
      <c r="R173"/>
      <c r="S173" s="6"/>
      <c r="T173" s="4"/>
      <c r="U173" s="320">
        <v>113</v>
      </c>
      <c r="V173" s="346"/>
      <c r="W173" s="347"/>
      <c r="X173"/>
      <c r="Y173"/>
      <c r="Z173"/>
      <c r="AA173"/>
      <c r="AB173"/>
      <c r="AC173"/>
      <c r="AD173"/>
      <c r="AE173"/>
      <c r="AF173"/>
      <c r="AG173"/>
      <c r="AH173"/>
      <c r="AI173"/>
      <c r="AJ173"/>
      <c r="AK173"/>
      <c r="AL173" s="6"/>
      <c r="AM173" s="4"/>
      <c r="AN173" s="320">
        <v>113</v>
      </c>
      <c r="AO173" s="346"/>
      <c r="AP173" s="347"/>
      <c r="AQ173"/>
      <c r="AR173"/>
      <c r="AS173"/>
      <c r="AT173"/>
      <c r="AU173"/>
      <c r="AV173"/>
      <c r="AW173"/>
      <c r="AX173"/>
      <c r="AY173"/>
      <c r="AZ173"/>
      <c r="BA173"/>
      <c r="BB173"/>
      <c r="BC173"/>
      <c r="BD173"/>
      <c r="BE173" s="6"/>
      <c r="BF173" s="4"/>
      <c r="BG173" s="320">
        <v>113</v>
      </c>
      <c r="BH173" s="346"/>
      <c r="BI173" s="347"/>
      <c r="BJ173"/>
      <c r="BK173"/>
      <c r="BL173"/>
      <c r="BM173"/>
      <c r="BN173"/>
      <c r="BO173"/>
      <c r="BP173"/>
      <c r="BQ173"/>
      <c r="BR173"/>
      <c r="BS173"/>
      <c r="BT173"/>
      <c r="BU173"/>
      <c r="BV173"/>
      <c r="BW173"/>
      <c r="BX173" s="6"/>
    </row>
    <row r="174" spans="1:76">
      <c r="A174" s="4"/>
      <c r="B174" s="320">
        <v>114</v>
      </c>
      <c r="C174" s="346"/>
      <c r="D174" s="347"/>
      <c r="E174"/>
      <c r="F174"/>
      <c r="G174"/>
      <c r="H174"/>
      <c r="I174"/>
      <c r="J174"/>
      <c r="K174"/>
      <c r="L174"/>
      <c r="M174"/>
      <c r="N174"/>
      <c r="O174"/>
      <c r="P174"/>
      <c r="Q174"/>
      <c r="R174"/>
      <c r="S174" s="6"/>
      <c r="T174" s="4"/>
      <c r="U174" s="320">
        <v>114</v>
      </c>
      <c r="V174" s="346"/>
      <c r="W174" s="347"/>
      <c r="X174"/>
      <c r="Y174"/>
      <c r="Z174"/>
      <c r="AA174"/>
      <c r="AB174"/>
      <c r="AC174"/>
      <c r="AD174"/>
      <c r="AE174"/>
      <c r="AF174"/>
      <c r="AG174"/>
      <c r="AH174"/>
      <c r="AI174"/>
      <c r="AJ174"/>
      <c r="AK174"/>
      <c r="AL174" s="6"/>
      <c r="AM174" s="4"/>
      <c r="AN174" s="320">
        <v>114</v>
      </c>
      <c r="AO174" s="346"/>
      <c r="AP174" s="347"/>
      <c r="AQ174"/>
      <c r="AR174"/>
      <c r="AS174"/>
      <c r="AT174"/>
      <c r="AU174"/>
      <c r="AV174"/>
      <c r="AW174"/>
      <c r="AX174"/>
      <c r="AY174"/>
      <c r="AZ174"/>
      <c r="BA174"/>
      <c r="BB174"/>
      <c r="BC174"/>
      <c r="BD174"/>
      <c r="BE174" s="6"/>
      <c r="BF174" s="4"/>
      <c r="BG174" s="320">
        <v>114</v>
      </c>
      <c r="BH174" s="346"/>
      <c r="BI174" s="347"/>
      <c r="BJ174"/>
      <c r="BK174"/>
      <c r="BL174"/>
      <c r="BM174"/>
      <c r="BN174"/>
      <c r="BO174"/>
      <c r="BP174"/>
      <c r="BQ174"/>
      <c r="BR174"/>
      <c r="BS174"/>
      <c r="BT174"/>
      <c r="BU174"/>
      <c r="BV174"/>
      <c r="BW174"/>
      <c r="BX174" s="6"/>
    </row>
    <row r="175" spans="1:76">
      <c r="A175" s="4"/>
      <c r="B175" s="320">
        <v>115</v>
      </c>
      <c r="C175" s="346"/>
      <c r="D175" s="347"/>
      <c r="E175"/>
      <c r="F175"/>
      <c r="G175"/>
      <c r="H175"/>
      <c r="I175"/>
      <c r="J175"/>
      <c r="K175"/>
      <c r="L175"/>
      <c r="M175"/>
      <c r="N175"/>
      <c r="O175"/>
      <c r="P175"/>
      <c r="Q175"/>
      <c r="R175"/>
      <c r="S175" s="6"/>
      <c r="T175" s="4"/>
      <c r="U175" s="320">
        <v>115</v>
      </c>
      <c r="V175" s="346"/>
      <c r="W175" s="347"/>
      <c r="X175"/>
      <c r="Y175"/>
      <c r="Z175"/>
      <c r="AA175"/>
      <c r="AB175"/>
      <c r="AC175"/>
      <c r="AD175"/>
      <c r="AE175"/>
      <c r="AF175"/>
      <c r="AG175"/>
      <c r="AH175"/>
      <c r="AI175"/>
      <c r="AJ175"/>
      <c r="AK175"/>
      <c r="AL175" s="6"/>
      <c r="AM175" s="4"/>
      <c r="AN175" s="320">
        <v>115</v>
      </c>
      <c r="AO175" s="346"/>
      <c r="AP175" s="347"/>
      <c r="AQ175"/>
      <c r="AR175"/>
      <c r="AS175"/>
      <c r="AT175"/>
      <c r="AU175"/>
      <c r="AV175"/>
      <c r="AW175"/>
      <c r="AX175"/>
      <c r="AY175"/>
      <c r="AZ175"/>
      <c r="BA175"/>
      <c r="BB175"/>
      <c r="BC175"/>
      <c r="BD175"/>
      <c r="BE175" s="6"/>
      <c r="BF175" s="4"/>
      <c r="BG175" s="320">
        <v>115</v>
      </c>
      <c r="BH175" s="346"/>
      <c r="BI175" s="347"/>
      <c r="BJ175"/>
      <c r="BK175"/>
      <c r="BL175"/>
      <c r="BM175"/>
      <c r="BN175"/>
      <c r="BO175"/>
      <c r="BP175"/>
      <c r="BQ175"/>
      <c r="BR175"/>
      <c r="BS175"/>
      <c r="BT175"/>
      <c r="BU175"/>
      <c r="BV175"/>
      <c r="BW175"/>
      <c r="BX175" s="6"/>
    </row>
    <row r="176" spans="1:76">
      <c r="A176" s="4"/>
      <c r="B176" s="320">
        <v>116</v>
      </c>
      <c r="C176" s="346"/>
      <c r="D176" s="347"/>
      <c r="E176"/>
      <c r="F176"/>
      <c r="G176"/>
      <c r="H176"/>
      <c r="I176"/>
      <c r="J176"/>
      <c r="K176"/>
      <c r="L176"/>
      <c r="M176"/>
      <c r="N176"/>
      <c r="O176"/>
      <c r="P176"/>
      <c r="Q176"/>
      <c r="R176"/>
      <c r="S176" s="6"/>
      <c r="T176" s="4"/>
      <c r="U176" s="320">
        <v>116</v>
      </c>
      <c r="V176" s="346"/>
      <c r="W176" s="347"/>
      <c r="X176"/>
      <c r="Y176"/>
      <c r="Z176"/>
      <c r="AA176"/>
      <c r="AB176"/>
      <c r="AC176"/>
      <c r="AD176"/>
      <c r="AE176"/>
      <c r="AF176"/>
      <c r="AG176"/>
      <c r="AH176"/>
      <c r="AI176"/>
      <c r="AJ176"/>
      <c r="AK176"/>
      <c r="AL176" s="6"/>
      <c r="AM176" s="4"/>
      <c r="AN176" s="320">
        <v>116</v>
      </c>
      <c r="AO176" s="346"/>
      <c r="AP176" s="347"/>
      <c r="AQ176"/>
      <c r="AR176"/>
      <c r="AS176"/>
      <c r="AT176"/>
      <c r="AU176"/>
      <c r="AV176"/>
      <c r="AW176"/>
      <c r="AX176"/>
      <c r="AY176"/>
      <c r="AZ176"/>
      <c r="BA176"/>
      <c r="BB176"/>
      <c r="BC176"/>
      <c r="BD176"/>
      <c r="BE176" s="6"/>
      <c r="BF176" s="4"/>
      <c r="BG176" s="320">
        <v>116</v>
      </c>
      <c r="BH176" s="346"/>
      <c r="BI176" s="347"/>
      <c r="BJ176"/>
      <c r="BK176"/>
      <c r="BL176"/>
      <c r="BM176"/>
      <c r="BN176"/>
      <c r="BO176"/>
      <c r="BP176"/>
      <c r="BQ176"/>
      <c r="BR176"/>
      <c r="BS176"/>
      <c r="BT176"/>
      <c r="BU176"/>
      <c r="BV176"/>
      <c r="BW176"/>
      <c r="BX176" s="6"/>
    </row>
    <row r="177" spans="1:76">
      <c r="A177" s="4"/>
      <c r="B177" s="320">
        <v>117</v>
      </c>
      <c r="C177" s="346"/>
      <c r="D177" s="347"/>
      <c r="E177"/>
      <c r="F177"/>
      <c r="G177"/>
      <c r="H177"/>
      <c r="I177"/>
      <c r="J177"/>
      <c r="K177"/>
      <c r="L177"/>
      <c r="M177"/>
      <c r="N177"/>
      <c r="O177"/>
      <c r="P177"/>
      <c r="Q177"/>
      <c r="R177"/>
      <c r="S177" s="6"/>
      <c r="T177" s="4"/>
      <c r="U177" s="320">
        <v>117</v>
      </c>
      <c r="V177" s="346"/>
      <c r="W177" s="347"/>
      <c r="X177"/>
      <c r="Y177"/>
      <c r="Z177"/>
      <c r="AA177"/>
      <c r="AB177"/>
      <c r="AC177"/>
      <c r="AD177"/>
      <c r="AE177"/>
      <c r="AF177"/>
      <c r="AG177"/>
      <c r="AH177"/>
      <c r="AI177"/>
      <c r="AJ177"/>
      <c r="AK177"/>
      <c r="AL177" s="6"/>
      <c r="AM177" s="4"/>
      <c r="AN177" s="320">
        <v>117</v>
      </c>
      <c r="AO177" s="346"/>
      <c r="AP177" s="347"/>
      <c r="AQ177"/>
      <c r="AR177"/>
      <c r="AS177"/>
      <c r="AT177"/>
      <c r="AU177"/>
      <c r="AV177"/>
      <c r="AW177"/>
      <c r="AX177"/>
      <c r="AY177"/>
      <c r="AZ177"/>
      <c r="BA177"/>
      <c r="BB177"/>
      <c r="BC177"/>
      <c r="BD177"/>
      <c r="BE177" s="6"/>
      <c r="BF177" s="4"/>
      <c r="BG177" s="320">
        <v>117</v>
      </c>
      <c r="BH177" s="346"/>
      <c r="BI177" s="347"/>
      <c r="BJ177"/>
      <c r="BK177"/>
      <c r="BL177"/>
      <c r="BM177"/>
      <c r="BN177"/>
      <c r="BO177"/>
      <c r="BP177"/>
      <c r="BQ177"/>
      <c r="BR177"/>
      <c r="BS177"/>
      <c r="BT177"/>
      <c r="BU177"/>
      <c r="BV177"/>
      <c r="BW177"/>
      <c r="BX177" s="6"/>
    </row>
    <row r="178" spans="1:76">
      <c r="A178" s="4"/>
      <c r="B178" s="320">
        <v>118</v>
      </c>
      <c r="C178" s="346"/>
      <c r="D178" s="347"/>
      <c r="E178"/>
      <c r="F178"/>
      <c r="G178"/>
      <c r="H178"/>
      <c r="I178"/>
      <c r="J178"/>
      <c r="K178"/>
      <c r="L178"/>
      <c r="M178"/>
      <c r="N178"/>
      <c r="O178"/>
      <c r="P178"/>
      <c r="Q178"/>
      <c r="R178"/>
      <c r="S178" s="6"/>
      <c r="T178" s="4"/>
      <c r="U178" s="320">
        <v>118</v>
      </c>
      <c r="V178" s="346"/>
      <c r="W178" s="347"/>
      <c r="X178"/>
      <c r="Y178"/>
      <c r="Z178"/>
      <c r="AA178"/>
      <c r="AB178"/>
      <c r="AC178"/>
      <c r="AD178"/>
      <c r="AE178"/>
      <c r="AF178"/>
      <c r="AG178"/>
      <c r="AH178"/>
      <c r="AI178"/>
      <c r="AJ178"/>
      <c r="AK178"/>
      <c r="AL178" s="6"/>
      <c r="AM178" s="4"/>
      <c r="AN178" s="320">
        <v>118</v>
      </c>
      <c r="AO178" s="346"/>
      <c r="AP178" s="347"/>
      <c r="AQ178"/>
      <c r="AR178"/>
      <c r="AS178"/>
      <c r="AT178"/>
      <c r="AU178"/>
      <c r="AV178"/>
      <c r="AW178"/>
      <c r="AX178"/>
      <c r="AY178"/>
      <c r="AZ178"/>
      <c r="BA178"/>
      <c r="BB178"/>
      <c r="BC178"/>
      <c r="BD178"/>
      <c r="BE178" s="6"/>
      <c r="BF178" s="4"/>
      <c r="BG178" s="320">
        <v>118</v>
      </c>
      <c r="BH178" s="346"/>
      <c r="BI178" s="347"/>
      <c r="BJ178"/>
      <c r="BK178"/>
      <c r="BL178"/>
      <c r="BM178"/>
      <c r="BN178"/>
      <c r="BO178"/>
      <c r="BP178"/>
      <c r="BQ178"/>
      <c r="BR178"/>
      <c r="BS178"/>
      <c r="BT178"/>
      <c r="BU178"/>
      <c r="BV178"/>
      <c r="BW178"/>
      <c r="BX178" s="6"/>
    </row>
    <row r="179" spans="1:76">
      <c r="A179" s="4"/>
      <c r="B179" s="320">
        <v>119</v>
      </c>
      <c r="C179" s="346"/>
      <c r="D179" s="347"/>
      <c r="E179"/>
      <c r="F179"/>
      <c r="G179"/>
      <c r="H179"/>
      <c r="I179"/>
      <c r="J179"/>
      <c r="K179"/>
      <c r="L179"/>
      <c r="M179"/>
      <c r="N179"/>
      <c r="O179"/>
      <c r="P179"/>
      <c r="Q179"/>
      <c r="R179"/>
      <c r="S179" s="6"/>
      <c r="T179" s="4"/>
      <c r="U179" s="320">
        <v>119</v>
      </c>
      <c r="V179" s="346"/>
      <c r="W179" s="347"/>
      <c r="X179"/>
      <c r="Y179"/>
      <c r="Z179"/>
      <c r="AA179"/>
      <c r="AB179"/>
      <c r="AC179"/>
      <c r="AD179"/>
      <c r="AE179"/>
      <c r="AF179"/>
      <c r="AG179"/>
      <c r="AH179"/>
      <c r="AI179"/>
      <c r="AJ179"/>
      <c r="AK179"/>
      <c r="AL179" s="6"/>
      <c r="AM179" s="4"/>
      <c r="AN179" s="320">
        <v>119</v>
      </c>
      <c r="AO179" s="346"/>
      <c r="AP179" s="347"/>
      <c r="AQ179"/>
      <c r="AR179"/>
      <c r="AS179"/>
      <c r="AT179"/>
      <c r="AU179"/>
      <c r="AV179"/>
      <c r="AW179"/>
      <c r="AX179"/>
      <c r="AY179"/>
      <c r="AZ179"/>
      <c r="BA179"/>
      <c r="BB179"/>
      <c r="BC179"/>
      <c r="BD179"/>
      <c r="BE179" s="6"/>
      <c r="BF179" s="4"/>
      <c r="BG179" s="320">
        <v>119</v>
      </c>
      <c r="BH179" s="346"/>
      <c r="BI179" s="347"/>
      <c r="BJ179"/>
      <c r="BK179"/>
      <c r="BL179"/>
      <c r="BM179"/>
      <c r="BN179"/>
      <c r="BO179"/>
      <c r="BP179"/>
      <c r="BQ179"/>
      <c r="BR179"/>
      <c r="BS179"/>
      <c r="BT179"/>
      <c r="BU179"/>
      <c r="BV179"/>
      <c r="BW179"/>
      <c r="BX179" s="6"/>
    </row>
    <row r="180" spans="1:76">
      <c r="A180" s="4"/>
      <c r="B180" s="320">
        <v>120</v>
      </c>
      <c r="C180" s="346"/>
      <c r="D180" s="347"/>
      <c r="E180"/>
      <c r="F180"/>
      <c r="G180"/>
      <c r="H180"/>
      <c r="I180"/>
      <c r="J180"/>
      <c r="K180"/>
      <c r="L180"/>
      <c r="M180"/>
      <c r="N180"/>
      <c r="O180"/>
      <c r="P180"/>
      <c r="Q180"/>
      <c r="R180"/>
      <c r="S180" s="6"/>
      <c r="T180" s="4"/>
      <c r="U180" s="320">
        <v>120</v>
      </c>
      <c r="V180" s="346"/>
      <c r="W180" s="347"/>
      <c r="X180"/>
      <c r="Y180"/>
      <c r="Z180"/>
      <c r="AA180"/>
      <c r="AB180"/>
      <c r="AC180"/>
      <c r="AD180"/>
      <c r="AE180"/>
      <c r="AF180"/>
      <c r="AG180"/>
      <c r="AH180"/>
      <c r="AI180"/>
      <c r="AJ180"/>
      <c r="AK180"/>
      <c r="AL180" s="6"/>
      <c r="AM180" s="4"/>
      <c r="AN180" s="320">
        <v>120</v>
      </c>
      <c r="AO180" s="346"/>
      <c r="AP180" s="347"/>
      <c r="AQ180"/>
      <c r="AR180"/>
      <c r="AS180"/>
      <c r="AT180"/>
      <c r="AU180"/>
      <c r="AV180"/>
      <c r="AW180"/>
      <c r="AX180"/>
      <c r="AY180"/>
      <c r="AZ180"/>
      <c r="BA180"/>
      <c r="BB180"/>
      <c r="BC180"/>
      <c r="BD180"/>
      <c r="BE180" s="6"/>
      <c r="BF180" s="4"/>
      <c r="BG180" s="320">
        <v>120</v>
      </c>
      <c r="BH180" s="346"/>
      <c r="BI180" s="347"/>
      <c r="BJ180"/>
      <c r="BK180"/>
      <c r="BL180"/>
      <c r="BM180"/>
      <c r="BN180"/>
      <c r="BO180"/>
      <c r="BP180"/>
      <c r="BQ180"/>
      <c r="BR180"/>
      <c r="BS180"/>
      <c r="BT180"/>
      <c r="BU180"/>
      <c r="BV180"/>
      <c r="BW180"/>
      <c r="BX180" s="6"/>
    </row>
    <row r="181" spans="1:76">
      <c r="A181"/>
      <c r="B181" s="320">
        <v>121</v>
      </c>
      <c r="C181" s="346"/>
      <c r="D181" s="347"/>
      <c r="E181"/>
      <c r="F181"/>
      <c r="G181"/>
      <c r="H181"/>
      <c r="I181"/>
      <c r="J181"/>
      <c r="K181"/>
      <c r="L181"/>
      <c r="M181"/>
      <c r="N181"/>
      <c r="O181"/>
      <c r="P181"/>
      <c r="Q181"/>
      <c r="R181"/>
      <c r="S181" s="6"/>
      <c r="T181"/>
      <c r="U181" s="320">
        <v>121</v>
      </c>
      <c r="V181" s="346"/>
      <c r="W181" s="347"/>
      <c r="X181"/>
      <c r="Y181"/>
      <c r="Z181"/>
      <c r="AA181"/>
      <c r="AB181"/>
      <c r="AC181"/>
      <c r="AD181"/>
      <c r="AE181"/>
      <c r="AF181"/>
      <c r="AG181"/>
      <c r="AH181"/>
      <c r="AI181"/>
      <c r="AJ181"/>
      <c r="AK181"/>
      <c r="AL181" s="6"/>
      <c r="AM181"/>
      <c r="AN181" s="320">
        <v>121</v>
      </c>
      <c r="AO181" s="346"/>
      <c r="AP181" s="347"/>
      <c r="AQ181"/>
      <c r="AR181"/>
      <c r="AS181"/>
      <c r="AT181"/>
      <c r="AU181"/>
      <c r="AV181"/>
      <c r="AW181"/>
      <c r="AX181"/>
      <c r="AY181"/>
      <c r="AZ181"/>
      <c r="BA181"/>
      <c r="BB181"/>
      <c r="BC181"/>
      <c r="BD181"/>
      <c r="BE181" s="6"/>
      <c r="BF181"/>
      <c r="BG181" s="320">
        <v>121</v>
      </c>
      <c r="BH181" s="346"/>
      <c r="BI181" s="347"/>
      <c r="BJ181"/>
      <c r="BK181"/>
      <c r="BL181"/>
      <c r="BM181"/>
      <c r="BN181"/>
      <c r="BO181"/>
      <c r="BP181"/>
      <c r="BQ181"/>
      <c r="BR181"/>
      <c r="BS181"/>
      <c r="BT181"/>
      <c r="BU181"/>
      <c r="BV181"/>
      <c r="BW181"/>
      <c r="BX181" s="6"/>
    </row>
    <row r="182" spans="1:76">
      <c r="A182"/>
      <c r="B182" s="320">
        <v>122</v>
      </c>
      <c r="C182" s="346"/>
      <c r="D182" s="347"/>
      <c r="E182"/>
      <c r="F182"/>
      <c r="G182"/>
      <c r="H182"/>
      <c r="I182"/>
      <c r="J182"/>
      <c r="K182"/>
      <c r="L182"/>
      <c r="M182"/>
      <c r="N182"/>
      <c r="O182"/>
      <c r="P182"/>
      <c r="Q182"/>
      <c r="R182"/>
      <c r="S182" s="6"/>
      <c r="T182"/>
      <c r="U182" s="320">
        <v>122</v>
      </c>
      <c r="V182" s="346"/>
      <c r="W182" s="347"/>
      <c r="X182"/>
      <c r="Y182"/>
      <c r="Z182"/>
      <c r="AA182"/>
      <c r="AB182"/>
      <c r="AC182"/>
      <c r="AD182"/>
      <c r="AE182"/>
      <c r="AF182"/>
      <c r="AG182"/>
      <c r="AH182"/>
      <c r="AI182"/>
      <c r="AJ182"/>
      <c r="AK182"/>
      <c r="AL182" s="6"/>
      <c r="AM182"/>
      <c r="AN182" s="320">
        <v>122</v>
      </c>
      <c r="AO182" s="346"/>
      <c r="AP182" s="347"/>
      <c r="AQ182"/>
      <c r="AR182"/>
      <c r="AS182"/>
      <c r="AT182"/>
      <c r="AU182"/>
      <c r="AV182"/>
      <c r="AW182"/>
      <c r="AX182"/>
      <c r="AY182"/>
      <c r="AZ182"/>
      <c r="BA182"/>
      <c r="BB182"/>
      <c r="BC182"/>
      <c r="BD182"/>
      <c r="BE182" s="6"/>
      <c r="BF182"/>
      <c r="BG182" s="320">
        <v>122</v>
      </c>
      <c r="BH182" s="346"/>
      <c r="BI182" s="347"/>
      <c r="BJ182"/>
      <c r="BK182"/>
      <c r="BL182"/>
      <c r="BM182"/>
      <c r="BN182"/>
      <c r="BO182"/>
      <c r="BP182"/>
      <c r="BQ182"/>
      <c r="BR182"/>
      <c r="BS182"/>
      <c r="BT182"/>
      <c r="BU182"/>
      <c r="BV182"/>
      <c r="BW182"/>
      <c r="BX182" s="6"/>
    </row>
    <row r="183" spans="1:76">
      <c r="A183"/>
      <c r="B183" s="320">
        <v>123</v>
      </c>
      <c r="C183" s="346"/>
      <c r="D183" s="347"/>
      <c r="E183"/>
      <c r="F183"/>
      <c r="G183"/>
      <c r="H183"/>
      <c r="I183"/>
      <c r="J183"/>
      <c r="K183"/>
      <c r="L183"/>
      <c r="M183"/>
      <c r="N183"/>
      <c r="O183"/>
      <c r="P183"/>
      <c r="Q183"/>
      <c r="R183"/>
      <c r="S183" s="6"/>
      <c r="T183"/>
      <c r="U183" s="320">
        <v>123</v>
      </c>
      <c r="V183" s="346"/>
      <c r="W183" s="347"/>
      <c r="X183"/>
      <c r="Y183"/>
      <c r="Z183"/>
      <c r="AA183"/>
      <c r="AB183"/>
      <c r="AC183"/>
      <c r="AD183"/>
      <c r="AE183"/>
      <c r="AF183"/>
      <c r="AG183"/>
      <c r="AH183"/>
      <c r="AI183"/>
      <c r="AJ183"/>
      <c r="AK183"/>
      <c r="AL183" s="6"/>
      <c r="AM183"/>
      <c r="AN183" s="320">
        <v>123</v>
      </c>
      <c r="AO183" s="346"/>
      <c r="AP183" s="347"/>
      <c r="AQ183"/>
      <c r="AR183"/>
      <c r="AS183"/>
      <c r="AT183"/>
      <c r="AU183"/>
      <c r="AV183"/>
      <c r="AW183"/>
      <c r="AX183"/>
      <c r="AY183"/>
      <c r="AZ183"/>
      <c r="BA183"/>
      <c r="BB183"/>
      <c r="BC183"/>
      <c r="BD183"/>
      <c r="BE183" s="6"/>
      <c r="BF183"/>
      <c r="BG183" s="320">
        <v>123</v>
      </c>
      <c r="BH183" s="346"/>
      <c r="BI183" s="347"/>
      <c r="BJ183"/>
      <c r="BK183"/>
      <c r="BL183"/>
      <c r="BM183"/>
      <c r="BN183"/>
      <c r="BO183"/>
      <c r="BP183"/>
      <c r="BQ183"/>
      <c r="BR183"/>
      <c r="BS183"/>
      <c r="BT183"/>
      <c r="BU183"/>
      <c r="BV183"/>
      <c r="BW183"/>
      <c r="BX183" s="6"/>
    </row>
    <row r="184" spans="1:76">
      <c r="A184"/>
      <c r="B184" s="320">
        <v>124</v>
      </c>
      <c r="C184" s="346"/>
      <c r="D184" s="347"/>
      <c r="E184"/>
      <c r="F184"/>
      <c r="G184"/>
      <c r="H184"/>
      <c r="I184"/>
      <c r="J184"/>
      <c r="K184"/>
      <c r="L184"/>
      <c r="M184"/>
      <c r="N184"/>
      <c r="O184"/>
      <c r="P184"/>
      <c r="Q184"/>
      <c r="R184"/>
      <c r="S184" s="6"/>
      <c r="T184"/>
      <c r="U184" s="320">
        <v>124</v>
      </c>
      <c r="V184" s="346"/>
      <c r="W184" s="347"/>
      <c r="X184"/>
      <c r="Y184"/>
      <c r="Z184"/>
      <c r="AA184"/>
      <c r="AB184"/>
      <c r="AC184"/>
      <c r="AD184"/>
      <c r="AE184"/>
      <c r="AF184"/>
      <c r="AG184"/>
      <c r="AH184"/>
      <c r="AI184"/>
      <c r="AJ184"/>
      <c r="AK184"/>
      <c r="AL184" s="6"/>
      <c r="AM184"/>
      <c r="AN184" s="320">
        <v>124</v>
      </c>
      <c r="AO184" s="346"/>
      <c r="AP184" s="347"/>
      <c r="AQ184"/>
      <c r="AR184"/>
      <c r="AS184"/>
      <c r="AT184"/>
      <c r="AU184"/>
      <c r="AV184"/>
      <c r="AW184"/>
      <c r="AX184"/>
      <c r="AY184"/>
      <c r="AZ184"/>
      <c r="BA184"/>
      <c r="BB184"/>
      <c r="BC184"/>
      <c r="BD184"/>
      <c r="BE184" s="6"/>
      <c r="BF184"/>
      <c r="BG184" s="320">
        <v>124</v>
      </c>
      <c r="BH184" s="346"/>
      <c r="BI184" s="347"/>
      <c r="BJ184"/>
      <c r="BK184"/>
      <c r="BL184"/>
      <c r="BM184"/>
      <c r="BN184"/>
      <c r="BO184"/>
      <c r="BP184"/>
      <c r="BQ184"/>
      <c r="BR184"/>
      <c r="BS184"/>
      <c r="BT184"/>
      <c r="BU184"/>
      <c r="BV184"/>
      <c r="BW184"/>
      <c r="BX184" s="6"/>
    </row>
    <row r="185" spans="1:76">
      <c r="A185"/>
      <c r="B185" s="320">
        <v>125</v>
      </c>
      <c r="C185" s="346"/>
      <c r="D185" s="347"/>
      <c r="E185"/>
      <c r="F185"/>
      <c r="G185"/>
      <c r="H185"/>
      <c r="I185"/>
      <c r="J185"/>
      <c r="K185"/>
      <c r="L185"/>
      <c r="M185"/>
      <c r="N185"/>
      <c r="O185"/>
      <c r="P185"/>
      <c r="Q185"/>
      <c r="R185"/>
      <c r="S185" s="6"/>
      <c r="T185"/>
      <c r="U185" s="320">
        <v>125</v>
      </c>
      <c r="V185" s="346"/>
      <c r="W185" s="347"/>
      <c r="X185"/>
      <c r="Y185"/>
      <c r="Z185"/>
      <c r="AA185"/>
      <c r="AB185"/>
      <c r="AC185"/>
      <c r="AD185"/>
      <c r="AE185"/>
      <c r="AF185"/>
      <c r="AG185"/>
      <c r="AH185"/>
      <c r="AI185"/>
      <c r="AJ185"/>
      <c r="AK185"/>
      <c r="AL185" s="6"/>
      <c r="AM185"/>
      <c r="AN185" s="320">
        <v>125</v>
      </c>
      <c r="AO185" s="346"/>
      <c r="AP185" s="347"/>
      <c r="AQ185"/>
      <c r="AR185"/>
      <c r="AS185"/>
      <c r="AT185"/>
      <c r="AU185"/>
      <c r="AV185"/>
      <c r="AW185"/>
      <c r="AX185"/>
      <c r="AY185"/>
      <c r="AZ185"/>
      <c r="BA185"/>
      <c r="BB185"/>
      <c r="BC185"/>
      <c r="BD185"/>
      <c r="BE185" s="6"/>
      <c r="BF185"/>
      <c r="BG185" s="320">
        <v>125</v>
      </c>
      <c r="BH185" s="346"/>
      <c r="BI185" s="347"/>
      <c r="BJ185"/>
      <c r="BK185"/>
      <c r="BL185"/>
      <c r="BM185"/>
      <c r="BN185"/>
      <c r="BO185"/>
      <c r="BP185"/>
      <c r="BQ185"/>
      <c r="BR185"/>
      <c r="BS185"/>
      <c r="BT185"/>
      <c r="BU185"/>
      <c r="BV185"/>
      <c r="BW185"/>
      <c r="BX185" s="6"/>
    </row>
    <row r="186" spans="1:76">
      <c r="A186"/>
      <c r="B186" s="320">
        <v>126</v>
      </c>
      <c r="C186" s="346"/>
      <c r="D186" s="347"/>
      <c r="E186"/>
      <c r="F186"/>
      <c r="G186"/>
      <c r="H186"/>
      <c r="I186"/>
      <c r="J186"/>
      <c r="K186"/>
      <c r="L186"/>
      <c r="M186"/>
      <c r="N186"/>
      <c r="O186"/>
      <c r="P186"/>
      <c r="Q186"/>
      <c r="R186"/>
      <c r="S186" s="6"/>
      <c r="T186"/>
      <c r="U186" s="320">
        <v>126</v>
      </c>
      <c r="V186" s="346"/>
      <c r="W186" s="347"/>
      <c r="X186"/>
      <c r="Y186"/>
      <c r="Z186"/>
      <c r="AA186"/>
      <c r="AB186"/>
      <c r="AC186"/>
      <c r="AD186"/>
      <c r="AE186"/>
      <c r="AF186"/>
      <c r="AG186"/>
      <c r="AH186"/>
      <c r="AI186"/>
      <c r="AJ186"/>
      <c r="AK186"/>
      <c r="AL186" s="6"/>
      <c r="AM186"/>
      <c r="AN186" s="320">
        <v>126</v>
      </c>
      <c r="AO186" s="346"/>
      <c r="AP186" s="347"/>
      <c r="AQ186"/>
      <c r="AR186"/>
      <c r="AS186"/>
      <c r="AT186"/>
      <c r="AU186"/>
      <c r="AV186"/>
      <c r="AW186"/>
      <c r="AX186"/>
      <c r="AY186"/>
      <c r="AZ186"/>
      <c r="BA186"/>
      <c r="BB186"/>
      <c r="BC186"/>
      <c r="BD186"/>
      <c r="BE186" s="6"/>
      <c r="BF186"/>
      <c r="BG186" s="320">
        <v>126</v>
      </c>
      <c r="BH186" s="346"/>
      <c r="BI186" s="347"/>
      <c r="BJ186"/>
      <c r="BK186"/>
      <c r="BL186"/>
      <c r="BM186"/>
      <c r="BN186"/>
      <c r="BO186"/>
      <c r="BP186"/>
      <c r="BQ186"/>
      <c r="BR186"/>
      <c r="BS186"/>
      <c r="BT186"/>
      <c r="BU186"/>
      <c r="BV186"/>
      <c r="BW186"/>
      <c r="BX186" s="6"/>
    </row>
    <row r="187" spans="1:76">
      <c r="A187"/>
      <c r="B187" s="320">
        <v>127</v>
      </c>
      <c r="C187" s="346"/>
      <c r="D187" s="347"/>
      <c r="E187"/>
      <c r="F187"/>
      <c r="G187"/>
      <c r="H187"/>
      <c r="I187"/>
      <c r="J187"/>
      <c r="K187"/>
      <c r="L187"/>
      <c r="M187"/>
      <c r="N187"/>
      <c r="O187"/>
      <c r="P187"/>
      <c r="Q187"/>
      <c r="R187"/>
      <c r="S187" s="6"/>
      <c r="T187"/>
      <c r="U187" s="320">
        <v>127</v>
      </c>
      <c r="V187" s="346"/>
      <c r="W187" s="347"/>
      <c r="X187"/>
      <c r="Y187"/>
      <c r="Z187"/>
      <c r="AA187"/>
      <c r="AB187"/>
      <c r="AC187"/>
      <c r="AD187"/>
      <c r="AE187"/>
      <c r="AF187"/>
      <c r="AG187"/>
      <c r="AH187"/>
      <c r="AI187"/>
      <c r="AJ187"/>
      <c r="AK187"/>
      <c r="AL187" s="6"/>
      <c r="AM187"/>
      <c r="AN187" s="320">
        <v>127</v>
      </c>
      <c r="AO187" s="346"/>
      <c r="AP187" s="347"/>
      <c r="AQ187"/>
      <c r="AR187"/>
      <c r="AS187"/>
      <c r="AT187"/>
      <c r="AU187"/>
      <c r="AV187"/>
      <c r="AW187"/>
      <c r="AX187"/>
      <c r="AY187"/>
      <c r="AZ187"/>
      <c r="BA187"/>
      <c r="BB187"/>
      <c r="BC187"/>
      <c r="BD187"/>
      <c r="BE187" s="6"/>
      <c r="BF187"/>
      <c r="BG187" s="320">
        <v>127</v>
      </c>
      <c r="BH187" s="346"/>
      <c r="BI187" s="347"/>
      <c r="BJ187"/>
      <c r="BK187"/>
      <c r="BL187"/>
      <c r="BM187"/>
      <c r="BN187"/>
      <c r="BO187"/>
      <c r="BP187"/>
      <c r="BQ187"/>
      <c r="BR187"/>
      <c r="BS187"/>
      <c r="BT187"/>
      <c r="BU187"/>
      <c r="BV187"/>
      <c r="BW187"/>
      <c r="BX187" s="6"/>
    </row>
    <row r="188" spans="1:76">
      <c r="A188"/>
      <c r="B188" s="320">
        <v>128</v>
      </c>
      <c r="C188" s="346"/>
      <c r="D188" s="347"/>
      <c r="E188"/>
      <c r="F188"/>
      <c r="G188"/>
      <c r="H188"/>
      <c r="I188"/>
      <c r="J188"/>
      <c r="K188"/>
      <c r="L188"/>
      <c r="M188"/>
      <c r="N188"/>
      <c r="O188"/>
      <c r="P188"/>
      <c r="Q188"/>
      <c r="R188"/>
      <c r="S188" s="6"/>
      <c r="T188"/>
      <c r="U188" s="320">
        <v>128</v>
      </c>
      <c r="V188" s="346"/>
      <c r="W188" s="347"/>
      <c r="X188"/>
      <c r="Y188"/>
      <c r="Z188"/>
      <c r="AA188"/>
      <c r="AB188"/>
      <c r="AC188"/>
      <c r="AD188"/>
      <c r="AE188"/>
      <c r="AF188"/>
      <c r="AG188"/>
      <c r="AH188"/>
      <c r="AI188"/>
      <c r="AJ188"/>
      <c r="AK188"/>
      <c r="AL188" s="6"/>
      <c r="AM188"/>
      <c r="AN188" s="320">
        <v>128</v>
      </c>
      <c r="AO188" s="346"/>
      <c r="AP188" s="347"/>
      <c r="AQ188"/>
      <c r="AR188"/>
      <c r="AS188"/>
      <c r="AT188"/>
      <c r="AU188"/>
      <c r="AV188"/>
      <c r="AW188"/>
      <c r="AX188"/>
      <c r="AY188"/>
      <c r="AZ188"/>
      <c r="BA188"/>
      <c r="BB188"/>
      <c r="BC188"/>
      <c r="BD188"/>
      <c r="BE188" s="6"/>
      <c r="BF188"/>
      <c r="BG188" s="320">
        <v>128</v>
      </c>
      <c r="BH188" s="346"/>
      <c r="BI188" s="347"/>
      <c r="BJ188"/>
      <c r="BK188"/>
      <c r="BL188"/>
      <c r="BM188"/>
      <c r="BN188"/>
      <c r="BO188"/>
      <c r="BP188"/>
      <c r="BQ188"/>
      <c r="BR188"/>
      <c r="BS188"/>
      <c r="BT188"/>
      <c r="BU188"/>
      <c r="BV188"/>
      <c r="BW188"/>
      <c r="BX188" s="6"/>
    </row>
    <row r="189" spans="1:76">
      <c r="A189"/>
      <c r="B189" s="320">
        <v>129</v>
      </c>
      <c r="C189" s="346"/>
      <c r="D189" s="347"/>
      <c r="E189"/>
      <c r="F189"/>
      <c r="G189"/>
      <c r="H189"/>
      <c r="I189"/>
      <c r="J189"/>
      <c r="K189"/>
      <c r="L189"/>
      <c r="M189"/>
      <c r="N189"/>
      <c r="O189"/>
      <c r="P189"/>
      <c r="Q189"/>
      <c r="R189"/>
      <c r="S189" s="6"/>
      <c r="T189"/>
      <c r="U189" s="320">
        <v>129</v>
      </c>
      <c r="V189" s="346"/>
      <c r="W189" s="347"/>
      <c r="X189"/>
      <c r="Y189"/>
      <c r="Z189"/>
      <c r="AA189"/>
      <c r="AB189"/>
      <c r="AC189"/>
      <c r="AD189"/>
      <c r="AE189"/>
      <c r="AF189"/>
      <c r="AG189"/>
      <c r="AH189"/>
      <c r="AI189"/>
      <c r="AJ189"/>
      <c r="AK189"/>
      <c r="AL189" s="6"/>
      <c r="AM189"/>
      <c r="AN189" s="320">
        <v>129</v>
      </c>
      <c r="AO189" s="346"/>
      <c r="AP189" s="347"/>
      <c r="AQ189"/>
      <c r="AR189"/>
      <c r="AS189"/>
      <c r="AT189"/>
      <c r="AU189"/>
      <c r="AV189"/>
      <c r="AW189"/>
      <c r="AX189"/>
      <c r="AY189"/>
      <c r="AZ189"/>
      <c r="BA189"/>
      <c r="BB189"/>
      <c r="BC189"/>
      <c r="BD189"/>
      <c r="BE189" s="6"/>
      <c r="BF189"/>
      <c r="BG189" s="320">
        <v>129</v>
      </c>
      <c r="BH189" s="346"/>
      <c r="BI189" s="347"/>
      <c r="BJ189"/>
      <c r="BK189"/>
      <c r="BL189"/>
      <c r="BM189"/>
      <c r="BN189"/>
      <c r="BO189"/>
      <c r="BP189"/>
      <c r="BQ189"/>
      <c r="BR189"/>
      <c r="BS189"/>
      <c r="BT189"/>
      <c r="BU189"/>
      <c r="BV189"/>
      <c r="BW189"/>
      <c r="BX189" s="6"/>
    </row>
    <row r="190" spans="1:76">
      <c r="A190"/>
      <c r="B190" s="320">
        <v>130</v>
      </c>
      <c r="C190" s="346"/>
      <c r="D190" s="347"/>
      <c r="E190"/>
      <c r="F190"/>
      <c r="G190"/>
      <c r="H190"/>
      <c r="I190"/>
      <c r="J190"/>
      <c r="K190"/>
      <c r="L190"/>
      <c r="M190"/>
      <c r="N190"/>
      <c r="O190"/>
      <c r="P190"/>
      <c r="Q190"/>
      <c r="R190"/>
      <c r="S190" s="6"/>
      <c r="T190"/>
      <c r="U190" s="320">
        <v>130</v>
      </c>
      <c r="V190" s="346"/>
      <c r="W190" s="347"/>
      <c r="X190"/>
      <c r="Y190"/>
      <c r="Z190"/>
      <c r="AA190"/>
      <c r="AB190"/>
      <c r="AC190"/>
      <c r="AD190"/>
      <c r="AE190"/>
      <c r="AF190"/>
      <c r="AG190"/>
      <c r="AH190"/>
      <c r="AI190"/>
      <c r="AJ190"/>
      <c r="AK190"/>
      <c r="AL190" s="6"/>
      <c r="AM190"/>
      <c r="AN190" s="320">
        <v>130</v>
      </c>
      <c r="AO190" s="346"/>
      <c r="AP190" s="347"/>
      <c r="AQ190"/>
      <c r="AR190"/>
      <c r="AS190"/>
      <c r="AT190"/>
      <c r="AU190"/>
      <c r="AV190"/>
      <c r="AW190"/>
      <c r="AX190"/>
      <c r="AY190"/>
      <c r="AZ190"/>
      <c r="BA190"/>
      <c r="BB190"/>
      <c r="BC190"/>
      <c r="BD190"/>
      <c r="BE190" s="6"/>
      <c r="BF190"/>
      <c r="BG190" s="320">
        <v>130</v>
      </c>
      <c r="BH190" s="346"/>
      <c r="BI190" s="347"/>
      <c r="BJ190"/>
      <c r="BK190"/>
      <c r="BL190"/>
      <c r="BM190"/>
      <c r="BN190"/>
      <c r="BO190"/>
      <c r="BP190"/>
      <c r="BQ190"/>
      <c r="BR190"/>
      <c r="BS190"/>
      <c r="BT190"/>
      <c r="BU190"/>
      <c r="BV190"/>
      <c r="BW190"/>
      <c r="BX190" s="6"/>
    </row>
    <row r="191" spans="1:76">
      <c r="A191"/>
      <c r="B191" s="320">
        <v>131</v>
      </c>
      <c r="C191" s="346"/>
      <c r="D191" s="347"/>
      <c r="E191"/>
      <c r="F191"/>
      <c r="G191"/>
      <c r="H191"/>
      <c r="I191"/>
      <c r="J191"/>
      <c r="K191"/>
      <c r="L191"/>
      <c r="M191"/>
      <c r="N191"/>
      <c r="O191"/>
      <c r="P191"/>
      <c r="Q191"/>
      <c r="R191"/>
      <c r="S191" s="6"/>
      <c r="T191"/>
      <c r="U191" s="320">
        <v>131</v>
      </c>
      <c r="V191" s="346"/>
      <c r="W191" s="347"/>
      <c r="X191"/>
      <c r="Y191"/>
      <c r="Z191"/>
      <c r="AA191"/>
      <c r="AB191"/>
      <c r="AC191"/>
      <c r="AD191"/>
      <c r="AE191"/>
      <c r="AF191"/>
      <c r="AG191"/>
      <c r="AH191"/>
      <c r="AI191"/>
      <c r="AJ191"/>
      <c r="AK191"/>
      <c r="AL191" s="6"/>
      <c r="AM191"/>
      <c r="AN191" s="320">
        <v>131</v>
      </c>
      <c r="AO191" s="346"/>
      <c r="AP191" s="347"/>
      <c r="AQ191"/>
      <c r="AR191"/>
      <c r="AS191"/>
      <c r="AT191"/>
      <c r="AU191"/>
      <c r="AV191"/>
      <c r="AW191"/>
      <c r="AX191"/>
      <c r="AY191"/>
      <c r="AZ191"/>
      <c r="BA191"/>
      <c r="BB191"/>
      <c r="BC191"/>
      <c r="BD191"/>
      <c r="BE191" s="6"/>
      <c r="BF191"/>
      <c r="BG191" s="320">
        <v>131</v>
      </c>
      <c r="BH191" s="346"/>
      <c r="BI191" s="347"/>
      <c r="BJ191"/>
      <c r="BK191"/>
      <c r="BL191"/>
      <c r="BM191"/>
      <c r="BN191"/>
      <c r="BO191"/>
      <c r="BP191"/>
      <c r="BQ191"/>
      <c r="BR191"/>
      <c r="BS191"/>
      <c r="BT191"/>
      <c r="BU191"/>
      <c r="BV191"/>
      <c r="BW191"/>
      <c r="BX191" s="6"/>
    </row>
    <row r="192" spans="1:76">
      <c r="A192"/>
      <c r="B192" s="320">
        <v>132</v>
      </c>
      <c r="C192" s="346"/>
      <c r="D192" s="347"/>
      <c r="E192"/>
      <c r="F192"/>
      <c r="G192"/>
      <c r="H192"/>
      <c r="I192"/>
      <c r="J192"/>
      <c r="K192"/>
      <c r="L192"/>
      <c r="M192"/>
      <c r="N192"/>
      <c r="O192"/>
      <c r="P192"/>
      <c r="Q192"/>
      <c r="R192"/>
      <c r="S192" s="6"/>
      <c r="T192"/>
      <c r="U192" s="320">
        <v>132</v>
      </c>
      <c r="V192" s="346"/>
      <c r="W192" s="347"/>
      <c r="X192"/>
      <c r="Y192"/>
      <c r="Z192"/>
      <c r="AA192"/>
      <c r="AB192"/>
      <c r="AC192"/>
      <c r="AD192"/>
      <c r="AE192"/>
      <c r="AF192"/>
      <c r="AG192"/>
      <c r="AH192"/>
      <c r="AI192"/>
      <c r="AJ192"/>
      <c r="AK192"/>
      <c r="AL192" s="6"/>
      <c r="AM192"/>
      <c r="AN192" s="320">
        <v>132</v>
      </c>
      <c r="AO192" s="346"/>
      <c r="AP192" s="347"/>
      <c r="AQ192"/>
      <c r="AR192"/>
      <c r="AS192"/>
      <c r="AT192"/>
      <c r="AU192"/>
      <c r="AV192"/>
      <c r="AW192"/>
      <c r="AX192"/>
      <c r="AY192"/>
      <c r="AZ192"/>
      <c r="BA192"/>
      <c r="BB192"/>
      <c r="BC192"/>
      <c r="BD192"/>
      <c r="BE192" s="6"/>
      <c r="BF192"/>
      <c r="BG192" s="320">
        <v>132</v>
      </c>
      <c r="BH192" s="346"/>
      <c r="BI192" s="347"/>
      <c r="BJ192"/>
      <c r="BK192"/>
      <c r="BL192"/>
      <c r="BM192"/>
      <c r="BN192"/>
      <c r="BO192"/>
      <c r="BP192"/>
      <c r="BQ192"/>
      <c r="BR192"/>
      <c r="BS192"/>
      <c r="BT192"/>
      <c r="BU192"/>
      <c r="BV192"/>
      <c r="BW192"/>
      <c r="BX192" s="6"/>
    </row>
    <row r="193" spans="1:76">
      <c r="A193"/>
      <c r="B193" s="320">
        <v>133</v>
      </c>
      <c r="C193" s="346"/>
      <c r="D193" s="347"/>
      <c r="E193"/>
      <c r="F193"/>
      <c r="G193"/>
      <c r="H193"/>
      <c r="I193"/>
      <c r="J193"/>
      <c r="K193"/>
      <c r="L193"/>
      <c r="M193"/>
      <c r="N193"/>
      <c r="O193"/>
      <c r="P193"/>
      <c r="Q193"/>
      <c r="R193"/>
      <c r="S193" s="6"/>
      <c r="T193"/>
      <c r="U193" s="320">
        <v>133</v>
      </c>
      <c r="V193" s="346"/>
      <c r="W193" s="347"/>
      <c r="X193"/>
      <c r="Y193"/>
      <c r="Z193"/>
      <c r="AA193"/>
      <c r="AB193"/>
      <c r="AC193"/>
      <c r="AD193"/>
      <c r="AE193"/>
      <c r="AF193"/>
      <c r="AG193"/>
      <c r="AH193"/>
      <c r="AI193"/>
      <c r="AJ193"/>
      <c r="AK193"/>
      <c r="AL193" s="6"/>
      <c r="AM193"/>
      <c r="AN193" s="320">
        <v>133</v>
      </c>
      <c r="AO193" s="346"/>
      <c r="AP193" s="347"/>
      <c r="AQ193"/>
      <c r="AR193"/>
      <c r="AS193"/>
      <c r="AT193"/>
      <c r="AU193"/>
      <c r="AV193"/>
      <c r="AW193"/>
      <c r="AX193"/>
      <c r="AY193"/>
      <c r="AZ193"/>
      <c r="BA193"/>
      <c r="BB193"/>
      <c r="BC193"/>
      <c r="BD193"/>
      <c r="BE193" s="6"/>
      <c r="BF193"/>
      <c r="BG193" s="320">
        <v>133</v>
      </c>
      <c r="BH193" s="346"/>
      <c r="BI193" s="347"/>
      <c r="BJ193"/>
      <c r="BK193"/>
      <c r="BL193"/>
      <c r="BM193"/>
      <c r="BN193"/>
      <c r="BO193"/>
      <c r="BP193"/>
      <c r="BQ193"/>
      <c r="BR193"/>
      <c r="BS193"/>
      <c r="BT193"/>
      <c r="BU193"/>
      <c r="BV193"/>
      <c r="BW193"/>
      <c r="BX193" s="6"/>
    </row>
    <row r="194" spans="1:76">
      <c r="A194"/>
      <c r="B194" s="320">
        <v>134</v>
      </c>
      <c r="C194" s="346"/>
      <c r="D194" s="347"/>
      <c r="E194"/>
      <c r="F194"/>
      <c r="G194"/>
      <c r="H194"/>
      <c r="I194"/>
      <c r="J194"/>
      <c r="K194"/>
      <c r="L194"/>
      <c r="M194"/>
      <c r="N194"/>
      <c r="O194"/>
      <c r="P194"/>
      <c r="Q194"/>
      <c r="R194"/>
      <c r="S194" s="6"/>
      <c r="T194"/>
      <c r="U194" s="320">
        <v>134</v>
      </c>
      <c r="V194" s="346"/>
      <c r="W194" s="347"/>
      <c r="X194"/>
      <c r="Y194"/>
      <c r="Z194"/>
      <c r="AA194"/>
      <c r="AB194"/>
      <c r="AC194"/>
      <c r="AD194"/>
      <c r="AE194"/>
      <c r="AF194"/>
      <c r="AG194"/>
      <c r="AH194"/>
      <c r="AI194"/>
      <c r="AJ194"/>
      <c r="AK194"/>
      <c r="AL194" s="6"/>
      <c r="AM194"/>
      <c r="AN194" s="320">
        <v>134</v>
      </c>
      <c r="AO194" s="346"/>
      <c r="AP194" s="347"/>
      <c r="AQ194"/>
      <c r="AR194"/>
      <c r="AS194"/>
      <c r="AT194"/>
      <c r="AU194"/>
      <c r="AV194"/>
      <c r="AW194"/>
      <c r="AX194"/>
      <c r="AY194"/>
      <c r="AZ194"/>
      <c r="BA194"/>
      <c r="BB194"/>
      <c r="BC194"/>
      <c r="BD194"/>
      <c r="BE194" s="6"/>
      <c r="BF194"/>
      <c r="BG194" s="320">
        <v>134</v>
      </c>
      <c r="BH194" s="346"/>
      <c r="BI194" s="347"/>
      <c r="BJ194"/>
      <c r="BK194"/>
      <c r="BL194"/>
      <c r="BM194"/>
      <c r="BN194"/>
      <c r="BO194"/>
      <c r="BP194"/>
      <c r="BQ194"/>
      <c r="BR194"/>
      <c r="BS194"/>
      <c r="BT194"/>
      <c r="BU194"/>
      <c r="BV194"/>
      <c r="BW194"/>
      <c r="BX194" s="6"/>
    </row>
    <row r="195" spans="1:76">
      <c r="A195"/>
      <c r="B195" s="320">
        <v>135</v>
      </c>
      <c r="C195" s="346"/>
      <c r="D195" s="347"/>
      <c r="E195"/>
      <c r="F195"/>
      <c r="G195"/>
      <c r="H195"/>
      <c r="I195"/>
      <c r="J195"/>
      <c r="K195"/>
      <c r="L195"/>
      <c r="M195"/>
      <c r="N195"/>
      <c r="O195"/>
      <c r="P195"/>
      <c r="Q195"/>
      <c r="R195"/>
      <c r="S195" s="6"/>
      <c r="T195"/>
      <c r="U195" s="320">
        <v>135</v>
      </c>
      <c r="V195" s="346"/>
      <c r="W195" s="347"/>
      <c r="X195"/>
      <c r="Y195"/>
      <c r="Z195"/>
      <c r="AA195"/>
      <c r="AB195"/>
      <c r="AC195"/>
      <c r="AD195"/>
      <c r="AE195"/>
      <c r="AF195"/>
      <c r="AG195"/>
      <c r="AH195"/>
      <c r="AI195"/>
      <c r="AJ195"/>
      <c r="AK195"/>
      <c r="AL195" s="6"/>
      <c r="AM195"/>
      <c r="AN195" s="320">
        <v>135</v>
      </c>
      <c r="AO195" s="346"/>
      <c r="AP195" s="347"/>
      <c r="AQ195"/>
      <c r="AR195"/>
      <c r="AS195"/>
      <c r="AT195"/>
      <c r="AU195"/>
      <c r="AV195"/>
      <c r="AW195"/>
      <c r="AX195"/>
      <c r="AY195"/>
      <c r="AZ195"/>
      <c r="BA195"/>
      <c r="BB195"/>
      <c r="BC195"/>
      <c r="BD195"/>
      <c r="BE195" s="6"/>
      <c r="BF195"/>
      <c r="BG195" s="320">
        <v>135</v>
      </c>
      <c r="BH195" s="346"/>
      <c r="BI195" s="347"/>
      <c r="BJ195"/>
      <c r="BK195"/>
      <c r="BL195"/>
      <c r="BM195"/>
      <c r="BN195"/>
      <c r="BO195"/>
      <c r="BP195"/>
      <c r="BQ195"/>
      <c r="BR195"/>
      <c r="BS195"/>
      <c r="BT195"/>
      <c r="BU195"/>
      <c r="BV195"/>
      <c r="BW195"/>
      <c r="BX195" s="6"/>
    </row>
    <row r="196" spans="1:76">
      <c r="A196"/>
      <c r="B196" s="320">
        <v>136</v>
      </c>
      <c r="C196" s="346"/>
      <c r="D196" s="347"/>
      <c r="E196"/>
      <c r="F196"/>
      <c r="G196"/>
      <c r="H196"/>
      <c r="I196"/>
      <c r="J196"/>
      <c r="K196"/>
      <c r="L196"/>
      <c r="M196"/>
      <c r="N196"/>
      <c r="O196"/>
      <c r="P196"/>
      <c r="Q196"/>
      <c r="R196"/>
      <c r="S196" s="6"/>
      <c r="T196"/>
      <c r="U196" s="320">
        <v>136</v>
      </c>
      <c r="V196" s="346"/>
      <c r="W196" s="347"/>
      <c r="X196"/>
      <c r="Y196"/>
      <c r="Z196"/>
      <c r="AA196"/>
      <c r="AB196"/>
      <c r="AC196"/>
      <c r="AD196"/>
      <c r="AE196"/>
      <c r="AF196"/>
      <c r="AG196"/>
      <c r="AH196"/>
      <c r="AI196"/>
      <c r="AJ196"/>
      <c r="AK196"/>
      <c r="AL196" s="6"/>
      <c r="AM196"/>
      <c r="AN196" s="320">
        <v>136</v>
      </c>
      <c r="AO196" s="346"/>
      <c r="AP196" s="347"/>
      <c r="AQ196"/>
      <c r="AR196"/>
      <c r="AS196"/>
      <c r="AT196"/>
      <c r="AU196"/>
      <c r="AV196"/>
      <c r="AW196"/>
      <c r="AX196"/>
      <c r="AY196"/>
      <c r="AZ196"/>
      <c r="BA196"/>
      <c r="BB196"/>
      <c r="BC196"/>
      <c r="BD196"/>
      <c r="BE196" s="6"/>
      <c r="BF196"/>
      <c r="BG196" s="320">
        <v>136</v>
      </c>
      <c r="BH196" s="346"/>
      <c r="BI196" s="347"/>
      <c r="BJ196"/>
      <c r="BK196"/>
      <c r="BL196"/>
      <c r="BM196"/>
      <c r="BN196"/>
      <c r="BO196"/>
      <c r="BP196"/>
      <c r="BQ196"/>
      <c r="BR196"/>
      <c r="BS196"/>
      <c r="BT196"/>
      <c r="BU196"/>
      <c r="BV196"/>
      <c r="BW196"/>
      <c r="BX196" s="6"/>
    </row>
    <row r="197" spans="1:76">
      <c r="A197"/>
      <c r="B197" s="320">
        <v>137</v>
      </c>
      <c r="C197" s="346"/>
      <c r="D197" s="347"/>
      <c r="E197"/>
      <c r="F197"/>
      <c r="G197"/>
      <c r="H197"/>
      <c r="I197"/>
      <c r="J197"/>
      <c r="K197"/>
      <c r="L197"/>
      <c r="M197"/>
      <c r="N197"/>
      <c r="O197"/>
      <c r="P197"/>
      <c r="Q197"/>
      <c r="R197"/>
      <c r="S197" s="6"/>
      <c r="T197"/>
      <c r="U197" s="320">
        <v>137</v>
      </c>
      <c r="V197" s="346"/>
      <c r="W197" s="347"/>
      <c r="X197"/>
      <c r="Y197"/>
      <c r="Z197"/>
      <c r="AA197"/>
      <c r="AB197"/>
      <c r="AC197"/>
      <c r="AD197"/>
      <c r="AE197"/>
      <c r="AF197"/>
      <c r="AG197"/>
      <c r="AH197"/>
      <c r="AI197"/>
      <c r="AJ197"/>
      <c r="AK197"/>
      <c r="AL197" s="6"/>
      <c r="AM197"/>
      <c r="AN197" s="320">
        <v>137</v>
      </c>
      <c r="AO197" s="346"/>
      <c r="AP197" s="347"/>
      <c r="AQ197"/>
      <c r="AR197"/>
      <c r="AS197"/>
      <c r="AT197"/>
      <c r="AU197"/>
      <c r="AV197"/>
      <c r="AW197"/>
      <c r="AX197"/>
      <c r="AY197"/>
      <c r="AZ197"/>
      <c r="BA197"/>
      <c r="BB197"/>
      <c r="BC197"/>
      <c r="BD197"/>
      <c r="BE197" s="6"/>
      <c r="BF197"/>
      <c r="BG197" s="320">
        <v>137</v>
      </c>
      <c r="BH197" s="346"/>
      <c r="BI197" s="347"/>
      <c r="BJ197"/>
      <c r="BK197"/>
      <c r="BL197"/>
      <c r="BM197"/>
      <c r="BN197"/>
      <c r="BO197"/>
      <c r="BP197"/>
      <c r="BQ197"/>
      <c r="BR197"/>
      <c r="BS197"/>
      <c r="BT197"/>
      <c r="BU197"/>
      <c r="BV197"/>
      <c r="BW197"/>
      <c r="BX197" s="6"/>
    </row>
    <row r="198" spans="1:76">
      <c r="A198"/>
      <c r="B198" s="320">
        <v>138</v>
      </c>
      <c r="C198" s="346"/>
      <c r="D198" s="347"/>
      <c r="E198"/>
      <c r="F198"/>
      <c r="G198"/>
      <c r="H198"/>
      <c r="I198"/>
      <c r="J198"/>
      <c r="K198"/>
      <c r="L198"/>
      <c r="M198"/>
      <c r="N198"/>
      <c r="O198"/>
      <c r="P198"/>
      <c r="Q198"/>
      <c r="R198"/>
      <c r="S198" s="6"/>
      <c r="T198"/>
      <c r="U198" s="320">
        <v>138</v>
      </c>
      <c r="V198" s="346"/>
      <c r="W198" s="347"/>
      <c r="X198"/>
      <c r="Y198"/>
      <c r="Z198"/>
      <c r="AA198"/>
      <c r="AB198"/>
      <c r="AC198"/>
      <c r="AD198"/>
      <c r="AE198"/>
      <c r="AF198"/>
      <c r="AG198"/>
      <c r="AH198"/>
      <c r="AI198"/>
      <c r="AJ198"/>
      <c r="AK198"/>
      <c r="AL198" s="6"/>
      <c r="AM198"/>
      <c r="AN198" s="320">
        <v>138</v>
      </c>
      <c r="AO198" s="346"/>
      <c r="AP198" s="347"/>
      <c r="AQ198"/>
      <c r="AR198"/>
      <c r="AS198"/>
      <c r="AT198"/>
      <c r="AU198"/>
      <c r="AV198"/>
      <c r="AW198"/>
      <c r="AX198"/>
      <c r="AY198"/>
      <c r="AZ198"/>
      <c r="BA198"/>
      <c r="BB198"/>
      <c r="BC198"/>
      <c r="BD198"/>
      <c r="BE198" s="6"/>
      <c r="BF198"/>
      <c r="BG198" s="320">
        <v>138</v>
      </c>
      <c r="BH198" s="346"/>
      <c r="BI198" s="347"/>
      <c r="BJ198"/>
      <c r="BK198"/>
      <c r="BL198"/>
      <c r="BM198"/>
      <c r="BN198"/>
      <c r="BO198"/>
      <c r="BP198"/>
      <c r="BQ198"/>
      <c r="BR198"/>
      <c r="BS198"/>
      <c r="BT198"/>
      <c r="BU198"/>
      <c r="BV198"/>
      <c r="BW198"/>
      <c r="BX198" s="6"/>
    </row>
    <row r="199" spans="1:76">
      <c r="A199"/>
      <c r="B199" s="320">
        <v>139</v>
      </c>
      <c r="C199" s="346"/>
      <c r="D199" s="347"/>
      <c r="E199"/>
      <c r="F199"/>
      <c r="G199"/>
      <c r="H199"/>
      <c r="I199"/>
      <c r="J199"/>
      <c r="K199"/>
      <c r="L199"/>
      <c r="M199"/>
      <c r="N199"/>
      <c r="O199"/>
      <c r="P199"/>
      <c r="Q199"/>
      <c r="R199"/>
      <c r="S199" s="6"/>
      <c r="T199"/>
      <c r="U199" s="320">
        <v>139</v>
      </c>
      <c r="V199" s="346"/>
      <c r="W199" s="347"/>
      <c r="X199"/>
      <c r="Y199"/>
      <c r="Z199"/>
      <c r="AA199"/>
      <c r="AB199"/>
      <c r="AC199"/>
      <c r="AD199"/>
      <c r="AE199"/>
      <c r="AF199"/>
      <c r="AG199"/>
      <c r="AH199"/>
      <c r="AI199"/>
      <c r="AJ199"/>
      <c r="AK199"/>
      <c r="AL199" s="6"/>
      <c r="AM199"/>
      <c r="AN199" s="320">
        <v>139</v>
      </c>
      <c r="AO199" s="346"/>
      <c r="AP199" s="347"/>
      <c r="AQ199"/>
      <c r="AR199"/>
      <c r="AS199"/>
      <c r="AT199"/>
      <c r="AU199"/>
      <c r="AV199"/>
      <c r="AW199"/>
      <c r="AX199"/>
      <c r="AY199"/>
      <c r="AZ199"/>
      <c r="BA199"/>
      <c r="BB199"/>
      <c r="BC199"/>
      <c r="BD199"/>
      <c r="BE199" s="6"/>
      <c r="BF199"/>
      <c r="BG199" s="320">
        <v>139</v>
      </c>
      <c r="BH199" s="346"/>
      <c r="BI199" s="347"/>
      <c r="BJ199"/>
      <c r="BK199"/>
      <c r="BL199"/>
      <c r="BM199"/>
      <c r="BN199"/>
      <c r="BO199"/>
      <c r="BP199"/>
      <c r="BQ199"/>
      <c r="BR199"/>
      <c r="BS199"/>
      <c r="BT199"/>
      <c r="BU199"/>
      <c r="BV199"/>
      <c r="BW199"/>
      <c r="BX199" s="6"/>
    </row>
    <row r="200" spans="1:76">
      <c r="A200"/>
      <c r="B200" s="320">
        <v>140</v>
      </c>
      <c r="C200" s="346"/>
      <c r="D200" s="347"/>
      <c r="E200"/>
      <c r="F200"/>
      <c r="G200"/>
      <c r="H200"/>
      <c r="I200"/>
      <c r="J200"/>
      <c r="K200"/>
      <c r="L200"/>
      <c r="M200"/>
      <c r="N200"/>
      <c r="O200"/>
      <c r="P200"/>
      <c r="Q200"/>
      <c r="R200"/>
      <c r="S200" s="6"/>
      <c r="T200"/>
      <c r="U200" s="320">
        <v>140</v>
      </c>
      <c r="V200" s="346"/>
      <c r="W200" s="347"/>
      <c r="X200"/>
      <c r="Y200"/>
      <c r="Z200"/>
      <c r="AA200"/>
      <c r="AB200"/>
      <c r="AC200"/>
      <c r="AD200"/>
      <c r="AE200"/>
      <c r="AF200"/>
      <c r="AG200"/>
      <c r="AH200"/>
      <c r="AI200"/>
      <c r="AJ200"/>
      <c r="AK200"/>
      <c r="AL200" s="6"/>
      <c r="AM200"/>
      <c r="AN200" s="320">
        <v>140</v>
      </c>
      <c r="AO200" s="346"/>
      <c r="AP200" s="347"/>
      <c r="AQ200"/>
      <c r="AR200"/>
      <c r="AS200"/>
      <c r="AT200"/>
      <c r="AU200"/>
      <c r="AV200"/>
      <c r="AW200"/>
      <c r="AX200"/>
      <c r="AY200"/>
      <c r="AZ200"/>
      <c r="BA200"/>
      <c r="BB200"/>
      <c r="BC200"/>
      <c r="BD200"/>
      <c r="BE200" s="6"/>
      <c r="BF200"/>
      <c r="BG200" s="320">
        <v>140</v>
      </c>
      <c r="BH200" s="346"/>
      <c r="BI200" s="347"/>
      <c r="BJ200"/>
      <c r="BK200"/>
      <c r="BL200"/>
      <c r="BM200"/>
      <c r="BN200"/>
      <c r="BO200"/>
      <c r="BP200"/>
      <c r="BQ200"/>
      <c r="BR200"/>
      <c r="BS200"/>
      <c r="BT200"/>
      <c r="BU200"/>
      <c r="BV200"/>
      <c r="BW200"/>
      <c r="BX200" s="6"/>
    </row>
    <row r="201" spans="1:76">
      <c r="A201"/>
      <c r="B201" s="320">
        <v>141</v>
      </c>
      <c r="C201" s="346"/>
      <c r="D201" s="347"/>
      <c r="E201"/>
      <c r="F201"/>
      <c r="G201"/>
      <c r="H201"/>
      <c r="I201"/>
      <c r="J201"/>
      <c r="K201"/>
      <c r="L201"/>
      <c r="M201"/>
      <c r="N201"/>
      <c r="O201"/>
      <c r="P201"/>
      <c r="Q201"/>
      <c r="R201"/>
      <c r="S201" s="6"/>
      <c r="T201"/>
      <c r="U201" s="320">
        <v>141</v>
      </c>
      <c r="V201" s="346"/>
      <c r="W201" s="347"/>
      <c r="X201"/>
      <c r="Y201"/>
      <c r="Z201"/>
      <c r="AA201"/>
      <c r="AB201"/>
      <c r="AC201"/>
      <c r="AD201"/>
      <c r="AE201"/>
      <c r="AF201"/>
      <c r="AG201"/>
      <c r="AH201"/>
      <c r="AI201"/>
      <c r="AJ201"/>
      <c r="AK201"/>
      <c r="AL201" s="6"/>
      <c r="AM201"/>
      <c r="AN201" s="320">
        <v>141</v>
      </c>
      <c r="AO201" s="346"/>
      <c r="AP201" s="347"/>
      <c r="AQ201"/>
      <c r="AR201"/>
      <c r="AS201"/>
      <c r="AT201"/>
      <c r="AU201"/>
      <c r="AV201"/>
      <c r="AW201"/>
      <c r="AX201"/>
      <c r="AY201"/>
      <c r="AZ201"/>
      <c r="BA201"/>
      <c r="BB201"/>
      <c r="BC201"/>
      <c r="BD201"/>
      <c r="BE201" s="6"/>
      <c r="BF201"/>
      <c r="BG201" s="320">
        <v>141</v>
      </c>
      <c r="BH201" s="346"/>
      <c r="BI201" s="347"/>
      <c r="BJ201"/>
      <c r="BK201"/>
      <c r="BL201"/>
      <c r="BM201"/>
      <c r="BN201"/>
      <c r="BO201"/>
      <c r="BP201"/>
      <c r="BQ201"/>
      <c r="BR201"/>
      <c r="BS201"/>
      <c r="BT201"/>
      <c r="BU201"/>
      <c r="BV201"/>
      <c r="BW201"/>
      <c r="BX201" s="6"/>
    </row>
    <row r="202" spans="1:76">
      <c r="A202"/>
      <c r="B202" s="320">
        <v>142</v>
      </c>
      <c r="C202" s="346"/>
      <c r="D202" s="347"/>
      <c r="E202"/>
      <c r="F202"/>
      <c r="G202"/>
      <c r="H202"/>
      <c r="I202"/>
      <c r="J202"/>
      <c r="K202"/>
      <c r="L202"/>
      <c r="M202"/>
      <c r="N202"/>
      <c r="O202"/>
      <c r="P202"/>
      <c r="Q202"/>
      <c r="R202"/>
      <c r="S202" s="6"/>
      <c r="T202"/>
      <c r="U202" s="320">
        <v>142</v>
      </c>
      <c r="V202" s="346"/>
      <c r="W202" s="347"/>
      <c r="X202"/>
      <c r="Y202"/>
      <c r="Z202"/>
      <c r="AA202"/>
      <c r="AB202"/>
      <c r="AC202"/>
      <c r="AD202"/>
      <c r="AE202"/>
      <c r="AF202"/>
      <c r="AG202"/>
      <c r="AH202"/>
      <c r="AI202"/>
      <c r="AJ202"/>
      <c r="AK202"/>
      <c r="AL202" s="6"/>
      <c r="AM202"/>
      <c r="AN202" s="320">
        <v>142</v>
      </c>
      <c r="AO202" s="346"/>
      <c r="AP202" s="347"/>
      <c r="AQ202"/>
      <c r="AR202"/>
      <c r="AS202"/>
      <c r="AT202"/>
      <c r="AU202"/>
      <c r="AV202"/>
      <c r="AW202"/>
      <c r="AX202"/>
      <c r="AY202"/>
      <c r="AZ202"/>
      <c r="BA202"/>
      <c r="BB202"/>
      <c r="BC202"/>
      <c r="BD202"/>
      <c r="BE202" s="6"/>
      <c r="BF202"/>
      <c r="BG202" s="320">
        <v>142</v>
      </c>
      <c r="BH202" s="346"/>
      <c r="BI202" s="347"/>
      <c r="BJ202"/>
      <c r="BK202"/>
      <c r="BL202"/>
      <c r="BM202"/>
      <c r="BN202"/>
      <c r="BO202"/>
      <c r="BP202"/>
      <c r="BQ202"/>
      <c r="BR202"/>
      <c r="BS202"/>
      <c r="BT202"/>
      <c r="BU202"/>
      <c r="BV202"/>
      <c r="BW202"/>
      <c r="BX202" s="6"/>
    </row>
    <row r="203" spans="1:76">
      <c r="A203"/>
      <c r="B203" s="320">
        <v>143</v>
      </c>
      <c r="C203" s="346"/>
      <c r="D203" s="347"/>
      <c r="E203"/>
      <c r="F203"/>
      <c r="G203"/>
      <c r="H203"/>
      <c r="I203"/>
      <c r="J203"/>
      <c r="K203"/>
      <c r="L203"/>
      <c r="M203"/>
      <c r="N203"/>
      <c r="O203"/>
      <c r="P203"/>
      <c r="Q203"/>
      <c r="R203"/>
      <c r="S203" s="6"/>
      <c r="T203"/>
      <c r="U203" s="320">
        <v>143</v>
      </c>
      <c r="V203" s="346"/>
      <c r="W203" s="347"/>
      <c r="X203"/>
      <c r="Y203"/>
      <c r="Z203"/>
      <c r="AA203"/>
      <c r="AB203"/>
      <c r="AC203"/>
      <c r="AD203"/>
      <c r="AE203"/>
      <c r="AF203"/>
      <c r="AG203"/>
      <c r="AH203"/>
      <c r="AI203"/>
      <c r="AJ203"/>
      <c r="AK203"/>
      <c r="AL203" s="6"/>
      <c r="AM203"/>
      <c r="AN203" s="320">
        <v>143</v>
      </c>
      <c r="AO203" s="346"/>
      <c r="AP203" s="347"/>
      <c r="AQ203"/>
      <c r="AR203"/>
      <c r="AS203"/>
      <c r="AT203"/>
      <c r="AU203"/>
      <c r="AV203"/>
      <c r="AW203"/>
      <c r="AX203"/>
      <c r="AY203"/>
      <c r="AZ203"/>
      <c r="BA203"/>
      <c r="BB203"/>
      <c r="BC203"/>
      <c r="BD203"/>
      <c r="BE203" s="6"/>
      <c r="BF203"/>
      <c r="BG203" s="320">
        <v>143</v>
      </c>
      <c r="BH203" s="346"/>
      <c r="BI203" s="347"/>
      <c r="BJ203"/>
      <c r="BK203"/>
      <c r="BL203"/>
      <c r="BM203"/>
      <c r="BN203"/>
      <c r="BO203"/>
      <c r="BP203"/>
      <c r="BQ203"/>
      <c r="BR203"/>
      <c r="BS203"/>
      <c r="BT203"/>
      <c r="BU203"/>
      <c r="BV203"/>
      <c r="BW203"/>
      <c r="BX203" s="6"/>
    </row>
    <row r="204" spans="1:76">
      <c r="A204"/>
      <c r="B204" s="320">
        <v>144</v>
      </c>
      <c r="C204" s="346"/>
      <c r="D204" s="347"/>
      <c r="E204"/>
      <c r="F204"/>
      <c r="G204"/>
      <c r="H204"/>
      <c r="I204"/>
      <c r="J204"/>
      <c r="K204"/>
      <c r="L204"/>
      <c r="M204"/>
      <c r="N204"/>
      <c r="O204"/>
      <c r="P204"/>
      <c r="Q204"/>
      <c r="R204"/>
      <c r="S204" s="6"/>
      <c r="T204"/>
      <c r="U204" s="320">
        <v>144</v>
      </c>
      <c r="V204" s="346"/>
      <c r="W204" s="347"/>
      <c r="X204"/>
      <c r="Y204"/>
      <c r="Z204"/>
      <c r="AA204"/>
      <c r="AB204"/>
      <c r="AC204"/>
      <c r="AD204"/>
      <c r="AE204"/>
      <c r="AF204"/>
      <c r="AG204"/>
      <c r="AH204"/>
      <c r="AI204"/>
      <c r="AJ204"/>
      <c r="AK204"/>
      <c r="AL204" s="6"/>
      <c r="AM204"/>
      <c r="AN204" s="320">
        <v>144</v>
      </c>
      <c r="AO204" s="346"/>
      <c r="AP204" s="347"/>
      <c r="AQ204"/>
      <c r="AR204"/>
      <c r="AS204"/>
      <c r="AT204"/>
      <c r="AU204"/>
      <c r="AV204"/>
      <c r="AW204"/>
      <c r="AX204"/>
      <c r="AY204"/>
      <c r="AZ204"/>
      <c r="BA204"/>
      <c r="BB204"/>
      <c r="BC204"/>
      <c r="BD204"/>
      <c r="BE204" s="6"/>
      <c r="BF204"/>
      <c r="BG204" s="320">
        <v>144</v>
      </c>
      <c r="BH204" s="346"/>
      <c r="BI204" s="347"/>
      <c r="BJ204"/>
      <c r="BK204"/>
      <c r="BL204"/>
      <c r="BM204"/>
      <c r="BN204"/>
      <c r="BO204"/>
      <c r="BP204"/>
      <c r="BQ204"/>
      <c r="BR204"/>
      <c r="BS204"/>
      <c r="BT204"/>
      <c r="BU204"/>
      <c r="BV204"/>
      <c r="BW204"/>
      <c r="BX204" s="6"/>
    </row>
    <row r="205" spans="1:76">
      <c r="A205"/>
      <c r="B205" s="320">
        <v>145</v>
      </c>
      <c r="C205" s="346"/>
      <c r="D205" s="347"/>
      <c r="E205"/>
      <c r="F205"/>
      <c r="G205"/>
      <c r="H205"/>
      <c r="I205"/>
      <c r="J205"/>
      <c r="K205"/>
      <c r="L205"/>
      <c r="M205"/>
      <c r="N205"/>
      <c r="O205"/>
      <c r="P205"/>
      <c r="Q205"/>
      <c r="R205"/>
      <c r="S205" s="6"/>
      <c r="T205"/>
      <c r="U205" s="320">
        <v>145</v>
      </c>
      <c r="V205" s="346"/>
      <c r="W205" s="347"/>
      <c r="X205"/>
      <c r="Y205"/>
      <c r="Z205"/>
      <c r="AA205"/>
      <c r="AB205"/>
      <c r="AC205"/>
      <c r="AD205"/>
      <c r="AE205"/>
      <c r="AF205"/>
      <c r="AG205"/>
      <c r="AH205"/>
      <c r="AI205"/>
      <c r="AJ205"/>
      <c r="AK205"/>
      <c r="AL205" s="6"/>
      <c r="AM205"/>
      <c r="AN205" s="320">
        <v>145</v>
      </c>
      <c r="AO205" s="346"/>
      <c r="AP205" s="347"/>
      <c r="AQ205"/>
      <c r="AR205"/>
      <c r="AS205"/>
      <c r="AT205"/>
      <c r="AU205"/>
      <c r="AV205"/>
      <c r="AW205"/>
      <c r="AX205"/>
      <c r="AY205"/>
      <c r="AZ205"/>
      <c r="BA205"/>
      <c r="BB205"/>
      <c r="BC205"/>
      <c r="BD205"/>
      <c r="BE205" s="6"/>
      <c r="BF205"/>
      <c r="BG205" s="320">
        <v>145</v>
      </c>
      <c r="BH205" s="346"/>
      <c r="BI205" s="347"/>
      <c r="BJ205"/>
      <c r="BK205"/>
      <c r="BL205"/>
      <c r="BM205"/>
      <c r="BN205"/>
      <c r="BO205"/>
      <c r="BP205"/>
      <c r="BQ205"/>
      <c r="BR205"/>
      <c r="BS205"/>
      <c r="BT205"/>
      <c r="BU205"/>
      <c r="BV205"/>
      <c r="BW205"/>
      <c r="BX205" s="6"/>
    </row>
    <row r="206" spans="1:76">
      <c r="A206"/>
      <c r="B206" s="320">
        <v>146</v>
      </c>
      <c r="C206" s="346"/>
      <c r="D206" s="347"/>
      <c r="E206"/>
      <c r="F206"/>
      <c r="G206"/>
      <c r="H206"/>
      <c r="I206"/>
      <c r="J206"/>
      <c r="K206"/>
      <c r="L206"/>
      <c r="M206"/>
      <c r="N206"/>
      <c r="O206"/>
      <c r="P206"/>
      <c r="Q206"/>
      <c r="R206"/>
      <c r="S206" s="6"/>
      <c r="T206"/>
      <c r="U206" s="320">
        <v>146</v>
      </c>
      <c r="V206" s="346"/>
      <c r="W206" s="347"/>
      <c r="X206"/>
      <c r="Y206"/>
      <c r="Z206"/>
      <c r="AA206"/>
      <c r="AB206"/>
      <c r="AC206"/>
      <c r="AD206"/>
      <c r="AE206"/>
      <c r="AF206"/>
      <c r="AG206"/>
      <c r="AH206"/>
      <c r="AI206"/>
      <c r="AJ206"/>
      <c r="AK206"/>
      <c r="AL206" s="6"/>
      <c r="AM206"/>
      <c r="AN206" s="320">
        <v>146</v>
      </c>
      <c r="AO206" s="346"/>
      <c r="AP206" s="347"/>
      <c r="AQ206"/>
      <c r="AR206"/>
      <c r="AS206"/>
      <c r="AT206"/>
      <c r="AU206"/>
      <c r="AV206"/>
      <c r="AW206"/>
      <c r="AX206"/>
      <c r="AY206"/>
      <c r="AZ206"/>
      <c r="BA206"/>
      <c r="BB206"/>
      <c r="BC206"/>
      <c r="BD206"/>
      <c r="BE206" s="6"/>
      <c r="BF206"/>
      <c r="BG206" s="320">
        <v>146</v>
      </c>
      <c r="BH206" s="346"/>
      <c r="BI206" s="347"/>
      <c r="BJ206"/>
      <c r="BK206"/>
      <c r="BL206"/>
      <c r="BM206"/>
      <c r="BN206"/>
      <c r="BO206"/>
      <c r="BP206"/>
      <c r="BQ206"/>
      <c r="BR206"/>
      <c r="BS206"/>
      <c r="BT206"/>
      <c r="BU206"/>
      <c r="BV206"/>
      <c r="BW206"/>
      <c r="BX206" s="6"/>
    </row>
    <row r="207" spans="1:76">
      <c r="A207"/>
      <c r="B207" s="320">
        <v>147</v>
      </c>
      <c r="C207" s="346"/>
      <c r="D207" s="347"/>
      <c r="E207"/>
      <c r="F207"/>
      <c r="G207"/>
      <c r="H207"/>
      <c r="I207"/>
      <c r="J207"/>
      <c r="K207"/>
      <c r="L207"/>
      <c r="M207"/>
      <c r="N207"/>
      <c r="O207"/>
      <c r="P207"/>
      <c r="Q207"/>
      <c r="R207"/>
      <c r="S207" s="6"/>
      <c r="T207"/>
      <c r="U207" s="320">
        <v>147</v>
      </c>
      <c r="V207" s="346"/>
      <c r="W207" s="347"/>
      <c r="X207"/>
      <c r="Y207"/>
      <c r="Z207"/>
      <c r="AA207"/>
      <c r="AB207"/>
      <c r="AC207"/>
      <c r="AD207"/>
      <c r="AE207"/>
      <c r="AF207"/>
      <c r="AG207"/>
      <c r="AH207"/>
      <c r="AI207"/>
      <c r="AJ207"/>
      <c r="AK207"/>
      <c r="AL207" s="6"/>
      <c r="AM207"/>
      <c r="AN207" s="320">
        <v>147</v>
      </c>
      <c r="AO207" s="346"/>
      <c r="AP207" s="347"/>
      <c r="AQ207"/>
      <c r="AR207"/>
      <c r="AS207"/>
      <c r="AT207"/>
      <c r="AU207"/>
      <c r="AV207"/>
      <c r="AW207"/>
      <c r="AX207"/>
      <c r="AY207"/>
      <c r="AZ207"/>
      <c r="BA207"/>
      <c r="BB207"/>
      <c r="BC207"/>
      <c r="BD207"/>
      <c r="BE207" s="6"/>
      <c r="BF207"/>
      <c r="BG207" s="320">
        <v>147</v>
      </c>
      <c r="BH207" s="346"/>
      <c r="BI207" s="347"/>
      <c r="BJ207"/>
      <c r="BK207"/>
      <c r="BL207"/>
      <c r="BM207"/>
      <c r="BN207"/>
      <c r="BO207"/>
      <c r="BP207"/>
      <c r="BQ207"/>
      <c r="BR207"/>
      <c r="BS207"/>
      <c r="BT207"/>
      <c r="BU207"/>
      <c r="BV207"/>
      <c r="BW207"/>
      <c r="BX207" s="6"/>
    </row>
    <row r="208" spans="1:76">
      <c r="A208"/>
      <c r="B208" s="320">
        <v>148</v>
      </c>
      <c r="C208" s="346"/>
      <c r="D208" s="347"/>
      <c r="E208"/>
      <c r="F208"/>
      <c r="G208"/>
      <c r="H208"/>
      <c r="I208"/>
      <c r="J208"/>
      <c r="K208"/>
      <c r="L208"/>
      <c r="M208"/>
      <c r="N208"/>
      <c r="O208"/>
      <c r="P208"/>
      <c r="Q208"/>
      <c r="R208"/>
      <c r="S208" s="6"/>
      <c r="T208"/>
      <c r="U208" s="320">
        <v>148</v>
      </c>
      <c r="V208" s="346"/>
      <c r="W208" s="347"/>
      <c r="X208"/>
      <c r="Y208"/>
      <c r="Z208"/>
      <c r="AA208"/>
      <c r="AB208"/>
      <c r="AC208"/>
      <c r="AD208"/>
      <c r="AE208"/>
      <c r="AF208"/>
      <c r="AG208"/>
      <c r="AH208"/>
      <c r="AI208"/>
      <c r="AJ208"/>
      <c r="AK208"/>
      <c r="AL208" s="6"/>
      <c r="AM208"/>
      <c r="AN208" s="320">
        <v>148</v>
      </c>
      <c r="AO208" s="346"/>
      <c r="AP208" s="347"/>
      <c r="AQ208"/>
      <c r="AR208"/>
      <c r="AS208"/>
      <c r="AT208"/>
      <c r="AU208"/>
      <c r="AV208"/>
      <c r="AW208"/>
      <c r="AX208"/>
      <c r="AY208"/>
      <c r="AZ208"/>
      <c r="BA208"/>
      <c r="BB208"/>
      <c r="BC208"/>
      <c r="BD208"/>
      <c r="BE208" s="6"/>
      <c r="BF208"/>
      <c r="BG208" s="320">
        <v>148</v>
      </c>
      <c r="BH208" s="346"/>
      <c r="BI208" s="347"/>
      <c r="BJ208"/>
      <c r="BK208"/>
      <c r="BL208"/>
      <c r="BM208"/>
      <c r="BN208"/>
      <c r="BO208"/>
      <c r="BP208"/>
      <c r="BQ208"/>
      <c r="BR208"/>
      <c r="BS208"/>
      <c r="BT208"/>
      <c r="BU208"/>
      <c r="BV208"/>
      <c r="BW208"/>
      <c r="BX208" s="6"/>
    </row>
    <row r="209" spans="1:76">
      <c r="A209"/>
      <c r="B209" s="320">
        <v>149</v>
      </c>
      <c r="C209" s="346"/>
      <c r="D209" s="347"/>
      <c r="E209"/>
      <c r="F209"/>
      <c r="G209"/>
      <c r="H209"/>
      <c r="I209"/>
      <c r="J209"/>
      <c r="K209"/>
      <c r="L209"/>
      <c r="M209"/>
      <c r="N209"/>
      <c r="O209"/>
      <c r="P209"/>
      <c r="Q209"/>
      <c r="R209"/>
      <c r="S209" s="6"/>
      <c r="T209"/>
      <c r="U209" s="320">
        <v>149</v>
      </c>
      <c r="V209" s="346"/>
      <c r="W209" s="347"/>
      <c r="X209"/>
      <c r="Y209"/>
      <c r="Z209"/>
      <c r="AA209"/>
      <c r="AB209"/>
      <c r="AC209"/>
      <c r="AD209"/>
      <c r="AE209"/>
      <c r="AF209"/>
      <c r="AG209"/>
      <c r="AH209"/>
      <c r="AI209"/>
      <c r="AJ209"/>
      <c r="AK209"/>
      <c r="AL209" s="6"/>
      <c r="AM209"/>
      <c r="AN209" s="320">
        <v>149</v>
      </c>
      <c r="AO209" s="346"/>
      <c r="AP209" s="347"/>
      <c r="AQ209"/>
      <c r="AR209"/>
      <c r="AS209"/>
      <c r="AT209"/>
      <c r="AU209"/>
      <c r="AV209"/>
      <c r="AW209"/>
      <c r="AX209"/>
      <c r="AY209"/>
      <c r="AZ209"/>
      <c r="BA209"/>
      <c r="BB209"/>
      <c r="BC209"/>
      <c r="BD209"/>
      <c r="BE209" s="6"/>
      <c r="BF209"/>
      <c r="BG209" s="320">
        <v>149</v>
      </c>
      <c r="BH209" s="346"/>
      <c r="BI209" s="347"/>
      <c r="BJ209"/>
      <c r="BK209"/>
      <c r="BL209"/>
      <c r="BM209"/>
      <c r="BN209"/>
      <c r="BO209"/>
      <c r="BP209"/>
      <c r="BQ209"/>
      <c r="BR209"/>
      <c r="BS209"/>
      <c r="BT209"/>
      <c r="BU209"/>
      <c r="BV209"/>
      <c r="BW209"/>
      <c r="BX209" s="6"/>
    </row>
    <row r="210" spans="1:76">
      <c r="A210"/>
      <c r="B210" s="320">
        <v>150</v>
      </c>
      <c r="C210" s="346"/>
      <c r="D210" s="347"/>
      <c r="E210"/>
      <c r="F210"/>
      <c r="G210"/>
      <c r="H210"/>
      <c r="I210"/>
      <c r="J210"/>
      <c r="K210"/>
      <c r="L210"/>
      <c r="M210"/>
      <c r="N210"/>
      <c r="O210"/>
      <c r="P210"/>
      <c r="Q210"/>
      <c r="R210"/>
      <c r="S210" s="6"/>
      <c r="T210"/>
      <c r="U210" s="320">
        <v>150</v>
      </c>
      <c r="V210" s="346"/>
      <c r="W210" s="347"/>
      <c r="X210"/>
      <c r="Y210"/>
      <c r="Z210"/>
      <c r="AA210"/>
      <c r="AB210"/>
      <c r="AC210"/>
      <c r="AD210"/>
      <c r="AE210"/>
      <c r="AF210"/>
      <c r="AG210"/>
      <c r="AH210"/>
      <c r="AI210"/>
      <c r="AJ210"/>
      <c r="AK210"/>
      <c r="AL210" s="6"/>
      <c r="AM210"/>
      <c r="AN210" s="320">
        <v>150</v>
      </c>
      <c r="AO210" s="346"/>
      <c r="AP210" s="347"/>
      <c r="AQ210"/>
      <c r="AR210"/>
      <c r="AS210"/>
      <c r="AT210"/>
      <c r="AU210"/>
      <c r="AV210"/>
      <c r="AW210"/>
      <c r="AX210"/>
      <c r="AY210"/>
      <c r="AZ210"/>
      <c r="BA210"/>
      <c r="BB210"/>
      <c r="BC210"/>
      <c r="BD210"/>
      <c r="BE210" s="6"/>
      <c r="BF210"/>
      <c r="BG210" s="320">
        <v>150</v>
      </c>
      <c r="BH210" s="346"/>
      <c r="BI210" s="347"/>
      <c r="BJ210"/>
      <c r="BK210"/>
      <c r="BL210"/>
      <c r="BM210"/>
      <c r="BN210"/>
      <c r="BO210"/>
      <c r="BP210"/>
      <c r="BQ210"/>
      <c r="BR210"/>
      <c r="BS210"/>
      <c r="BT210"/>
      <c r="BU210"/>
      <c r="BV210"/>
      <c r="BW210"/>
      <c r="BX210" s="6"/>
    </row>
    <row r="211" spans="1:76">
      <c r="A211"/>
      <c r="B211" s="320">
        <v>151</v>
      </c>
      <c r="C211" s="346"/>
      <c r="D211" s="347"/>
      <c r="E211"/>
      <c r="F211"/>
      <c r="G211"/>
      <c r="H211"/>
      <c r="I211"/>
      <c r="J211"/>
      <c r="K211"/>
      <c r="L211"/>
      <c r="M211"/>
      <c r="N211"/>
      <c r="O211"/>
      <c r="P211"/>
      <c r="Q211"/>
      <c r="R211"/>
      <c r="S211" s="6"/>
      <c r="T211"/>
      <c r="U211" s="320">
        <v>151</v>
      </c>
      <c r="V211" s="346"/>
      <c r="W211" s="347"/>
      <c r="X211"/>
      <c r="Y211"/>
      <c r="Z211"/>
      <c r="AA211"/>
      <c r="AB211"/>
      <c r="AC211"/>
      <c r="AD211"/>
      <c r="AE211"/>
      <c r="AF211"/>
      <c r="AG211"/>
      <c r="AH211"/>
      <c r="AI211"/>
      <c r="AJ211"/>
      <c r="AK211"/>
      <c r="AL211" s="6"/>
      <c r="AM211"/>
      <c r="AN211" s="320">
        <v>151</v>
      </c>
      <c r="AO211" s="346"/>
      <c r="AP211" s="347"/>
      <c r="AQ211"/>
      <c r="AR211"/>
      <c r="AS211"/>
      <c r="AT211"/>
      <c r="AU211"/>
      <c r="AV211"/>
      <c r="AW211"/>
      <c r="AX211"/>
      <c r="AY211"/>
      <c r="AZ211"/>
      <c r="BA211"/>
      <c r="BB211"/>
      <c r="BC211"/>
      <c r="BD211"/>
      <c r="BE211" s="6"/>
      <c r="BF211"/>
      <c r="BG211" s="320">
        <v>151</v>
      </c>
      <c r="BH211" s="346"/>
      <c r="BI211" s="347"/>
      <c r="BJ211"/>
      <c r="BK211"/>
      <c r="BL211"/>
      <c r="BM211"/>
      <c r="BN211"/>
      <c r="BO211"/>
      <c r="BP211"/>
      <c r="BQ211"/>
      <c r="BR211"/>
      <c r="BS211"/>
      <c r="BT211"/>
      <c r="BU211"/>
      <c r="BV211"/>
      <c r="BW211"/>
      <c r="BX211" s="6"/>
    </row>
    <row r="212" spans="1:76">
      <c r="A212"/>
      <c r="B212" s="320">
        <v>152</v>
      </c>
      <c r="C212" s="346"/>
      <c r="D212" s="347"/>
      <c r="E212"/>
      <c r="F212"/>
      <c r="G212"/>
      <c r="H212"/>
      <c r="I212"/>
      <c r="J212"/>
      <c r="K212"/>
      <c r="L212"/>
      <c r="M212"/>
      <c r="N212"/>
      <c r="O212"/>
      <c r="P212"/>
      <c r="Q212"/>
      <c r="R212"/>
      <c r="S212" s="6"/>
      <c r="T212"/>
      <c r="U212" s="320">
        <v>152</v>
      </c>
      <c r="V212" s="346"/>
      <c r="W212" s="347"/>
      <c r="X212"/>
      <c r="Y212"/>
      <c r="Z212"/>
      <c r="AA212"/>
      <c r="AB212"/>
      <c r="AC212"/>
      <c r="AD212"/>
      <c r="AE212"/>
      <c r="AF212"/>
      <c r="AG212"/>
      <c r="AH212"/>
      <c r="AI212"/>
      <c r="AJ212"/>
      <c r="AK212"/>
      <c r="AL212" s="6"/>
      <c r="AM212"/>
      <c r="AN212" s="320">
        <v>152</v>
      </c>
      <c r="AO212" s="346"/>
      <c r="AP212" s="347"/>
      <c r="AQ212"/>
      <c r="AR212"/>
      <c r="AS212"/>
      <c r="AT212"/>
      <c r="AU212"/>
      <c r="AV212"/>
      <c r="AW212"/>
      <c r="AX212"/>
      <c r="AY212"/>
      <c r="AZ212"/>
      <c r="BA212"/>
      <c r="BB212"/>
      <c r="BC212"/>
      <c r="BD212"/>
      <c r="BE212" s="6"/>
      <c r="BF212"/>
      <c r="BG212" s="320">
        <v>152</v>
      </c>
      <c r="BH212" s="346"/>
      <c r="BI212" s="347"/>
      <c r="BJ212"/>
      <c r="BK212"/>
      <c r="BL212"/>
      <c r="BM212"/>
      <c r="BN212"/>
      <c r="BO212"/>
      <c r="BP212"/>
      <c r="BQ212"/>
      <c r="BR212"/>
      <c r="BS212"/>
      <c r="BT212"/>
      <c r="BU212"/>
      <c r="BV212"/>
      <c r="BW212"/>
      <c r="BX212" s="6"/>
    </row>
    <row r="213" spans="1:76">
      <c r="A213"/>
      <c r="B213" s="320">
        <v>153</v>
      </c>
      <c r="C213" s="346"/>
      <c r="D213" s="347"/>
      <c r="E213"/>
      <c r="F213"/>
      <c r="G213"/>
      <c r="H213"/>
      <c r="I213"/>
      <c r="J213"/>
      <c r="K213"/>
      <c r="L213"/>
      <c r="M213"/>
      <c r="N213"/>
      <c r="O213"/>
      <c r="P213"/>
      <c r="Q213"/>
      <c r="R213"/>
      <c r="S213" s="6"/>
      <c r="T213"/>
      <c r="U213" s="320">
        <v>153</v>
      </c>
      <c r="V213" s="346"/>
      <c r="W213" s="347"/>
      <c r="X213"/>
      <c r="Y213"/>
      <c r="Z213"/>
      <c r="AA213"/>
      <c r="AB213"/>
      <c r="AC213"/>
      <c r="AD213"/>
      <c r="AE213"/>
      <c r="AF213"/>
      <c r="AG213"/>
      <c r="AH213"/>
      <c r="AI213"/>
      <c r="AJ213"/>
      <c r="AK213"/>
      <c r="AL213" s="6"/>
      <c r="AM213"/>
      <c r="AN213" s="320">
        <v>153</v>
      </c>
      <c r="AO213" s="346"/>
      <c r="AP213" s="347"/>
      <c r="AQ213"/>
      <c r="AR213"/>
      <c r="AS213"/>
      <c r="AT213"/>
      <c r="AU213"/>
      <c r="AV213"/>
      <c r="AW213"/>
      <c r="AX213"/>
      <c r="AY213"/>
      <c r="AZ213"/>
      <c r="BA213"/>
      <c r="BB213"/>
      <c r="BC213"/>
      <c r="BD213"/>
      <c r="BE213" s="6"/>
      <c r="BF213"/>
      <c r="BG213" s="320">
        <v>153</v>
      </c>
      <c r="BH213" s="346"/>
      <c r="BI213" s="347"/>
      <c r="BJ213"/>
      <c r="BK213"/>
      <c r="BL213"/>
      <c r="BM213"/>
      <c r="BN213"/>
      <c r="BO213"/>
      <c r="BP213"/>
      <c r="BQ213"/>
      <c r="BR213"/>
      <c r="BS213"/>
      <c r="BT213"/>
      <c r="BU213"/>
      <c r="BV213"/>
      <c r="BW213"/>
      <c r="BX213" s="6"/>
    </row>
    <row r="214" spans="1:76">
      <c r="A214"/>
      <c r="B214" s="320">
        <v>154</v>
      </c>
      <c r="C214" s="346"/>
      <c r="D214" s="347"/>
      <c r="E214"/>
      <c r="F214"/>
      <c r="G214"/>
      <c r="H214"/>
      <c r="I214"/>
      <c r="J214"/>
      <c r="K214"/>
      <c r="L214"/>
      <c r="M214"/>
      <c r="N214"/>
      <c r="O214"/>
      <c r="P214"/>
      <c r="Q214"/>
      <c r="R214"/>
      <c r="S214" s="6"/>
      <c r="T214"/>
      <c r="U214" s="320">
        <v>154</v>
      </c>
      <c r="V214" s="346"/>
      <c r="W214" s="347"/>
      <c r="X214"/>
      <c r="Y214"/>
      <c r="Z214"/>
      <c r="AA214"/>
      <c r="AB214"/>
      <c r="AC214"/>
      <c r="AD214"/>
      <c r="AE214"/>
      <c r="AF214"/>
      <c r="AG214"/>
      <c r="AH214"/>
      <c r="AI214"/>
      <c r="AJ214"/>
      <c r="AK214"/>
      <c r="AL214" s="6"/>
      <c r="AM214"/>
      <c r="AN214" s="320">
        <v>154</v>
      </c>
      <c r="AO214" s="346"/>
      <c r="AP214" s="347"/>
      <c r="AQ214"/>
      <c r="AR214"/>
      <c r="AS214"/>
      <c r="AT214"/>
      <c r="AU214"/>
      <c r="AV214"/>
      <c r="AW214"/>
      <c r="AX214"/>
      <c r="AY214"/>
      <c r="AZ214"/>
      <c r="BA214"/>
      <c r="BB214"/>
      <c r="BC214"/>
      <c r="BD214"/>
      <c r="BE214" s="6"/>
      <c r="BF214"/>
      <c r="BG214" s="320">
        <v>154</v>
      </c>
      <c r="BH214" s="346"/>
      <c r="BI214" s="347"/>
      <c r="BJ214"/>
      <c r="BK214"/>
      <c r="BL214"/>
      <c r="BM214"/>
      <c r="BN214"/>
      <c r="BO214"/>
      <c r="BP214"/>
      <c r="BQ214"/>
      <c r="BR214"/>
      <c r="BS214"/>
      <c r="BT214"/>
      <c r="BU214"/>
      <c r="BV214"/>
      <c r="BW214"/>
      <c r="BX214" s="6"/>
    </row>
    <row r="215" spans="1:76">
      <c r="A215"/>
      <c r="B215" s="320">
        <v>155</v>
      </c>
      <c r="C215" s="346"/>
      <c r="D215" s="347"/>
      <c r="E215"/>
      <c r="F215"/>
      <c r="G215"/>
      <c r="H215"/>
      <c r="I215"/>
      <c r="J215"/>
      <c r="K215"/>
      <c r="L215"/>
      <c r="M215"/>
      <c r="N215"/>
      <c r="O215"/>
      <c r="P215"/>
      <c r="Q215"/>
      <c r="R215"/>
      <c r="S215" s="6"/>
      <c r="T215"/>
      <c r="U215" s="320">
        <v>155</v>
      </c>
      <c r="V215" s="346"/>
      <c r="W215" s="347"/>
      <c r="X215"/>
      <c r="Y215"/>
      <c r="Z215"/>
      <c r="AA215"/>
      <c r="AB215"/>
      <c r="AC215"/>
      <c r="AD215"/>
      <c r="AE215"/>
      <c r="AF215"/>
      <c r="AG215"/>
      <c r="AH215"/>
      <c r="AI215"/>
      <c r="AJ215"/>
      <c r="AK215"/>
      <c r="AL215" s="6"/>
      <c r="AM215"/>
      <c r="AN215" s="320">
        <v>155</v>
      </c>
      <c r="AO215" s="346"/>
      <c r="AP215" s="347"/>
      <c r="AQ215"/>
      <c r="AR215"/>
      <c r="AS215"/>
      <c r="AT215"/>
      <c r="AU215"/>
      <c r="AV215"/>
      <c r="AW215"/>
      <c r="AX215"/>
      <c r="AY215"/>
      <c r="AZ215"/>
      <c r="BA215"/>
      <c r="BB215"/>
      <c r="BC215"/>
      <c r="BD215"/>
      <c r="BE215" s="6"/>
      <c r="BF215"/>
      <c r="BG215" s="320">
        <v>155</v>
      </c>
      <c r="BH215" s="346"/>
      <c r="BI215" s="347"/>
      <c r="BJ215"/>
      <c r="BK215"/>
      <c r="BL215"/>
      <c r="BM215"/>
      <c r="BN215"/>
      <c r="BO215"/>
      <c r="BP215"/>
      <c r="BQ215"/>
      <c r="BR215"/>
      <c r="BS215"/>
      <c r="BT215"/>
      <c r="BU215"/>
      <c r="BV215"/>
      <c r="BW215"/>
      <c r="BX215" s="6"/>
    </row>
    <row r="216" spans="1:76">
      <c r="A216"/>
      <c r="B216" s="320">
        <v>156</v>
      </c>
      <c r="C216" s="346"/>
      <c r="D216" s="347"/>
      <c r="E216"/>
      <c r="F216"/>
      <c r="G216"/>
      <c r="H216"/>
      <c r="I216"/>
      <c r="J216"/>
      <c r="K216"/>
      <c r="L216"/>
      <c r="M216"/>
      <c r="N216"/>
      <c r="O216"/>
      <c r="P216"/>
      <c r="Q216"/>
      <c r="R216"/>
      <c r="S216" s="6"/>
      <c r="T216"/>
      <c r="U216" s="320">
        <v>156</v>
      </c>
      <c r="V216" s="346"/>
      <c r="W216" s="347"/>
      <c r="X216"/>
      <c r="Y216"/>
      <c r="Z216"/>
      <c r="AA216"/>
      <c r="AB216"/>
      <c r="AC216"/>
      <c r="AD216"/>
      <c r="AE216"/>
      <c r="AF216"/>
      <c r="AG216"/>
      <c r="AH216"/>
      <c r="AI216"/>
      <c r="AJ216"/>
      <c r="AK216"/>
      <c r="AL216" s="6"/>
      <c r="AM216"/>
      <c r="AN216" s="320">
        <v>156</v>
      </c>
      <c r="AO216" s="346"/>
      <c r="AP216" s="347"/>
      <c r="AQ216"/>
      <c r="AR216"/>
      <c r="AS216"/>
      <c r="AT216"/>
      <c r="AU216"/>
      <c r="AV216"/>
      <c r="AW216"/>
      <c r="AX216"/>
      <c r="AY216"/>
      <c r="AZ216"/>
      <c r="BA216"/>
      <c r="BB216"/>
      <c r="BC216"/>
      <c r="BD216"/>
      <c r="BE216" s="6"/>
      <c r="BF216"/>
      <c r="BG216" s="320">
        <v>156</v>
      </c>
      <c r="BH216" s="346"/>
      <c r="BI216" s="347"/>
      <c r="BJ216"/>
      <c r="BK216"/>
      <c r="BL216"/>
      <c r="BM216"/>
      <c r="BN216"/>
      <c r="BO216"/>
      <c r="BP216"/>
      <c r="BQ216"/>
      <c r="BR216"/>
      <c r="BS216"/>
      <c r="BT216"/>
      <c r="BU216"/>
      <c r="BV216"/>
      <c r="BW216"/>
      <c r="BX216" s="6"/>
    </row>
    <row r="217" spans="1:76">
      <c r="A217"/>
      <c r="B217" s="320">
        <v>157</v>
      </c>
      <c r="C217" s="346"/>
      <c r="D217" s="347"/>
      <c r="E217"/>
      <c r="F217"/>
      <c r="G217"/>
      <c r="H217"/>
      <c r="I217"/>
      <c r="J217"/>
      <c r="K217"/>
      <c r="L217"/>
      <c r="M217"/>
      <c r="N217"/>
      <c r="O217"/>
      <c r="P217"/>
      <c r="Q217"/>
      <c r="R217"/>
      <c r="S217" s="6"/>
      <c r="T217"/>
      <c r="U217" s="320">
        <v>157</v>
      </c>
      <c r="V217" s="346"/>
      <c r="W217" s="347"/>
      <c r="X217"/>
      <c r="Y217"/>
      <c r="Z217"/>
      <c r="AA217"/>
      <c r="AB217"/>
      <c r="AC217"/>
      <c r="AD217"/>
      <c r="AE217"/>
      <c r="AF217"/>
      <c r="AG217"/>
      <c r="AH217"/>
      <c r="AI217"/>
      <c r="AJ217"/>
      <c r="AK217"/>
      <c r="AL217" s="6"/>
      <c r="AM217"/>
      <c r="AN217" s="320">
        <v>157</v>
      </c>
      <c r="AO217" s="346"/>
      <c r="AP217" s="347"/>
      <c r="AQ217"/>
      <c r="AR217"/>
      <c r="AS217"/>
      <c r="AT217"/>
      <c r="AU217"/>
      <c r="AV217"/>
      <c r="AW217"/>
      <c r="AX217"/>
      <c r="AY217"/>
      <c r="AZ217"/>
      <c r="BA217"/>
      <c r="BB217"/>
      <c r="BC217"/>
      <c r="BD217"/>
      <c r="BE217" s="6"/>
      <c r="BF217"/>
      <c r="BG217" s="320">
        <v>157</v>
      </c>
      <c r="BH217" s="346"/>
      <c r="BI217" s="347"/>
      <c r="BJ217"/>
      <c r="BK217"/>
      <c r="BL217"/>
      <c r="BM217"/>
      <c r="BN217"/>
      <c r="BO217"/>
      <c r="BP217"/>
      <c r="BQ217"/>
      <c r="BR217"/>
      <c r="BS217"/>
      <c r="BT217"/>
      <c r="BU217"/>
      <c r="BV217"/>
      <c r="BW217"/>
      <c r="BX217" s="6"/>
    </row>
    <row r="218" spans="1:76">
      <c r="A218"/>
      <c r="B218" s="320">
        <v>158</v>
      </c>
      <c r="C218" s="346"/>
      <c r="D218" s="347"/>
      <c r="E218"/>
      <c r="F218"/>
      <c r="G218"/>
      <c r="H218"/>
      <c r="I218"/>
      <c r="J218"/>
      <c r="K218"/>
      <c r="L218"/>
      <c r="M218"/>
      <c r="N218"/>
      <c r="O218"/>
      <c r="P218"/>
      <c r="Q218"/>
      <c r="R218"/>
      <c r="S218" s="6"/>
      <c r="T218"/>
      <c r="U218" s="320">
        <v>158</v>
      </c>
      <c r="V218" s="346"/>
      <c r="W218" s="347"/>
      <c r="X218"/>
      <c r="Y218"/>
      <c r="Z218"/>
      <c r="AA218"/>
      <c r="AB218"/>
      <c r="AC218"/>
      <c r="AD218"/>
      <c r="AE218"/>
      <c r="AF218"/>
      <c r="AG218"/>
      <c r="AH218"/>
      <c r="AI218"/>
      <c r="AJ218"/>
      <c r="AK218"/>
      <c r="AL218" s="6"/>
      <c r="AM218"/>
      <c r="AN218" s="320">
        <v>158</v>
      </c>
      <c r="AO218" s="346"/>
      <c r="AP218" s="347"/>
      <c r="AQ218"/>
      <c r="AR218"/>
      <c r="AS218"/>
      <c r="AT218"/>
      <c r="AU218"/>
      <c r="AV218"/>
      <c r="AW218"/>
      <c r="AX218"/>
      <c r="AY218"/>
      <c r="AZ218"/>
      <c r="BA218"/>
      <c r="BB218"/>
      <c r="BC218"/>
      <c r="BD218"/>
      <c r="BE218" s="6"/>
      <c r="BF218"/>
      <c r="BG218" s="320">
        <v>158</v>
      </c>
      <c r="BH218" s="346"/>
      <c r="BI218" s="347"/>
      <c r="BJ218"/>
      <c r="BK218"/>
      <c r="BL218"/>
      <c r="BM218"/>
      <c r="BN218"/>
      <c r="BO218"/>
      <c r="BP218"/>
      <c r="BQ218"/>
      <c r="BR218"/>
      <c r="BS218"/>
      <c r="BT218"/>
      <c r="BU218"/>
      <c r="BV218"/>
      <c r="BW218"/>
      <c r="BX218" s="6"/>
    </row>
    <row r="219" spans="1:76">
      <c r="A219"/>
      <c r="B219" s="320">
        <v>159</v>
      </c>
      <c r="C219" s="346"/>
      <c r="D219" s="347"/>
      <c r="E219"/>
      <c r="F219"/>
      <c r="G219"/>
      <c r="H219"/>
      <c r="I219"/>
      <c r="J219"/>
      <c r="K219"/>
      <c r="L219"/>
      <c r="M219"/>
      <c r="N219"/>
      <c r="O219"/>
      <c r="P219"/>
      <c r="Q219"/>
      <c r="R219"/>
      <c r="S219" s="6"/>
      <c r="T219"/>
      <c r="U219" s="320">
        <v>159</v>
      </c>
      <c r="V219" s="346"/>
      <c r="W219" s="347"/>
      <c r="X219"/>
      <c r="Y219"/>
      <c r="Z219"/>
      <c r="AA219"/>
      <c r="AB219"/>
      <c r="AC219"/>
      <c r="AD219"/>
      <c r="AE219"/>
      <c r="AF219"/>
      <c r="AG219"/>
      <c r="AH219"/>
      <c r="AI219"/>
      <c r="AJ219"/>
      <c r="AK219"/>
      <c r="AL219" s="6"/>
      <c r="AM219"/>
      <c r="AN219" s="320">
        <v>159</v>
      </c>
      <c r="AO219" s="346"/>
      <c r="AP219" s="347"/>
      <c r="AQ219"/>
      <c r="AR219"/>
      <c r="AS219"/>
      <c r="AT219"/>
      <c r="AU219"/>
      <c r="AV219"/>
      <c r="AW219"/>
      <c r="AX219"/>
      <c r="AY219"/>
      <c r="AZ219"/>
      <c r="BA219"/>
      <c r="BB219"/>
      <c r="BC219"/>
      <c r="BD219"/>
      <c r="BE219" s="6"/>
      <c r="BF219"/>
      <c r="BG219" s="320">
        <v>159</v>
      </c>
      <c r="BH219" s="346"/>
      <c r="BI219" s="347"/>
      <c r="BJ219"/>
      <c r="BK219"/>
      <c r="BL219"/>
      <c r="BM219"/>
      <c r="BN219"/>
      <c r="BO219"/>
      <c r="BP219"/>
      <c r="BQ219"/>
      <c r="BR219"/>
      <c r="BS219"/>
      <c r="BT219"/>
      <c r="BU219"/>
      <c r="BV219"/>
      <c r="BW219"/>
      <c r="BX219" s="6"/>
    </row>
    <row r="220" spans="1:76">
      <c r="A220"/>
      <c r="B220" s="320">
        <v>160</v>
      </c>
      <c r="C220" s="346"/>
      <c r="D220" s="347"/>
      <c r="E220"/>
      <c r="F220"/>
      <c r="G220"/>
      <c r="H220"/>
      <c r="I220"/>
      <c r="J220"/>
      <c r="K220"/>
      <c r="L220"/>
      <c r="M220"/>
      <c r="N220"/>
      <c r="O220"/>
      <c r="P220"/>
      <c r="Q220"/>
      <c r="R220"/>
      <c r="S220" s="6"/>
      <c r="T220"/>
      <c r="U220" s="320">
        <v>160</v>
      </c>
      <c r="V220" s="346"/>
      <c r="W220" s="347"/>
      <c r="X220"/>
      <c r="Y220"/>
      <c r="Z220"/>
      <c r="AA220"/>
      <c r="AB220"/>
      <c r="AC220"/>
      <c r="AD220"/>
      <c r="AE220"/>
      <c r="AF220"/>
      <c r="AG220"/>
      <c r="AH220"/>
      <c r="AI220"/>
      <c r="AJ220"/>
      <c r="AK220"/>
      <c r="AL220" s="6"/>
      <c r="AM220"/>
      <c r="AN220" s="320">
        <v>160</v>
      </c>
      <c r="AO220" s="346"/>
      <c r="AP220" s="347"/>
      <c r="AQ220"/>
      <c r="AR220"/>
      <c r="AS220"/>
      <c r="AT220"/>
      <c r="AU220"/>
      <c r="AV220"/>
      <c r="AW220"/>
      <c r="AX220"/>
      <c r="AY220"/>
      <c r="AZ220"/>
      <c r="BA220"/>
      <c r="BB220"/>
      <c r="BC220"/>
      <c r="BD220"/>
      <c r="BE220" s="6"/>
      <c r="BF220"/>
      <c r="BG220" s="320">
        <v>160</v>
      </c>
      <c r="BH220" s="346"/>
      <c r="BI220" s="347"/>
      <c r="BJ220"/>
      <c r="BK220"/>
      <c r="BL220"/>
      <c r="BM220"/>
      <c r="BN220"/>
      <c r="BO220"/>
      <c r="BP220"/>
      <c r="BQ220"/>
      <c r="BR220"/>
      <c r="BS220"/>
      <c r="BT220"/>
      <c r="BU220"/>
      <c r="BV220"/>
      <c r="BW220"/>
      <c r="BX220" s="6"/>
    </row>
    <row r="221" spans="1:76">
      <c r="A221"/>
      <c r="B221" s="320">
        <v>161</v>
      </c>
      <c r="C221" s="346"/>
      <c r="D221" s="347"/>
      <c r="E221"/>
      <c r="F221"/>
      <c r="G221"/>
      <c r="H221"/>
      <c r="I221"/>
      <c r="J221"/>
      <c r="K221"/>
      <c r="L221"/>
      <c r="M221"/>
      <c r="N221"/>
      <c r="O221"/>
      <c r="P221"/>
      <c r="Q221"/>
      <c r="R221"/>
      <c r="S221" s="6"/>
      <c r="T221"/>
      <c r="U221" s="320">
        <v>161</v>
      </c>
      <c r="V221" s="346"/>
      <c r="W221" s="347"/>
      <c r="X221"/>
      <c r="Y221"/>
      <c r="Z221"/>
      <c r="AA221"/>
      <c r="AB221"/>
      <c r="AC221"/>
      <c r="AD221"/>
      <c r="AE221"/>
      <c r="AF221"/>
      <c r="AG221"/>
      <c r="AH221"/>
      <c r="AI221"/>
      <c r="AJ221"/>
      <c r="AK221"/>
      <c r="AL221" s="6"/>
      <c r="AM221"/>
      <c r="AN221" s="320">
        <v>161</v>
      </c>
      <c r="AO221" s="346"/>
      <c r="AP221" s="347"/>
      <c r="AQ221"/>
      <c r="AR221"/>
      <c r="AS221"/>
      <c r="AT221"/>
      <c r="AU221"/>
      <c r="AV221"/>
      <c r="AW221"/>
      <c r="AX221"/>
      <c r="AY221"/>
      <c r="AZ221"/>
      <c r="BA221"/>
      <c r="BB221"/>
      <c r="BC221"/>
      <c r="BD221"/>
      <c r="BE221" s="6"/>
      <c r="BF221"/>
      <c r="BG221" s="320">
        <v>161</v>
      </c>
      <c r="BH221" s="346"/>
      <c r="BI221" s="347"/>
      <c r="BJ221"/>
      <c r="BK221"/>
      <c r="BL221"/>
      <c r="BM221"/>
      <c r="BN221"/>
      <c r="BO221"/>
      <c r="BP221"/>
      <c r="BQ221"/>
      <c r="BR221"/>
      <c r="BS221"/>
      <c r="BT221"/>
      <c r="BU221"/>
      <c r="BV221"/>
      <c r="BW221"/>
      <c r="BX221" s="6"/>
    </row>
    <row r="222" spans="1:76">
      <c r="A222"/>
      <c r="B222" s="320">
        <v>162</v>
      </c>
      <c r="C222" s="346"/>
      <c r="D222" s="347"/>
      <c r="E222"/>
      <c r="F222"/>
      <c r="G222"/>
      <c r="H222"/>
      <c r="I222"/>
      <c r="J222"/>
      <c r="K222"/>
      <c r="L222"/>
      <c r="M222"/>
      <c r="N222"/>
      <c r="O222"/>
      <c r="P222"/>
      <c r="Q222"/>
      <c r="R222"/>
      <c r="S222" s="6"/>
      <c r="T222"/>
      <c r="U222" s="320">
        <v>162</v>
      </c>
      <c r="V222" s="346"/>
      <c r="W222" s="347"/>
      <c r="X222"/>
      <c r="Y222"/>
      <c r="Z222"/>
      <c r="AA222"/>
      <c r="AB222"/>
      <c r="AC222"/>
      <c r="AD222"/>
      <c r="AE222"/>
      <c r="AF222"/>
      <c r="AG222"/>
      <c r="AH222"/>
      <c r="AI222"/>
      <c r="AJ222"/>
      <c r="AK222"/>
      <c r="AL222" s="6"/>
      <c r="AM222"/>
      <c r="AN222" s="320">
        <v>162</v>
      </c>
      <c r="AO222" s="346"/>
      <c r="AP222" s="347"/>
      <c r="AQ222"/>
      <c r="AR222"/>
      <c r="AS222"/>
      <c r="AT222"/>
      <c r="AU222"/>
      <c r="AV222"/>
      <c r="AW222"/>
      <c r="AX222"/>
      <c r="AY222"/>
      <c r="AZ222"/>
      <c r="BA222"/>
      <c r="BB222"/>
      <c r="BC222"/>
      <c r="BD222"/>
      <c r="BE222" s="6"/>
      <c r="BF222"/>
      <c r="BG222" s="320">
        <v>162</v>
      </c>
      <c r="BH222" s="346"/>
      <c r="BI222" s="347"/>
      <c r="BJ222"/>
      <c r="BK222"/>
      <c r="BL222"/>
      <c r="BM222"/>
      <c r="BN222"/>
      <c r="BO222"/>
      <c r="BP222"/>
      <c r="BQ222"/>
      <c r="BR222"/>
      <c r="BS222"/>
      <c r="BT222"/>
      <c r="BU222"/>
      <c r="BV222"/>
      <c r="BW222"/>
      <c r="BX222" s="6"/>
    </row>
    <row r="223" spans="1:76">
      <c r="A223"/>
      <c r="B223" s="320">
        <v>163</v>
      </c>
      <c r="C223" s="346"/>
      <c r="D223" s="347"/>
      <c r="E223"/>
      <c r="F223"/>
      <c r="G223"/>
      <c r="H223"/>
      <c r="I223"/>
      <c r="J223"/>
      <c r="K223"/>
      <c r="L223"/>
      <c r="M223"/>
      <c r="N223"/>
      <c r="O223"/>
      <c r="P223"/>
      <c r="Q223"/>
      <c r="R223"/>
      <c r="S223" s="6"/>
      <c r="T223"/>
      <c r="U223" s="320">
        <v>163</v>
      </c>
      <c r="V223" s="346"/>
      <c r="W223" s="347"/>
      <c r="X223"/>
      <c r="Y223"/>
      <c r="Z223"/>
      <c r="AA223"/>
      <c r="AB223"/>
      <c r="AC223"/>
      <c r="AD223"/>
      <c r="AE223"/>
      <c r="AF223"/>
      <c r="AG223"/>
      <c r="AH223"/>
      <c r="AI223"/>
      <c r="AJ223"/>
      <c r="AK223"/>
      <c r="AL223" s="6"/>
      <c r="AM223"/>
      <c r="AN223" s="320">
        <v>163</v>
      </c>
      <c r="AO223" s="346"/>
      <c r="AP223" s="347"/>
      <c r="AQ223"/>
      <c r="AR223"/>
      <c r="AS223"/>
      <c r="AT223"/>
      <c r="AU223"/>
      <c r="AV223"/>
      <c r="AW223"/>
      <c r="AX223"/>
      <c r="AY223"/>
      <c r="AZ223"/>
      <c r="BA223"/>
      <c r="BB223"/>
      <c r="BC223"/>
      <c r="BD223"/>
      <c r="BE223" s="6"/>
      <c r="BF223"/>
      <c r="BG223" s="320">
        <v>163</v>
      </c>
      <c r="BH223" s="346"/>
      <c r="BI223" s="347"/>
      <c r="BJ223"/>
      <c r="BK223"/>
      <c r="BL223"/>
      <c r="BM223"/>
      <c r="BN223"/>
      <c r="BO223"/>
      <c r="BP223"/>
      <c r="BQ223"/>
      <c r="BR223"/>
      <c r="BS223"/>
      <c r="BT223"/>
      <c r="BU223"/>
      <c r="BV223"/>
      <c r="BW223"/>
      <c r="BX223" s="6"/>
    </row>
    <row r="224" spans="1:76">
      <c r="A224"/>
      <c r="B224" s="320">
        <v>164</v>
      </c>
      <c r="C224" s="346"/>
      <c r="D224" s="347"/>
      <c r="E224"/>
      <c r="F224"/>
      <c r="G224"/>
      <c r="H224"/>
      <c r="I224"/>
      <c r="J224"/>
      <c r="K224"/>
      <c r="L224"/>
      <c r="M224"/>
      <c r="N224"/>
      <c r="O224"/>
      <c r="P224"/>
      <c r="Q224"/>
      <c r="R224"/>
      <c r="S224" s="6"/>
      <c r="T224"/>
      <c r="U224" s="320">
        <v>164</v>
      </c>
      <c r="V224" s="346"/>
      <c r="W224" s="347"/>
      <c r="X224"/>
      <c r="Y224"/>
      <c r="Z224"/>
      <c r="AA224"/>
      <c r="AB224"/>
      <c r="AC224"/>
      <c r="AD224"/>
      <c r="AE224"/>
      <c r="AF224"/>
      <c r="AG224"/>
      <c r="AH224"/>
      <c r="AI224"/>
      <c r="AJ224"/>
      <c r="AK224"/>
      <c r="AL224" s="6"/>
      <c r="AM224"/>
      <c r="AN224" s="320">
        <v>164</v>
      </c>
      <c r="AO224" s="346"/>
      <c r="AP224" s="347"/>
      <c r="AQ224"/>
      <c r="AR224"/>
      <c r="AS224"/>
      <c r="AT224"/>
      <c r="AU224"/>
      <c r="AV224"/>
      <c r="AW224"/>
      <c r="AX224"/>
      <c r="AY224"/>
      <c r="AZ224"/>
      <c r="BA224"/>
      <c r="BB224"/>
      <c r="BC224"/>
      <c r="BD224"/>
      <c r="BE224" s="6"/>
      <c r="BF224"/>
      <c r="BG224" s="320">
        <v>164</v>
      </c>
      <c r="BH224" s="346"/>
      <c r="BI224" s="347"/>
      <c r="BJ224"/>
      <c r="BK224"/>
      <c r="BL224"/>
      <c r="BM224"/>
      <c r="BN224"/>
      <c r="BO224"/>
      <c r="BP224"/>
      <c r="BQ224"/>
      <c r="BR224"/>
      <c r="BS224"/>
      <c r="BT224"/>
      <c r="BU224"/>
      <c r="BV224"/>
      <c r="BW224"/>
      <c r="BX224" s="6"/>
    </row>
    <row r="225" spans="1:76">
      <c r="A225"/>
      <c r="B225" s="320">
        <v>165</v>
      </c>
      <c r="C225" s="346"/>
      <c r="D225" s="347"/>
      <c r="E225"/>
      <c r="F225"/>
      <c r="G225"/>
      <c r="H225"/>
      <c r="I225"/>
      <c r="J225"/>
      <c r="K225"/>
      <c r="L225"/>
      <c r="M225"/>
      <c r="N225"/>
      <c r="O225"/>
      <c r="P225"/>
      <c r="Q225"/>
      <c r="R225"/>
      <c r="S225" s="6"/>
      <c r="T225"/>
      <c r="U225" s="320">
        <v>165</v>
      </c>
      <c r="V225" s="346"/>
      <c r="W225" s="347"/>
      <c r="X225"/>
      <c r="Y225"/>
      <c r="Z225"/>
      <c r="AA225"/>
      <c r="AB225"/>
      <c r="AC225"/>
      <c r="AD225"/>
      <c r="AE225"/>
      <c r="AF225"/>
      <c r="AG225"/>
      <c r="AH225"/>
      <c r="AI225"/>
      <c r="AJ225"/>
      <c r="AK225"/>
      <c r="AL225" s="6"/>
      <c r="AM225"/>
      <c r="AN225" s="320">
        <v>165</v>
      </c>
      <c r="AO225" s="346"/>
      <c r="AP225" s="347"/>
      <c r="AQ225"/>
      <c r="AR225"/>
      <c r="AS225"/>
      <c r="AT225"/>
      <c r="AU225"/>
      <c r="AV225"/>
      <c r="AW225"/>
      <c r="AX225"/>
      <c r="AY225"/>
      <c r="AZ225"/>
      <c r="BA225"/>
      <c r="BB225"/>
      <c r="BC225"/>
      <c r="BD225"/>
      <c r="BE225" s="6"/>
      <c r="BF225"/>
      <c r="BG225" s="320">
        <v>165</v>
      </c>
      <c r="BH225" s="346"/>
      <c r="BI225" s="347"/>
      <c r="BJ225"/>
      <c r="BK225"/>
      <c r="BL225"/>
      <c r="BM225"/>
      <c r="BN225"/>
      <c r="BO225"/>
      <c r="BP225"/>
      <c r="BQ225"/>
      <c r="BR225"/>
      <c r="BS225"/>
      <c r="BT225"/>
      <c r="BU225"/>
      <c r="BV225"/>
      <c r="BW225"/>
      <c r="BX225" s="6"/>
    </row>
    <row r="226" spans="1:76">
      <c r="A226"/>
      <c r="B226" s="320">
        <v>166</v>
      </c>
      <c r="C226" s="346"/>
      <c r="D226" s="347"/>
      <c r="E226"/>
      <c r="F226"/>
      <c r="G226"/>
      <c r="H226"/>
      <c r="I226"/>
      <c r="J226"/>
      <c r="K226"/>
      <c r="L226"/>
      <c r="M226"/>
      <c r="N226"/>
      <c r="O226"/>
      <c r="P226"/>
      <c r="Q226"/>
      <c r="R226"/>
      <c r="S226" s="6"/>
      <c r="T226"/>
      <c r="U226" s="320">
        <v>166</v>
      </c>
      <c r="V226" s="346"/>
      <c r="W226" s="347"/>
      <c r="X226"/>
      <c r="Y226"/>
      <c r="Z226"/>
      <c r="AA226"/>
      <c r="AB226"/>
      <c r="AC226"/>
      <c r="AD226"/>
      <c r="AE226"/>
      <c r="AF226"/>
      <c r="AG226"/>
      <c r="AH226"/>
      <c r="AI226"/>
      <c r="AJ226"/>
      <c r="AK226"/>
      <c r="AL226" s="6"/>
      <c r="AM226"/>
      <c r="AN226" s="320">
        <v>166</v>
      </c>
      <c r="AO226" s="346"/>
      <c r="AP226" s="347"/>
      <c r="AQ226"/>
      <c r="AR226"/>
      <c r="AS226"/>
      <c r="AT226"/>
      <c r="AU226"/>
      <c r="AV226"/>
      <c r="AW226"/>
      <c r="AX226"/>
      <c r="AY226"/>
      <c r="AZ226"/>
      <c r="BA226"/>
      <c r="BB226"/>
      <c r="BC226"/>
      <c r="BD226"/>
      <c r="BE226" s="6"/>
      <c r="BF226"/>
      <c r="BG226" s="320">
        <v>166</v>
      </c>
      <c r="BH226" s="346"/>
      <c r="BI226" s="347"/>
      <c r="BJ226"/>
      <c r="BK226"/>
      <c r="BL226"/>
      <c r="BM226"/>
      <c r="BN226"/>
      <c r="BO226"/>
      <c r="BP226"/>
      <c r="BQ226"/>
      <c r="BR226"/>
      <c r="BS226"/>
      <c r="BT226"/>
      <c r="BU226"/>
      <c r="BV226"/>
      <c r="BW226"/>
      <c r="BX226" s="6"/>
    </row>
    <row r="227" spans="1:76">
      <c r="A227"/>
      <c r="B227" s="320">
        <v>167</v>
      </c>
      <c r="C227" s="346"/>
      <c r="D227" s="347"/>
      <c r="E227"/>
      <c r="F227"/>
      <c r="G227"/>
      <c r="H227"/>
      <c r="I227"/>
      <c r="J227"/>
      <c r="K227"/>
      <c r="L227"/>
      <c r="M227"/>
      <c r="N227"/>
      <c r="O227"/>
      <c r="P227"/>
      <c r="Q227"/>
      <c r="R227"/>
      <c r="S227" s="6"/>
      <c r="T227"/>
      <c r="U227" s="320">
        <v>167</v>
      </c>
      <c r="V227" s="346"/>
      <c r="W227" s="347"/>
      <c r="X227"/>
      <c r="Y227"/>
      <c r="Z227"/>
      <c r="AA227"/>
      <c r="AB227"/>
      <c r="AC227"/>
      <c r="AD227"/>
      <c r="AE227"/>
      <c r="AF227"/>
      <c r="AG227"/>
      <c r="AH227"/>
      <c r="AI227"/>
      <c r="AJ227"/>
      <c r="AK227"/>
      <c r="AL227" s="6"/>
      <c r="AM227"/>
      <c r="AN227" s="320">
        <v>167</v>
      </c>
      <c r="AO227" s="346"/>
      <c r="AP227" s="347"/>
      <c r="AQ227"/>
      <c r="AR227"/>
      <c r="AS227"/>
      <c r="AT227"/>
      <c r="AU227"/>
      <c r="AV227"/>
      <c r="AW227"/>
      <c r="AX227"/>
      <c r="AY227"/>
      <c r="AZ227"/>
      <c r="BA227"/>
      <c r="BB227"/>
      <c r="BC227"/>
      <c r="BD227"/>
      <c r="BE227" s="6"/>
      <c r="BF227"/>
      <c r="BG227" s="320">
        <v>167</v>
      </c>
      <c r="BH227" s="346"/>
      <c r="BI227" s="347"/>
      <c r="BJ227"/>
      <c r="BK227"/>
      <c r="BL227"/>
      <c r="BM227"/>
      <c r="BN227"/>
      <c r="BO227"/>
      <c r="BP227"/>
      <c r="BQ227"/>
      <c r="BR227"/>
      <c r="BS227"/>
      <c r="BT227"/>
      <c r="BU227"/>
      <c r="BV227"/>
      <c r="BW227"/>
      <c r="BX227" s="6"/>
    </row>
    <row r="228" spans="1:76">
      <c r="A228"/>
      <c r="B228" s="320">
        <v>168</v>
      </c>
      <c r="C228" s="346"/>
      <c r="D228" s="347"/>
      <c r="E228"/>
      <c r="F228"/>
      <c r="G228"/>
      <c r="H228"/>
      <c r="I228"/>
      <c r="J228"/>
      <c r="K228"/>
      <c r="L228"/>
      <c r="M228"/>
      <c r="N228"/>
      <c r="O228"/>
      <c r="P228"/>
      <c r="Q228"/>
      <c r="R228"/>
      <c r="S228" s="6"/>
      <c r="T228"/>
      <c r="U228" s="320">
        <v>168</v>
      </c>
      <c r="V228" s="346"/>
      <c r="W228" s="347"/>
      <c r="X228"/>
      <c r="Y228"/>
      <c r="Z228"/>
      <c r="AA228"/>
      <c r="AB228"/>
      <c r="AC228"/>
      <c r="AD228"/>
      <c r="AE228"/>
      <c r="AF228"/>
      <c r="AG228"/>
      <c r="AH228"/>
      <c r="AI228"/>
      <c r="AJ228"/>
      <c r="AK228"/>
      <c r="AL228" s="6"/>
      <c r="AM228"/>
      <c r="AN228" s="320">
        <v>168</v>
      </c>
      <c r="AO228" s="346"/>
      <c r="AP228" s="347"/>
      <c r="AQ228"/>
      <c r="AR228"/>
      <c r="AS228"/>
      <c r="AT228"/>
      <c r="AU228"/>
      <c r="AV228"/>
      <c r="AW228"/>
      <c r="AX228"/>
      <c r="AY228"/>
      <c r="AZ228"/>
      <c r="BA228"/>
      <c r="BB228"/>
      <c r="BC228"/>
      <c r="BD228"/>
      <c r="BE228" s="6"/>
      <c r="BF228"/>
      <c r="BG228" s="320">
        <v>168</v>
      </c>
      <c r="BH228" s="346"/>
      <c r="BI228" s="347"/>
      <c r="BJ228"/>
      <c r="BK228"/>
      <c r="BL228"/>
      <c r="BM228"/>
      <c r="BN228"/>
      <c r="BO228"/>
      <c r="BP228"/>
      <c r="BQ228"/>
      <c r="BR228"/>
      <c r="BS228"/>
      <c r="BT228"/>
      <c r="BU228"/>
      <c r="BV228"/>
      <c r="BW228"/>
      <c r="BX228" s="6"/>
    </row>
    <row r="229" spans="1:76">
      <c r="A229"/>
      <c r="B229" s="320">
        <v>169</v>
      </c>
      <c r="C229" s="346"/>
      <c r="D229" s="347"/>
      <c r="E229"/>
      <c r="F229"/>
      <c r="G229"/>
      <c r="H229"/>
      <c r="I229"/>
      <c r="J229"/>
      <c r="K229"/>
      <c r="L229"/>
      <c r="M229"/>
      <c r="N229"/>
      <c r="O229"/>
      <c r="P229"/>
      <c r="Q229"/>
      <c r="R229"/>
      <c r="S229" s="6"/>
      <c r="T229"/>
      <c r="U229" s="320">
        <v>169</v>
      </c>
      <c r="V229" s="346"/>
      <c r="W229" s="347"/>
      <c r="X229"/>
      <c r="Y229"/>
      <c r="Z229"/>
      <c r="AA229"/>
      <c r="AB229"/>
      <c r="AC229"/>
      <c r="AD229"/>
      <c r="AE229"/>
      <c r="AF229"/>
      <c r="AG229"/>
      <c r="AH229"/>
      <c r="AI229"/>
      <c r="AJ229"/>
      <c r="AK229"/>
      <c r="AL229" s="6"/>
      <c r="AM229"/>
      <c r="AN229" s="320">
        <v>169</v>
      </c>
      <c r="AO229" s="346"/>
      <c r="AP229" s="347"/>
      <c r="AQ229"/>
      <c r="AR229"/>
      <c r="AS229"/>
      <c r="AT229"/>
      <c r="AU229"/>
      <c r="AV229"/>
      <c r="AW229"/>
      <c r="AX229"/>
      <c r="AY229"/>
      <c r="AZ229"/>
      <c r="BA229"/>
      <c r="BB229"/>
      <c r="BC229"/>
      <c r="BD229"/>
      <c r="BE229" s="6"/>
      <c r="BF229"/>
      <c r="BG229" s="320">
        <v>169</v>
      </c>
      <c r="BH229" s="346"/>
      <c r="BI229" s="347"/>
      <c r="BJ229"/>
      <c r="BK229"/>
      <c r="BL229"/>
      <c r="BM229"/>
      <c r="BN229"/>
      <c r="BO229"/>
      <c r="BP229"/>
      <c r="BQ229"/>
      <c r="BR229"/>
      <c r="BS229"/>
      <c r="BT229"/>
      <c r="BU229"/>
      <c r="BV229"/>
      <c r="BW229"/>
      <c r="BX229" s="6"/>
    </row>
    <row r="230" spans="1:76">
      <c r="A230"/>
      <c r="B230" s="320">
        <v>170</v>
      </c>
      <c r="C230" s="346"/>
      <c r="D230" s="347"/>
      <c r="E230"/>
      <c r="F230"/>
      <c r="G230"/>
      <c r="H230"/>
      <c r="I230"/>
      <c r="J230"/>
      <c r="K230"/>
      <c r="L230"/>
      <c r="M230"/>
      <c r="N230"/>
      <c r="O230"/>
      <c r="P230"/>
      <c r="Q230"/>
      <c r="R230"/>
      <c r="S230" s="6"/>
      <c r="T230"/>
      <c r="U230" s="320">
        <v>170</v>
      </c>
      <c r="V230" s="346"/>
      <c r="W230" s="347"/>
      <c r="X230"/>
      <c r="Y230"/>
      <c r="Z230"/>
      <c r="AA230"/>
      <c r="AB230"/>
      <c r="AC230"/>
      <c r="AD230"/>
      <c r="AE230"/>
      <c r="AF230"/>
      <c r="AG230"/>
      <c r="AH230"/>
      <c r="AI230"/>
      <c r="AJ230"/>
      <c r="AK230"/>
      <c r="AL230" s="6"/>
      <c r="AM230"/>
      <c r="AN230" s="320">
        <v>170</v>
      </c>
      <c r="AO230" s="346"/>
      <c r="AP230" s="347"/>
      <c r="AQ230"/>
      <c r="AR230"/>
      <c r="AS230"/>
      <c r="AT230"/>
      <c r="AU230"/>
      <c r="AV230"/>
      <c r="AW230"/>
      <c r="AX230"/>
      <c r="AY230"/>
      <c r="AZ230"/>
      <c r="BA230"/>
      <c r="BB230"/>
      <c r="BC230"/>
      <c r="BD230"/>
      <c r="BE230" s="6"/>
      <c r="BF230"/>
      <c r="BG230" s="320">
        <v>170</v>
      </c>
      <c r="BH230" s="346"/>
      <c r="BI230" s="347"/>
      <c r="BJ230"/>
      <c r="BK230"/>
      <c r="BL230"/>
      <c r="BM230"/>
      <c r="BN230"/>
      <c r="BO230"/>
      <c r="BP230"/>
      <c r="BQ230"/>
      <c r="BR230"/>
      <c r="BS230"/>
      <c r="BT230"/>
      <c r="BU230"/>
      <c r="BV230"/>
      <c r="BW230"/>
      <c r="BX230" s="6"/>
    </row>
    <row r="231" spans="1:76">
      <c r="A231"/>
      <c r="B231" s="320">
        <v>171</v>
      </c>
      <c r="C231" s="346"/>
      <c r="D231" s="347"/>
      <c r="E231"/>
      <c r="F231"/>
      <c r="G231"/>
      <c r="H231"/>
      <c r="I231"/>
      <c r="J231"/>
      <c r="K231"/>
      <c r="L231"/>
      <c r="M231"/>
      <c r="N231"/>
      <c r="O231"/>
      <c r="P231"/>
      <c r="Q231"/>
      <c r="R231"/>
      <c r="S231" s="6"/>
      <c r="T231"/>
      <c r="U231" s="320">
        <v>171</v>
      </c>
      <c r="V231" s="346"/>
      <c r="W231" s="347"/>
      <c r="X231"/>
      <c r="Y231"/>
      <c r="Z231"/>
      <c r="AA231"/>
      <c r="AB231"/>
      <c r="AC231"/>
      <c r="AD231"/>
      <c r="AE231"/>
      <c r="AF231"/>
      <c r="AG231"/>
      <c r="AH231"/>
      <c r="AI231"/>
      <c r="AJ231"/>
      <c r="AK231"/>
      <c r="AL231" s="6"/>
      <c r="AM231"/>
      <c r="AN231" s="320">
        <v>171</v>
      </c>
      <c r="AO231" s="346"/>
      <c r="AP231" s="347"/>
      <c r="AQ231"/>
      <c r="AR231"/>
      <c r="AS231"/>
      <c r="AT231"/>
      <c r="AU231"/>
      <c r="AV231"/>
      <c r="AW231"/>
      <c r="AX231"/>
      <c r="AY231"/>
      <c r="AZ231"/>
      <c r="BA231"/>
      <c r="BB231"/>
      <c r="BC231"/>
      <c r="BD231"/>
      <c r="BE231" s="6"/>
      <c r="BF231"/>
      <c r="BG231" s="320">
        <v>171</v>
      </c>
      <c r="BH231" s="346"/>
      <c r="BI231" s="347"/>
      <c r="BJ231"/>
      <c r="BK231"/>
      <c r="BL231"/>
      <c r="BM231"/>
      <c r="BN231"/>
      <c r="BO231"/>
      <c r="BP231"/>
      <c r="BQ231"/>
      <c r="BR231"/>
      <c r="BS231"/>
      <c r="BT231"/>
      <c r="BU231"/>
      <c r="BV231"/>
      <c r="BW231"/>
      <c r="BX231" s="6"/>
    </row>
    <row r="232" spans="1:76">
      <c r="A232"/>
      <c r="B232" s="320">
        <v>172</v>
      </c>
      <c r="C232" s="346"/>
      <c r="D232" s="348"/>
      <c r="E232"/>
      <c r="F232"/>
      <c r="G232"/>
      <c r="H232"/>
      <c r="I232"/>
      <c r="J232"/>
      <c r="K232"/>
      <c r="L232"/>
      <c r="M232"/>
      <c r="N232"/>
      <c r="O232"/>
      <c r="P232"/>
      <c r="Q232"/>
      <c r="R232"/>
      <c r="S232" s="6"/>
      <c r="T232"/>
      <c r="U232" s="320">
        <v>172</v>
      </c>
      <c r="V232" s="346"/>
      <c r="W232" s="348"/>
      <c r="X232"/>
      <c r="Y232"/>
      <c r="Z232"/>
      <c r="AA232"/>
      <c r="AB232"/>
      <c r="AC232"/>
      <c r="AD232"/>
      <c r="AE232"/>
      <c r="AF232"/>
      <c r="AG232"/>
      <c r="AH232"/>
      <c r="AI232"/>
      <c r="AJ232"/>
      <c r="AK232"/>
      <c r="AL232" s="6"/>
      <c r="AM232"/>
      <c r="AN232" s="320">
        <v>172</v>
      </c>
      <c r="AO232" s="346"/>
      <c r="AP232" s="348"/>
      <c r="AQ232"/>
      <c r="AR232"/>
      <c r="AS232"/>
      <c r="AT232"/>
      <c r="AU232"/>
      <c r="AV232"/>
      <c r="AW232"/>
      <c r="AX232"/>
      <c r="AY232"/>
      <c r="AZ232"/>
      <c r="BA232"/>
      <c r="BB232"/>
      <c r="BC232"/>
      <c r="BD232"/>
      <c r="BE232" s="6"/>
      <c r="BF232"/>
      <c r="BG232" s="320">
        <v>172</v>
      </c>
      <c r="BH232" s="346"/>
      <c r="BI232" s="348"/>
      <c r="BJ232"/>
      <c r="BK232"/>
      <c r="BL232"/>
      <c r="BM232"/>
      <c r="BN232"/>
      <c r="BO232"/>
      <c r="BP232"/>
      <c r="BQ232"/>
      <c r="BR232"/>
      <c r="BS232"/>
      <c r="BT232"/>
      <c r="BU232"/>
      <c r="BV232"/>
      <c r="BW232"/>
      <c r="BX232" s="6"/>
    </row>
    <row r="233" spans="1:76">
      <c r="A233"/>
      <c r="B233" s="320">
        <v>173</v>
      </c>
      <c r="C233" s="349"/>
      <c r="D233" s="348"/>
      <c r="E233"/>
      <c r="F233"/>
      <c r="G233"/>
      <c r="H233"/>
      <c r="I233"/>
      <c r="J233"/>
      <c r="K233"/>
      <c r="L233"/>
      <c r="M233"/>
      <c r="N233"/>
      <c r="O233"/>
      <c r="P233"/>
      <c r="Q233"/>
      <c r="R233"/>
      <c r="S233" s="6"/>
      <c r="T233"/>
      <c r="U233" s="320">
        <v>173</v>
      </c>
      <c r="V233" s="349"/>
      <c r="W233" s="348"/>
      <c r="X233"/>
      <c r="Y233"/>
      <c r="Z233"/>
      <c r="AA233"/>
      <c r="AB233"/>
      <c r="AC233"/>
      <c r="AD233"/>
      <c r="AE233"/>
      <c r="AF233"/>
      <c r="AG233"/>
      <c r="AH233"/>
      <c r="AI233"/>
      <c r="AJ233"/>
      <c r="AK233"/>
      <c r="AL233" s="6"/>
      <c r="AM233"/>
      <c r="AN233" s="320">
        <v>173</v>
      </c>
      <c r="AO233" s="349"/>
      <c r="AP233" s="348"/>
      <c r="AQ233"/>
      <c r="AR233"/>
      <c r="AS233"/>
      <c r="AT233"/>
      <c r="AU233"/>
      <c r="AV233"/>
      <c r="AW233"/>
      <c r="AX233"/>
      <c r="AY233"/>
      <c r="AZ233"/>
      <c r="BA233"/>
      <c r="BB233"/>
      <c r="BC233"/>
      <c r="BD233"/>
      <c r="BE233" s="6"/>
      <c r="BF233"/>
      <c r="BG233" s="320">
        <v>173</v>
      </c>
      <c r="BH233" s="349"/>
      <c r="BI233" s="348"/>
      <c r="BJ233"/>
      <c r="BK233"/>
      <c r="BL233"/>
      <c r="BM233"/>
      <c r="BN233"/>
      <c r="BO233"/>
      <c r="BP233"/>
      <c r="BQ233"/>
      <c r="BR233"/>
      <c r="BS233"/>
      <c r="BT233"/>
      <c r="BU233"/>
      <c r="BV233"/>
      <c r="BW233"/>
      <c r="BX233" s="6"/>
    </row>
    <row r="234" spans="1:76">
      <c r="A234"/>
      <c r="B234" s="320">
        <v>174</v>
      </c>
      <c r="C234" s="349"/>
      <c r="D234" s="348"/>
      <c r="E234"/>
      <c r="F234"/>
      <c r="G234"/>
      <c r="H234"/>
      <c r="I234"/>
      <c r="J234"/>
      <c r="K234"/>
      <c r="L234"/>
      <c r="M234"/>
      <c r="N234"/>
      <c r="O234"/>
      <c r="P234"/>
      <c r="Q234"/>
      <c r="R234"/>
      <c r="S234" s="6"/>
      <c r="T234"/>
      <c r="U234" s="320">
        <v>174</v>
      </c>
      <c r="V234" s="349"/>
      <c r="W234" s="348"/>
      <c r="X234"/>
      <c r="Y234"/>
      <c r="Z234"/>
      <c r="AA234"/>
      <c r="AB234"/>
      <c r="AC234"/>
      <c r="AD234"/>
      <c r="AE234"/>
      <c r="AF234"/>
      <c r="AG234"/>
      <c r="AH234"/>
      <c r="AI234"/>
      <c r="AJ234"/>
      <c r="AK234"/>
      <c r="AL234" s="6"/>
      <c r="AM234"/>
      <c r="AN234" s="320">
        <v>174</v>
      </c>
      <c r="AO234" s="349"/>
      <c r="AP234" s="348"/>
      <c r="AQ234"/>
      <c r="AR234"/>
      <c r="AS234"/>
      <c r="AT234"/>
      <c r="AU234"/>
      <c r="AV234"/>
      <c r="AW234"/>
      <c r="AX234"/>
      <c r="AY234"/>
      <c r="AZ234"/>
      <c r="BA234"/>
      <c r="BB234"/>
      <c r="BC234"/>
      <c r="BD234"/>
      <c r="BE234" s="6"/>
      <c r="BF234"/>
      <c r="BG234" s="320">
        <v>174</v>
      </c>
      <c r="BH234" s="349"/>
      <c r="BI234" s="348"/>
      <c r="BJ234"/>
      <c r="BK234"/>
      <c r="BL234"/>
      <c r="BM234"/>
      <c r="BN234"/>
      <c r="BO234"/>
      <c r="BP234"/>
      <c r="BQ234"/>
      <c r="BR234"/>
      <c r="BS234"/>
      <c r="BT234"/>
      <c r="BU234"/>
      <c r="BV234"/>
      <c r="BW234"/>
      <c r="BX234" s="6"/>
    </row>
    <row r="235" spans="1:76">
      <c r="A235"/>
      <c r="B235" s="320">
        <v>175</v>
      </c>
      <c r="C235" s="349"/>
      <c r="D235" s="348"/>
      <c r="E235"/>
      <c r="F235"/>
      <c r="G235"/>
      <c r="H235"/>
      <c r="I235"/>
      <c r="J235"/>
      <c r="K235"/>
      <c r="L235"/>
      <c r="M235"/>
      <c r="N235"/>
      <c r="O235"/>
      <c r="P235"/>
      <c r="Q235"/>
      <c r="R235"/>
      <c r="S235" s="6"/>
      <c r="T235"/>
      <c r="U235" s="320">
        <v>175</v>
      </c>
      <c r="V235" s="349"/>
      <c r="W235" s="348"/>
      <c r="X235"/>
      <c r="Y235"/>
      <c r="Z235"/>
      <c r="AA235"/>
      <c r="AB235"/>
      <c r="AC235"/>
      <c r="AD235"/>
      <c r="AE235"/>
      <c r="AF235"/>
      <c r="AG235"/>
      <c r="AH235"/>
      <c r="AI235"/>
      <c r="AJ235"/>
      <c r="AK235"/>
      <c r="AL235" s="6"/>
      <c r="AM235"/>
      <c r="AN235" s="320">
        <v>175</v>
      </c>
      <c r="AO235" s="349"/>
      <c r="AP235" s="348"/>
      <c r="AQ235"/>
      <c r="AR235"/>
      <c r="AS235"/>
      <c r="AT235"/>
      <c r="AU235"/>
      <c r="AV235"/>
      <c r="AW235"/>
      <c r="AX235"/>
      <c r="AY235"/>
      <c r="AZ235"/>
      <c r="BA235"/>
      <c r="BB235"/>
      <c r="BC235"/>
      <c r="BD235"/>
      <c r="BE235" s="6"/>
      <c r="BF235"/>
      <c r="BG235" s="320">
        <v>175</v>
      </c>
      <c r="BH235" s="349"/>
      <c r="BI235" s="348"/>
      <c r="BJ235"/>
      <c r="BK235"/>
      <c r="BL235"/>
      <c r="BM235"/>
      <c r="BN235"/>
      <c r="BO235"/>
      <c r="BP235"/>
      <c r="BQ235"/>
      <c r="BR235"/>
      <c r="BS235"/>
      <c r="BT235"/>
      <c r="BU235"/>
      <c r="BV235"/>
      <c r="BW235"/>
      <c r="BX235" s="6"/>
    </row>
    <row r="236" spans="1:76">
      <c r="A236"/>
      <c r="B236" s="320">
        <v>176</v>
      </c>
      <c r="C236" s="349"/>
      <c r="D236" s="348"/>
      <c r="E236"/>
      <c r="F236"/>
      <c r="G236"/>
      <c r="H236"/>
      <c r="I236"/>
      <c r="J236"/>
      <c r="K236"/>
      <c r="L236"/>
      <c r="M236"/>
      <c r="N236"/>
      <c r="O236"/>
      <c r="P236"/>
      <c r="Q236"/>
      <c r="R236"/>
      <c r="S236" s="6"/>
      <c r="T236"/>
      <c r="U236" s="320">
        <v>176</v>
      </c>
      <c r="V236" s="349"/>
      <c r="W236" s="348"/>
      <c r="X236"/>
      <c r="Y236"/>
      <c r="Z236"/>
      <c r="AA236"/>
      <c r="AB236"/>
      <c r="AC236"/>
      <c r="AD236"/>
      <c r="AE236"/>
      <c r="AF236"/>
      <c r="AG236"/>
      <c r="AH236"/>
      <c r="AI236"/>
      <c r="AJ236"/>
      <c r="AK236"/>
      <c r="AL236" s="6"/>
      <c r="AM236"/>
      <c r="AN236" s="320">
        <v>176</v>
      </c>
      <c r="AO236" s="349"/>
      <c r="AP236" s="348"/>
      <c r="AQ236"/>
      <c r="AR236"/>
      <c r="AS236"/>
      <c r="AT236"/>
      <c r="AU236"/>
      <c r="AV236"/>
      <c r="AW236"/>
      <c r="AX236"/>
      <c r="AY236"/>
      <c r="AZ236"/>
      <c r="BA236"/>
      <c r="BB236"/>
      <c r="BC236"/>
      <c r="BD236"/>
      <c r="BE236" s="6"/>
      <c r="BF236"/>
      <c r="BG236" s="320">
        <v>176</v>
      </c>
      <c r="BH236" s="349"/>
      <c r="BI236" s="348"/>
      <c r="BJ236"/>
      <c r="BK236"/>
      <c r="BL236"/>
      <c r="BM236"/>
      <c r="BN236"/>
      <c r="BO236"/>
      <c r="BP236"/>
      <c r="BQ236"/>
      <c r="BR236"/>
      <c r="BS236"/>
      <c r="BT236"/>
      <c r="BU236"/>
      <c r="BV236"/>
      <c r="BW236"/>
      <c r="BX236" s="6"/>
    </row>
    <row r="237" spans="1:76">
      <c r="A237"/>
      <c r="B237" s="320">
        <v>177</v>
      </c>
      <c r="C237" s="349"/>
      <c r="D237" s="348"/>
      <c r="E237"/>
      <c r="F237"/>
      <c r="G237"/>
      <c r="H237"/>
      <c r="I237"/>
      <c r="J237"/>
      <c r="K237"/>
      <c r="L237"/>
      <c r="M237"/>
      <c r="N237"/>
      <c r="O237"/>
      <c r="P237"/>
      <c r="Q237"/>
      <c r="R237"/>
      <c r="S237" s="6"/>
      <c r="T237"/>
      <c r="U237" s="320">
        <v>177</v>
      </c>
      <c r="V237" s="349"/>
      <c r="W237" s="348"/>
      <c r="X237"/>
      <c r="Y237"/>
      <c r="Z237"/>
      <c r="AA237"/>
      <c r="AB237"/>
      <c r="AC237"/>
      <c r="AD237"/>
      <c r="AE237"/>
      <c r="AF237"/>
      <c r="AG237"/>
      <c r="AH237"/>
      <c r="AI237"/>
      <c r="AJ237"/>
      <c r="AK237"/>
      <c r="AL237" s="6"/>
      <c r="AM237"/>
      <c r="AN237" s="320">
        <v>177</v>
      </c>
      <c r="AO237" s="349"/>
      <c r="AP237" s="348"/>
      <c r="AQ237"/>
      <c r="AR237"/>
      <c r="AS237"/>
      <c r="AT237"/>
      <c r="AU237"/>
      <c r="AV237"/>
      <c r="AW237"/>
      <c r="AX237"/>
      <c r="AY237"/>
      <c r="AZ237"/>
      <c r="BA237"/>
      <c r="BB237"/>
      <c r="BC237"/>
      <c r="BD237"/>
      <c r="BE237" s="6"/>
      <c r="BF237"/>
      <c r="BG237" s="320">
        <v>177</v>
      </c>
      <c r="BH237" s="349"/>
      <c r="BI237" s="348"/>
      <c r="BJ237"/>
      <c r="BK237"/>
      <c r="BL237"/>
      <c r="BM237"/>
      <c r="BN237"/>
      <c r="BO237"/>
      <c r="BP237"/>
      <c r="BQ237"/>
      <c r="BR237"/>
      <c r="BS237"/>
      <c r="BT237"/>
      <c r="BU237"/>
      <c r="BV237"/>
      <c r="BW237"/>
      <c r="BX237" s="6"/>
    </row>
    <row r="238" spans="1:76">
      <c r="A238"/>
      <c r="B238" s="320">
        <v>178</v>
      </c>
      <c r="C238" s="349"/>
      <c r="D238" s="348"/>
      <c r="E238"/>
      <c r="F238"/>
      <c r="G238"/>
      <c r="H238"/>
      <c r="I238"/>
      <c r="J238"/>
      <c r="K238"/>
      <c r="L238"/>
      <c r="M238"/>
      <c r="N238"/>
      <c r="O238"/>
      <c r="P238"/>
      <c r="Q238"/>
      <c r="R238"/>
      <c r="S238" s="6"/>
      <c r="T238"/>
      <c r="U238" s="320">
        <v>178</v>
      </c>
      <c r="V238" s="349"/>
      <c r="W238" s="348"/>
      <c r="X238"/>
      <c r="Y238"/>
      <c r="Z238"/>
      <c r="AA238"/>
      <c r="AB238"/>
      <c r="AC238"/>
      <c r="AD238"/>
      <c r="AE238"/>
      <c r="AF238"/>
      <c r="AG238"/>
      <c r="AH238"/>
      <c r="AI238"/>
      <c r="AJ238"/>
      <c r="AK238"/>
      <c r="AL238" s="6"/>
      <c r="AM238"/>
      <c r="AN238" s="320">
        <v>178</v>
      </c>
      <c r="AO238" s="349"/>
      <c r="AP238" s="348"/>
      <c r="AQ238"/>
      <c r="AR238"/>
      <c r="AS238"/>
      <c r="AT238"/>
      <c r="AU238"/>
      <c r="AV238"/>
      <c r="AW238"/>
      <c r="AX238"/>
      <c r="AY238"/>
      <c r="AZ238"/>
      <c r="BA238"/>
      <c r="BB238"/>
      <c r="BC238"/>
      <c r="BD238"/>
      <c r="BE238" s="6"/>
      <c r="BF238"/>
      <c r="BG238" s="320">
        <v>178</v>
      </c>
      <c r="BH238" s="349"/>
      <c r="BI238" s="348"/>
      <c r="BJ238"/>
      <c r="BK238"/>
      <c r="BL238"/>
      <c r="BM238"/>
      <c r="BN238"/>
      <c r="BO238"/>
      <c r="BP238"/>
      <c r="BQ238"/>
      <c r="BR238"/>
      <c r="BS238"/>
      <c r="BT238"/>
      <c r="BU238"/>
      <c r="BV238"/>
      <c r="BW238"/>
      <c r="BX238" s="6"/>
    </row>
    <row r="239" spans="1:76">
      <c r="A239"/>
      <c r="B239" s="320">
        <v>179</v>
      </c>
      <c r="C239" s="349"/>
      <c r="D239" s="348"/>
      <c r="E239"/>
      <c r="F239"/>
      <c r="G239"/>
      <c r="H239"/>
      <c r="I239"/>
      <c r="J239"/>
      <c r="K239"/>
      <c r="L239"/>
      <c r="M239"/>
      <c r="N239"/>
      <c r="O239"/>
      <c r="P239"/>
      <c r="Q239"/>
      <c r="R239"/>
      <c r="S239" s="6"/>
      <c r="T239"/>
      <c r="U239" s="320">
        <v>179</v>
      </c>
      <c r="V239" s="349"/>
      <c r="W239" s="348"/>
      <c r="X239"/>
      <c r="Y239"/>
      <c r="Z239"/>
      <c r="AA239"/>
      <c r="AB239"/>
      <c r="AC239"/>
      <c r="AD239"/>
      <c r="AE239"/>
      <c r="AF239"/>
      <c r="AG239"/>
      <c r="AH239"/>
      <c r="AI239"/>
      <c r="AJ239"/>
      <c r="AK239"/>
      <c r="AL239" s="6"/>
      <c r="AM239"/>
      <c r="AN239" s="320">
        <v>179</v>
      </c>
      <c r="AO239" s="349"/>
      <c r="AP239" s="348"/>
      <c r="AQ239"/>
      <c r="AR239"/>
      <c r="AS239"/>
      <c r="AT239"/>
      <c r="AU239"/>
      <c r="AV239"/>
      <c r="AW239"/>
      <c r="AX239"/>
      <c r="AY239"/>
      <c r="AZ239"/>
      <c r="BA239"/>
      <c r="BB239"/>
      <c r="BC239"/>
      <c r="BD239"/>
      <c r="BE239" s="6"/>
      <c r="BF239"/>
      <c r="BG239" s="320">
        <v>179</v>
      </c>
      <c r="BH239" s="349"/>
      <c r="BI239" s="348"/>
      <c r="BJ239"/>
      <c r="BK239"/>
      <c r="BL239"/>
      <c r="BM239"/>
      <c r="BN239"/>
      <c r="BO239"/>
      <c r="BP239"/>
      <c r="BQ239"/>
      <c r="BR239"/>
      <c r="BS239"/>
      <c r="BT239"/>
      <c r="BU239"/>
      <c r="BV239"/>
      <c r="BW239"/>
      <c r="BX239" s="6"/>
    </row>
    <row r="240" spans="1:76">
      <c r="A240"/>
      <c r="B240" s="320">
        <v>180</v>
      </c>
      <c r="C240" s="349"/>
      <c r="D240" s="348"/>
      <c r="E240"/>
      <c r="F240"/>
      <c r="G240"/>
      <c r="H240"/>
      <c r="I240"/>
      <c r="J240"/>
      <c r="K240"/>
      <c r="L240"/>
      <c r="M240"/>
      <c r="N240"/>
      <c r="O240"/>
      <c r="P240"/>
      <c r="Q240"/>
      <c r="R240"/>
      <c r="S240" s="6"/>
      <c r="T240"/>
      <c r="U240" s="320">
        <v>180</v>
      </c>
      <c r="V240" s="349"/>
      <c r="W240" s="348"/>
      <c r="X240"/>
      <c r="Y240"/>
      <c r="Z240"/>
      <c r="AA240"/>
      <c r="AB240"/>
      <c r="AC240"/>
      <c r="AD240"/>
      <c r="AE240"/>
      <c r="AF240"/>
      <c r="AG240"/>
      <c r="AH240"/>
      <c r="AI240"/>
      <c r="AJ240"/>
      <c r="AK240"/>
      <c r="AL240" s="6"/>
      <c r="AM240"/>
      <c r="AN240" s="320">
        <v>180</v>
      </c>
      <c r="AO240" s="349"/>
      <c r="AP240" s="348"/>
      <c r="AQ240"/>
      <c r="AR240"/>
      <c r="AS240"/>
      <c r="AT240"/>
      <c r="AU240"/>
      <c r="AV240"/>
      <c r="AW240"/>
      <c r="AX240"/>
      <c r="AY240"/>
      <c r="AZ240"/>
      <c r="BA240"/>
      <c r="BB240"/>
      <c r="BC240"/>
      <c r="BD240"/>
      <c r="BE240" s="6"/>
      <c r="BF240"/>
      <c r="BG240" s="320">
        <v>180</v>
      </c>
      <c r="BH240" s="349"/>
      <c r="BI240" s="348"/>
      <c r="BJ240"/>
      <c r="BK240"/>
      <c r="BL240"/>
      <c r="BM240"/>
      <c r="BN240"/>
      <c r="BO240"/>
      <c r="BP240"/>
      <c r="BQ240"/>
      <c r="BR240"/>
      <c r="BS240"/>
      <c r="BT240"/>
      <c r="BU240"/>
      <c r="BV240"/>
      <c r="BW240"/>
      <c r="BX240" s="6"/>
    </row>
    <row r="241" spans="1:76">
      <c r="A241"/>
      <c r="B241" s="320">
        <v>181</v>
      </c>
      <c r="C241" s="349"/>
      <c r="D241" s="348"/>
      <c r="E241"/>
      <c r="F241"/>
      <c r="G241"/>
      <c r="H241"/>
      <c r="I241"/>
      <c r="J241"/>
      <c r="K241"/>
      <c r="L241"/>
      <c r="M241"/>
      <c r="N241"/>
      <c r="O241"/>
      <c r="P241"/>
      <c r="Q241"/>
      <c r="R241"/>
      <c r="S241" s="6"/>
      <c r="T241"/>
      <c r="U241" s="320">
        <v>181</v>
      </c>
      <c r="V241" s="349"/>
      <c r="W241" s="348"/>
      <c r="X241"/>
      <c r="Y241"/>
      <c r="Z241"/>
      <c r="AA241"/>
      <c r="AB241"/>
      <c r="AC241"/>
      <c r="AD241"/>
      <c r="AE241"/>
      <c r="AF241"/>
      <c r="AG241"/>
      <c r="AH241"/>
      <c r="AI241"/>
      <c r="AJ241"/>
      <c r="AK241"/>
      <c r="AL241" s="6"/>
      <c r="AM241"/>
      <c r="AN241" s="320">
        <v>181</v>
      </c>
      <c r="AO241" s="349"/>
      <c r="AP241" s="348"/>
      <c r="AQ241"/>
      <c r="AR241"/>
      <c r="AS241"/>
      <c r="AT241"/>
      <c r="AU241"/>
      <c r="AV241"/>
      <c r="AW241"/>
      <c r="AX241"/>
      <c r="AY241"/>
      <c r="AZ241"/>
      <c r="BA241"/>
      <c r="BB241"/>
      <c r="BC241"/>
      <c r="BD241"/>
      <c r="BE241" s="6"/>
      <c r="BF241"/>
      <c r="BG241" s="320">
        <v>181</v>
      </c>
      <c r="BH241" s="349"/>
      <c r="BI241" s="348"/>
      <c r="BJ241"/>
      <c r="BK241"/>
      <c r="BL241"/>
      <c r="BM241"/>
      <c r="BN241"/>
      <c r="BO241"/>
      <c r="BP241"/>
      <c r="BQ241"/>
      <c r="BR241"/>
      <c r="BS241"/>
      <c r="BT241"/>
      <c r="BU241"/>
      <c r="BV241"/>
      <c r="BW241"/>
      <c r="BX241" s="6"/>
    </row>
    <row r="242" spans="1:76">
      <c r="A242"/>
      <c r="B242" s="320">
        <v>182</v>
      </c>
      <c r="C242" s="349"/>
      <c r="D242" s="348"/>
      <c r="E242"/>
      <c r="F242"/>
      <c r="G242"/>
      <c r="H242"/>
      <c r="I242"/>
      <c r="J242"/>
      <c r="K242"/>
      <c r="L242"/>
      <c r="M242"/>
      <c r="N242"/>
      <c r="O242"/>
      <c r="P242"/>
      <c r="Q242"/>
      <c r="R242"/>
      <c r="S242" s="6"/>
      <c r="T242"/>
      <c r="U242" s="320">
        <v>182</v>
      </c>
      <c r="V242" s="349"/>
      <c r="W242" s="348"/>
      <c r="X242"/>
      <c r="Y242"/>
      <c r="Z242"/>
      <c r="AA242"/>
      <c r="AB242"/>
      <c r="AC242"/>
      <c r="AD242"/>
      <c r="AE242"/>
      <c r="AF242"/>
      <c r="AG242"/>
      <c r="AH242"/>
      <c r="AI242"/>
      <c r="AJ242"/>
      <c r="AK242"/>
      <c r="AL242" s="6"/>
      <c r="AM242"/>
      <c r="AN242" s="320">
        <v>182</v>
      </c>
      <c r="AO242" s="349"/>
      <c r="AP242" s="348"/>
      <c r="AQ242"/>
      <c r="AR242"/>
      <c r="AS242"/>
      <c r="AT242"/>
      <c r="AU242"/>
      <c r="AV242"/>
      <c r="AW242"/>
      <c r="AX242"/>
      <c r="AY242"/>
      <c r="AZ242"/>
      <c r="BA242"/>
      <c r="BB242"/>
      <c r="BC242"/>
      <c r="BD242"/>
      <c r="BE242" s="6"/>
      <c r="BF242"/>
      <c r="BG242" s="320">
        <v>182</v>
      </c>
      <c r="BH242" s="349"/>
      <c r="BI242" s="348"/>
      <c r="BJ242"/>
      <c r="BK242"/>
      <c r="BL242"/>
      <c r="BM242"/>
      <c r="BN242"/>
      <c r="BO242"/>
      <c r="BP242"/>
      <c r="BQ242"/>
      <c r="BR242"/>
      <c r="BS242"/>
      <c r="BT242"/>
      <c r="BU242"/>
      <c r="BV242"/>
      <c r="BW242"/>
      <c r="BX242" s="6"/>
    </row>
    <row r="243" spans="1:76">
      <c r="A243"/>
      <c r="B243" s="320">
        <v>183</v>
      </c>
      <c r="C243" s="349"/>
      <c r="D243" s="348"/>
      <c r="E243"/>
      <c r="F243"/>
      <c r="G243"/>
      <c r="H243"/>
      <c r="I243"/>
      <c r="J243"/>
      <c r="K243"/>
      <c r="L243"/>
      <c r="M243"/>
      <c r="N243"/>
      <c r="O243"/>
      <c r="P243"/>
      <c r="Q243"/>
      <c r="R243"/>
      <c r="S243" s="6"/>
      <c r="T243"/>
      <c r="U243" s="320">
        <v>183</v>
      </c>
      <c r="V243" s="349"/>
      <c r="W243" s="348"/>
      <c r="X243"/>
      <c r="Y243"/>
      <c r="Z243"/>
      <c r="AA243"/>
      <c r="AB243"/>
      <c r="AC243"/>
      <c r="AD243"/>
      <c r="AE243"/>
      <c r="AF243"/>
      <c r="AG243"/>
      <c r="AH243"/>
      <c r="AI243"/>
      <c r="AJ243"/>
      <c r="AK243"/>
      <c r="AL243" s="6"/>
      <c r="AM243"/>
      <c r="AN243" s="320">
        <v>183</v>
      </c>
      <c r="AO243" s="349"/>
      <c r="AP243" s="348"/>
      <c r="AQ243"/>
      <c r="AR243"/>
      <c r="AS243"/>
      <c r="AT243"/>
      <c r="AU243"/>
      <c r="AV243"/>
      <c r="AW243"/>
      <c r="AX243"/>
      <c r="AY243"/>
      <c r="AZ243"/>
      <c r="BA243"/>
      <c r="BB243"/>
      <c r="BC243"/>
      <c r="BD243"/>
      <c r="BE243" s="6"/>
      <c r="BF243"/>
      <c r="BG243" s="320">
        <v>183</v>
      </c>
      <c r="BH243" s="349"/>
      <c r="BI243" s="348"/>
      <c r="BJ243"/>
      <c r="BK243"/>
      <c r="BL243"/>
      <c r="BM243"/>
      <c r="BN243"/>
      <c r="BO243"/>
      <c r="BP243"/>
      <c r="BQ243"/>
      <c r="BR243"/>
      <c r="BS243"/>
      <c r="BT243"/>
      <c r="BU243"/>
      <c r="BV243"/>
      <c r="BW243"/>
      <c r="BX243" s="6"/>
    </row>
    <row r="244" spans="1:76">
      <c r="A244"/>
      <c r="B244" s="320">
        <v>184</v>
      </c>
      <c r="C244" s="349"/>
      <c r="D244" s="348"/>
      <c r="E244"/>
      <c r="F244"/>
      <c r="G244"/>
      <c r="H244"/>
      <c r="I244"/>
      <c r="J244"/>
      <c r="K244"/>
      <c r="L244"/>
      <c r="M244"/>
      <c r="N244"/>
      <c r="O244"/>
      <c r="P244"/>
      <c r="Q244"/>
      <c r="R244"/>
      <c r="S244" s="6"/>
      <c r="T244"/>
      <c r="U244" s="320">
        <v>184</v>
      </c>
      <c r="V244" s="349"/>
      <c r="W244" s="348"/>
      <c r="X244"/>
      <c r="Y244"/>
      <c r="Z244"/>
      <c r="AA244"/>
      <c r="AB244"/>
      <c r="AC244"/>
      <c r="AD244"/>
      <c r="AE244"/>
      <c r="AF244"/>
      <c r="AG244"/>
      <c r="AH244"/>
      <c r="AI244"/>
      <c r="AJ244"/>
      <c r="AK244"/>
      <c r="AL244" s="6"/>
      <c r="AM244"/>
      <c r="AN244" s="320">
        <v>184</v>
      </c>
      <c r="AO244" s="349"/>
      <c r="AP244" s="348"/>
      <c r="AQ244"/>
      <c r="AR244"/>
      <c r="AS244"/>
      <c r="AT244"/>
      <c r="AU244"/>
      <c r="AV244"/>
      <c r="AW244"/>
      <c r="AX244"/>
      <c r="AY244"/>
      <c r="AZ244"/>
      <c r="BA244"/>
      <c r="BB244"/>
      <c r="BC244"/>
      <c r="BD244"/>
      <c r="BE244" s="6"/>
      <c r="BF244"/>
      <c r="BG244" s="320">
        <v>184</v>
      </c>
      <c r="BH244" s="349"/>
      <c r="BI244" s="348"/>
      <c r="BJ244"/>
      <c r="BK244"/>
      <c r="BL244"/>
      <c r="BM244"/>
      <c r="BN244"/>
      <c r="BO244"/>
      <c r="BP244"/>
      <c r="BQ244"/>
      <c r="BR244"/>
      <c r="BS244"/>
      <c r="BT244"/>
      <c r="BU244"/>
      <c r="BV244"/>
      <c r="BW244"/>
      <c r="BX244" s="6"/>
    </row>
    <row r="245" spans="1:76">
      <c r="A245"/>
      <c r="B245" s="320">
        <v>185</v>
      </c>
      <c r="C245" s="349"/>
      <c r="D245" s="348"/>
      <c r="E245"/>
      <c r="F245"/>
      <c r="G245"/>
      <c r="H245"/>
      <c r="I245"/>
      <c r="J245"/>
      <c r="K245"/>
      <c r="L245"/>
      <c r="M245"/>
      <c r="N245"/>
      <c r="O245"/>
      <c r="P245"/>
      <c r="Q245"/>
      <c r="R245"/>
      <c r="S245" s="6"/>
      <c r="T245"/>
      <c r="U245" s="320">
        <v>185</v>
      </c>
      <c r="V245" s="349"/>
      <c r="W245" s="348"/>
      <c r="X245"/>
      <c r="Y245"/>
      <c r="Z245"/>
      <c r="AA245"/>
      <c r="AB245"/>
      <c r="AC245"/>
      <c r="AD245"/>
      <c r="AE245"/>
      <c r="AF245"/>
      <c r="AG245"/>
      <c r="AH245"/>
      <c r="AI245"/>
      <c r="AJ245"/>
      <c r="AK245"/>
      <c r="AL245" s="6"/>
      <c r="AM245"/>
      <c r="AN245" s="320">
        <v>185</v>
      </c>
      <c r="AO245" s="349"/>
      <c r="AP245" s="348"/>
      <c r="AQ245"/>
      <c r="AR245"/>
      <c r="AS245"/>
      <c r="AT245"/>
      <c r="AU245"/>
      <c r="AV245"/>
      <c r="AW245"/>
      <c r="AX245"/>
      <c r="AY245"/>
      <c r="AZ245"/>
      <c r="BA245"/>
      <c r="BB245"/>
      <c r="BC245"/>
      <c r="BD245"/>
      <c r="BE245" s="6"/>
      <c r="BF245"/>
      <c r="BG245" s="320">
        <v>185</v>
      </c>
      <c r="BH245" s="349"/>
      <c r="BI245" s="348"/>
      <c r="BJ245"/>
      <c r="BK245"/>
      <c r="BL245"/>
      <c r="BM245"/>
      <c r="BN245"/>
      <c r="BO245"/>
      <c r="BP245"/>
      <c r="BQ245"/>
      <c r="BR245"/>
      <c r="BS245"/>
      <c r="BT245"/>
      <c r="BU245"/>
      <c r="BV245"/>
      <c r="BW245"/>
      <c r="BX245" s="6"/>
    </row>
    <row r="246" spans="1:76">
      <c r="A246"/>
      <c r="B246" s="320">
        <v>186</v>
      </c>
      <c r="C246" s="349"/>
      <c r="D246" s="348"/>
      <c r="E246"/>
      <c r="F246"/>
      <c r="G246"/>
      <c r="H246"/>
      <c r="I246"/>
      <c r="J246"/>
      <c r="K246"/>
      <c r="L246"/>
      <c r="M246"/>
      <c r="N246"/>
      <c r="O246"/>
      <c r="P246"/>
      <c r="Q246"/>
      <c r="R246"/>
      <c r="S246" s="6"/>
      <c r="T246"/>
      <c r="U246" s="320">
        <v>186</v>
      </c>
      <c r="V246" s="349"/>
      <c r="W246" s="348"/>
      <c r="X246"/>
      <c r="Y246"/>
      <c r="Z246"/>
      <c r="AA246"/>
      <c r="AB246"/>
      <c r="AC246"/>
      <c r="AD246"/>
      <c r="AE246"/>
      <c r="AF246"/>
      <c r="AG246"/>
      <c r="AH246"/>
      <c r="AI246"/>
      <c r="AJ246"/>
      <c r="AK246"/>
      <c r="AL246" s="6"/>
      <c r="AM246"/>
      <c r="AN246" s="320">
        <v>186</v>
      </c>
      <c r="AO246" s="349"/>
      <c r="AP246" s="348"/>
      <c r="AQ246"/>
      <c r="AR246"/>
      <c r="AS246"/>
      <c r="AT246"/>
      <c r="AU246"/>
      <c r="AV246"/>
      <c r="AW246"/>
      <c r="AX246"/>
      <c r="AY246"/>
      <c r="AZ246"/>
      <c r="BA246"/>
      <c r="BB246"/>
      <c r="BC246"/>
      <c r="BD246"/>
      <c r="BE246" s="6"/>
      <c r="BF246"/>
      <c r="BG246" s="320">
        <v>186</v>
      </c>
      <c r="BH246" s="349"/>
      <c r="BI246" s="348"/>
      <c r="BJ246"/>
      <c r="BK246"/>
      <c r="BL246"/>
      <c r="BM246"/>
      <c r="BN246"/>
      <c r="BO246"/>
      <c r="BP246"/>
      <c r="BQ246"/>
      <c r="BR246"/>
      <c r="BS246"/>
      <c r="BT246"/>
      <c r="BU246"/>
      <c r="BV246"/>
      <c r="BW246"/>
      <c r="BX246" s="6"/>
    </row>
    <row r="247" spans="1:76">
      <c r="A247"/>
      <c r="B247" s="320">
        <v>187</v>
      </c>
      <c r="C247" s="349"/>
      <c r="D247" s="348"/>
      <c r="E247"/>
      <c r="F247"/>
      <c r="G247"/>
      <c r="H247"/>
      <c r="I247"/>
      <c r="J247"/>
      <c r="K247"/>
      <c r="L247"/>
      <c r="M247"/>
      <c r="N247"/>
      <c r="O247"/>
      <c r="P247"/>
      <c r="Q247"/>
      <c r="R247"/>
      <c r="S247" s="6"/>
      <c r="T247"/>
      <c r="U247" s="320">
        <v>187</v>
      </c>
      <c r="V247" s="349"/>
      <c r="W247" s="348"/>
      <c r="X247"/>
      <c r="Y247"/>
      <c r="Z247"/>
      <c r="AA247"/>
      <c r="AB247"/>
      <c r="AC247"/>
      <c r="AD247"/>
      <c r="AE247"/>
      <c r="AF247"/>
      <c r="AG247"/>
      <c r="AH247"/>
      <c r="AI247"/>
      <c r="AJ247"/>
      <c r="AK247"/>
      <c r="AL247" s="6"/>
      <c r="AM247"/>
      <c r="AN247" s="320">
        <v>187</v>
      </c>
      <c r="AO247" s="349"/>
      <c r="AP247" s="348"/>
      <c r="AQ247"/>
      <c r="AR247"/>
      <c r="AS247"/>
      <c r="AT247"/>
      <c r="AU247"/>
      <c r="AV247"/>
      <c r="AW247"/>
      <c r="AX247"/>
      <c r="AY247"/>
      <c r="AZ247"/>
      <c r="BA247"/>
      <c r="BB247"/>
      <c r="BC247"/>
      <c r="BD247"/>
      <c r="BE247" s="6"/>
      <c r="BF247"/>
      <c r="BG247" s="320">
        <v>187</v>
      </c>
      <c r="BH247" s="349"/>
      <c r="BI247" s="348"/>
      <c r="BJ247"/>
      <c r="BK247"/>
      <c r="BL247"/>
      <c r="BM247"/>
      <c r="BN247"/>
      <c r="BO247"/>
      <c r="BP247"/>
      <c r="BQ247"/>
      <c r="BR247"/>
      <c r="BS247"/>
      <c r="BT247"/>
      <c r="BU247"/>
      <c r="BV247"/>
      <c r="BW247"/>
      <c r="BX247" s="6"/>
    </row>
    <row r="248" spans="1:76">
      <c r="A248"/>
      <c r="B248" s="320">
        <v>188</v>
      </c>
      <c r="C248" s="349"/>
      <c r="D248" s="348"/>
      <c r="E248"/>
      <c r="F248"/>
      <c r="G248"/>
      <c r="H248"/>
      <c r="I248"/>
      <c r="J248"/>
      <c r="K248"/>
      <c r="L248"/>
      <c r="M248"/>
      <c r="N248"/>
      <c r="O248"/>
      <c r="P248"/>
      <c r="Q248"/>
      <c r="R248"/>
      <c r="S248" s="6"/>
      <c r="T248"/>
      <c r="U248" s="320">
        <v>188</v>
      </c>
      <c r="V248" s="349"/>
      <c r="W248" s="348"/>
      <c r="X248"/>
      <c r="Y248"/>
      <c r="Z248"/>
      <c r="AA248"/>
      <c r="AB248"/>
      <c r="AC248"/>
      <c r="AD248"/>
      <c r="AE248"/>
      <c r="AF248"/>
      <c r="AG248"/>
      <c r="AH248"/>
      <c r="AI248"/>
      <c r="AJ248"/>
      <c r="AK248"/>
      <c r="AL248" s="6"/>
      <c r="AM248"/>
      <c r="AN248" s="320">
        <v>188</v>
      </c>
      <c r="AO248" s="349"/>
      <c r="AP248" s="348"/>
      <c r="AQ248"/>
      <c r="AR248"/>
      <c r="AS248"/>
      <c r="AT248"/>
      <c r="AU248"/>
      <c r="AV248"/>
      <c r="AW248"/>
      <c r="AX248"/>
      <c r="AY248"/>
      <c r="AZ248"/>
      <c r="BA248"/>
      <c r="BB248"/>
      <c r="BC248"/>
      <c r="BD248"/>
      <c r="BE248" s="6"/>
      <c r="BF248"/>
      <c r="BG248" s="320">
        <v>188</v>
      </c>
      <c r="BH248" s="349"/>
      <c r="BI248" s="348"/>
      <c r="BJ248"/>
      <c r="BK248"/>
      <c r="BL248"/>
      <c r="BM248"/>
      <c r="BN248"/>
      <c r="BO248"/>
      <c r="BP248"/>
      <c r="BQ248"/>
      <c r="BR248"/>
      <c r="BS248"/>
      <c r="BT248"/>
      <c r="BU248"/>
      <c r="BV248"/>
      <c r="BW248"/>
      <c r="BX248" s="6"/>
    </row>
    <row r="249" spans="1:76">
      <c r="A249"/>
      <c r="B249" s="320">
        <v>189</v>
      </c>
      <c r="C249" s="349"/>
      <c r="D249" s="348"/>
      <c r="E249"/>
      <c r="F249"/>
      <c r="G249"/>
      <c r="H249"/>
      <c r="I249"/>
      <c r="J249"/>
      <c r="K249"/>
      <c r="L249"/>
      <c r="M249"/>
      <c r="N249"/>
      <c r="O249"/>
      <c r="P249"/>
      <c r="Q249"/>
      <c r="R249"/>
      <c r="S249" s="6"/>
      <c r="T249"/>
      <c r="U249" s="320">
        <v>189</v>
      </c>
      <c r="V249" s="349"/>
      <c r="W249" s="348"/>
      <c r="X249"/>
      <c r="Y249"/>
      <c r="Z249"/>
      <c r="AA249"/>
      <c r="AB249"/>
      <c r="AC249"/>
      <c r="AD249"/>
      <c r="AE249"/>
      <c r="AF249"/>
      <c r="AG249"/>
      <c r="AH249"/>
      <c r="AI249"/>
      <c r="AJ249"/>
      <c r="AK249"/>
      <c r="AL249" s="6"/>
      <c r="AM249"/>
      <c r="AN249" s="320">
        <v>189</v>
      </c>
      <c r="AO249" s="349"/>
      <c r="AP249" s="348"/>
      <c r="AQ249"/>
      <c r="AR249"/>
      <c r="AS249"/>
      <c r="AT249"/>
      <c r="AU249"/>
      <c r="AV249"/>
      <c r="AW249"/>
      <c r="AX249"/>
      <c r="AY249"/>
      <c r="AZ249"/>
      <c r="BA249"/>
      <c r="BB249"/>
      <c r="BC249"/>
      <c r="BD249"/>
      <c r="BE249" s="6"/>
      <c r="BF249"/>
      <c r="BG249" s="320">
        <v>189</v>
      </c>
      <c r="BH249" s="349"/>
      <c r="BI249" s="348"/>
      <c r="BJ249"/>
      <c r="BK249"/>
      <c r="BL249"/>
      <c r="BM249"/>
      <c r="BN249"/>
      <c r="BO249"/>
      <c r="BP249"/>
      <c r="BQ249"/>
      <c r="BR249"/>
      <c r="BS249"/>
      <c r="BT249"/>
      <c r="BU249"/>
      <c r="BV249"/>
      <c r="BW249"/>
      <c r="BX249" s="6"/>
    </row>
    <row r="250" spans="1:76">
      <c r="A250"/>
      <c r="B250" s="320">
        <v>190</v>
      </c>
      <c r="C250" s="349"/>
      <c r="D250" s="348"/>
      <c r="E250"/>
      <c r="F250"/>
      <c r="G250"/>
      <c r="H250"/>
      <c r="I250"/>
      <c r="J250"/>
      <c r="K250"/>
      <c r="L250"/>
      <c r="M250"/>
      <c r="N250"/>
      <c r="O250"/>
      <c r="P250"/>
      <c r="Q250"/>
      <c r="R250"/>
      <c r="S250" s="6"/>
      <c r="T250"/>
      <c r="U250" s="320">
        <v>190</v>
      </c>
      <c r="V250" s="349"/>
      <c r="W250" s="348"/>
      <c r="X250"/>
      <c r="Y250"/>
      <c r="Z250"/>
      <c r="AA250"/>
      <c r="AB250"/>
      <c r="AC250"/>
      <c r="AD250"/>
      <c r="AE250"/>
      <c r="AF250"/>
      <c r="AG250"/>
      <c r="AH250"/>
      <c r="AI250"/>
      <c r="AJ250"/>
      <c r="AK250"/>
      <c r="AL250" s="6"/>
      <c r="AM250"/>
      <c r="AN250" s="320">
        <v>190</v>
      </c>
      <c r="AO250" s="349"/>
      <c r="AP250" s="348"/>
      <c r="AQ250"/>
      <c r="AR250"/>
      <c r="AS250"/>
      <c r="AT250"/>
      <c r="AU250"/>
      <c r="AV250"/>
      <c r="AW250"/>
      <c r="AX250"/>
      <c r="AY250"/>
      <c r="AZ250"/>
      <c r="BA250"/>
      <c r="BB250"/>
      <c r="BC250"/>
      <c r="BD250"/>
      <c r="BE250" s="6"/>
      <c r="BF250"/>
      <c r="BG250" s="320">
        <v>190</v>
      </c>
      <c r="BH250" s="349"/>
      <c r="BI250" s="348"/>
      <c r="BJ250"/>
      <c r="BK250"/>
      <c r="BL250"/>
      <c r="BM250"/>
      <c r="BN250"/>
      <c r="BO250"/>
      <c r="BP250"/>
      <c r="BQ250"/>
      <c r="BR250"/>
      <c r="BS250"/>
      <c r="BT250"/>
      <c r="BU250"/>
      <c r="BV250"/>
      <c r="BW250"/>
      <c r="BX250" s="6"/>
    </row>
    <row r="251" spans="1:76">
      <c r="A251"/>
      <c r="B251" s="320">
        <v>191</v>
      </c>
      <c r="C251" s="349"/>
      <c r="D251" s="348"/>
      <c r="E251"/>
      <c r="F251"/>
      <c r="G251"/>
      <c r="H251"/>
      <c r="I251"/>
      <c r="J251"/>
      <c r="K251"/>
      <c r="L251"/>
      <c r="M251"/>
      <c r="N251"/>
      <c r="O251"/>
      <c r="P251"/>
      <c r="Q251"/>
      <c r="R251"/>
      <c r="S251" s="6"/>
      <c r="T251"/>
      <c r="U251" s="320">
        <v>191</v>
      </c>
      <c r="V251" s="349"/>
      <c r="W251" s="348"/>
      <c r="X251"/>
      <c r="Y251"/>
      <c r="Z251"/>
      <c r="AA251"/>
      <c r="AB251"/>
      <c r="AC251"/>
      <c r="AD251"/>
      <c r="AE251"/>
      <c r="AF251"/>
      <c r="AG251"/>
      <c r="AH251"/>
      <c r="AI251"/>
      <c r="AJ251"/>
      <c r="AK251"/>
      <c r="AL251" s="6"/>
      <c r="AM251"/>
      <c r="AN251" s="320">
        <v>191</v>
      </c>
      <c r="AO251" s="349"/>
      <c r="AP251" s="348"/>
      <c r="AQ251"/>
      <c r="AR251"/>
      <c r="AS251"/>
      <c r="AT251"/>
      <c r="AU251"/>
      <c r="AV251"/>
      <c r="AW251"/>
      <c r="AX251"/>
      <c r="AY251"/>
      <c r="AZ251"/>
      <c r="BA251"/>
      <c r="BB251"/>
      <c r="BC251"/>
      <c r="BD251"/>
      <c r="BE251" s="6"/>
      <c r="BF251"/>
      <c r="BG251" s="320">
        <v>191</v>
      </c>
      <c r="BH251" s="349"/>
      <c r="BI251" s="348"/>
      <c r="BJ251"/>
      <c r="BK251"/>
      <c r="BL251"/>
      <c r="BM251"/>
      <c r="BN251"/>
      <c r="BO251"/>
      <c r="BP251"/>
      <c r="BQ251"/>
      <c r="BR251"/>
      <c r="BS251"/>
      <c r="BT251"/>
      <c r="BU251"/>
      <c r="BV251"/>
      <c r="BW251"/>
      <c r="BX251" s="6"/>
    </row>
    <row r="252" spans="1:76">
      <c r="A252"/>
      <c r="B252" s="320">
        <v>192</v>
      </c>
      <c r="C252" s="349"/>
      <c r="D252" s="348"/>
      <c r="E252"/>
      <c r="F252"/>
      <c r="G252"/>
      <c r="H252"/>
      <c r="I252"/>
      <c r="J252"/>
      <c r="K252"/>
      <c r="L252"/>
      <c r="M252"/>
      <c r="N252"/>
      <c r="O252"/>
      <c r="P252"/>
      <c r="Q252"/>
      <c r="R252"/>
      <c r="S252" s="6"/>
      <c r="T252"/>
      <c r="U252" s="320">
        <v>192</v>
      </c>
      <c r="V252" s="349"/>
      <c r="W252" s="348"/>
      <c r="X252"/>
      <c r="Y252"/>
      <c r="Z252"/>
      <c r="AA252"/>
      <c r="AB252"/>
      <c r="AC252"/>
      <c r="AD252"/>
      <c r="AE252"/>
      <c r="AF252"/>
      <c r="AG252"/>
      <c r="AH252"/>
      <c r="AI252"/>
      <c r="AJ252"/>
      <c r="AK252"/>
      <c r="AL252" s="6"/>
      <c r="AM252"/>
      <c r="AN252" s="320">
        <v>192</v>
      </c>
      <c r="AO252" s="349"/>
      <c r="AP252" s="348"/>
      <c r="AQ252"/>
      <c r="AR252"/>
      <c r="AS252"/>
      <c r="AT252"/>
      <c r="AU252"/>
      <c r="AV252"/>
      <c r="AW252"/>
      <c r="AX252"/>
      <c r="AY252"/>
      <c r="AZ252"/>
      <c r="BA252"/>
      <c r="BB252"/>
      <c r="BC252"/>
      <c r="BD252"/>
      <c r="BE252" s="6"/>
      <c r="BF252"/>
      <c r="BG252" s="320">
        <v>192</v>
      </c>
      <c r="BH252" s="349"/>
      <c r="BI252" s="348"/>
      <c r="BJ252"/>
      <c r="BK252"/>
      <c r="BL252"/>
      <c r="BM252"/>
      <c r="BN252"/>
      <c r="BO252"/>
      <c r="BP252"/>
      <c r="BQ252"/>
      <c r="BR252"/>
      <c r="BS252"/>
      <c r="BT252"/>
      <c r="BU252"/>
      <c r="BV252"/>
      <c r="BW252"/>
      <c r="BX252" s="6"/>
    </row>
    <row r="253" spans="1:76">
      <c r="A253"/>
      <c r="B253" s="320">
        <v>193</v>
      </c>
      <c r="C253" s="349"/>
      <c r="D253" s="348"/>
      <c r="E253"/>
      <c r="F253"/>
      <c r="G253"/>
      <c r="H253"/>
      <c r="I253"/>
      <c r="J253"/>
      <c r="K253"/>
      <c r="L253"/>
      <c r="M253"/>
      <c r="N253"/>
      <c r="O253"/>
      <c r="P253"/>
      <c r="Q253"/>
      <c r="R253"/>
      <c r="S253" s="6"/>
      <c r="T253"/>
      <c r="U253" s="320">
        <v>193</v>
      </c>
      <c r="V253" s="349"/>
      <c r="W253" s="348"/>
      <c r="X253"/>
      <c r="Y253"/>
      <c r="Z253"/>
      <c r="AA253"/>
      <c r="AB253"/>
      <c r="AC253"/>
      <c r="AD253"/>
      <c r="AE253"/>
      <c r="AF253"/>
      <c r="AG253"/>
      <c r="AH253"/>
      <c r="AI253"/>
      <c r="AJ253"/>
      <c r="AK253"/>
      <c r="AL253" s="6"/>
      <c r="AM253"/>
      <c r="AN253" s="320">
        <v>193</v>
      </c>
      <c r="AO253" s="349"/>
      <c r="AP253" s="348"/>
      <c r="AQ253"/>
      <c r="AR253"/>
      <c r="AS253"/>
      <c r="AT253"/>
      <c r="AU253"/>
      <c r="AV253"/>
      <c r="AW253"/>
      <c r="AX253"/>
      <c r="AY253"/>
      <c r="AZ253"/>
      <c r="BA253"/>
      <c r="BB253"/>
      <c r="BC253"/>
      <c r="BD253"/>
      <c r="BE253" s="6"/>
      <c r="BF253"/>
      <c r="BG253" s="320">
        <v>193</v>
      </c>
      <c r="BH253" s="349"/>
      <c r="BI253" s="348"/>
      <c r="BJ253"/>
      <c r="BK253"/>
      <c r="BL253"/>
      <c r="BM253"/>
      <c r="BN253"/>
      <c r="BO253"/>
      <c r="BP253"/>
      <c r="BQ253"/>
      <c r="BR253"/>
      <c r="BS253"/>
      <c r="BT253"/>
      <c r="BU253"/>
      <c r="BV253"/>
      <c r="BW253"/>
      <c r="BX253" s="6"/>
    </row>
    <row r="254" spans="1:76">
      <c r="A254"/>
      <c r="B254" s="320">
        <v>194</v>
      </c>
      <c r="C254" s="349"/>
      <c r="D254" s="348"/>
      <c r="E254"/>
      <c r="F254"/>
      <c r="G254"/>
      <c r="H254"/>
      <c r="I254"/>
      <c r="J254"/>
      <c r="K254"/>
      <c r="L254"/>
      <c r="M254"/>
      <c r="N254"/>
      <c r="O254"/>
      <c r="P254"/>
      <c r="Q254"/>
      <c r="R254"/>
      <c r="S254" s="6"/>
      <c r="T254"/>
      <c r="U254" s="320">
        <v>194</v>
      </c>
      <c r="V254" s="349"/>
      <c r="W254" s="348"/>
      <c r="X254"/>
      <c r="Y254"/>
      <c r="Z254"/>
      <c r="AA254"/>
      <c r="AB254"/>
      <c r="AC254"/>
      <c r="AD254"/>
      <c r="AE254"/>
      <c r="AF254"/>
      <c r="AG254"/>
      <c r="AH254"/>
      <c r="AI254"/>
      <c r="AJ254"/>
      <c r="AK254"/>
      <c r="AL254" s="6"/>
      <c r="AM254"/>
      <c r="AN254" s="320">
        <v>194</v>
      </c>
      <c r="AO254" s="349"/>
      <c r="AP254" s="348"/>
      <c r="AQ254"/>
      <c r="AR254"/>
      <c r="AS254"/>
      <c r="AT254"/>
      <c r="AU254"/>
      <c r="AV254"/>
      <c r="AW254"/>
      <c r="AX254"/>
      <c r="AY254"/>
      <c r="AZ254"/>
      <c r="BA254"/>
      <c r="BB254"/>
      <c r="BC254"/>
      <c r="BD254"/>
      <c r="BE254" s="6"/>
      <c r="BF254"/>
      <c r="BG254" s="320">
        <v>194</v>
      </c>
      <c r="BH254" s="349"/>
      <c r="BI254" s="348"/>
      <c r="BJ254"/>
      <c r="BK254"/>
      <c r="BL254"/>
      <c r="BM254"/>
      <c r="BN254"/>
      <c r="BO254"/>
      <c r="BP254"/>
      <c r="BQ254"/>
      <c r="BR254"/>
      <c r="BS254"/>
      <c r="BT254"/>
      <c r="BU254"/>
      <c r="BV254"/>
      <c r="BW254"/>
      <c r="BX254" s="6"/>
    </row>
    <row r="255" spans="1:76">
      <c r="A255"/>
      <c r="B255" s="320">
        <v>195</v>
      </c>
      <c r="C255" s="349"/>
      <c r="D255" s="348"/>
      <c r="E255"/>
      <c r="F255"/>
      <c r="G255"/>
      <c r="H255"/>
      <c r="I255"/>
      <c r="J255"/>
      <c r="K255"/>
      <c r="L255"/>
      <c r="M255"/>
      <c r="N255"/>
      <c r="O255"/>
      <c r="P255"/>
      <c r="Q255"/>
      <c r="R255"/>
      <c r="S255" s="6"/>
      <c r="T255"/>
      <c r="U255" s="320">
        <v>195</v>
      </c>
      <c r="V255" s="349"/>
      <c r="W255" s="348"/>
      <c r="X255"/>
      <c r="Y255"/>
      <c r="Z255"/>
      <c r="AA255"/>
      <c r="AB255"/>
      <c r="AC255"/>
      <c r="AD255"/>
      <c r="AE255"/>
      <c r="AF255"/>
      <c r="AG255"/>
      <c r="AH255"/>
      <c r="AI255"/>
      <c r="AJ255"/>
      <c r="AK255"/>
      <c r="AL255" s="6"/>
      <c r="AM255"/>
      <c r="AN255" s="320">
        <v>195</v>
      </c>
      <c r="AO255" s="349"/>
      <c r="AP255" s="348"/>
      <c r="AQ255"/>
      <c r="AR255"/>
      <c r="AS255"/>
      <c r="AT255"/>
      <c r="AU255"/>
      <c r="AV255"/>
      <c r="AW255"/>
      <c r="AX255"/>
      <c r="AY255"/>
      <c r="AZ255"/>
      <c r="BA255"/>
      <c r="BB255"/>
      <c r="BC255"/>
      <c r="BD255"/>
      <c r="BE255" s="6"/>
      <c r="BF255"/>
      <c r="BG255" s="320">
        <v>195</v>
      </c>
      <c r="BH255" s="349"/>
      <c r="BI255" s="348"/>
      <c r="BJ255"/>
      <c r="BK255"/>
      <c r="BL255"/>
      <c r="BM255"/>
      <c r="BN255"/>
      <c r="BO255"/>
      <c r="BP255"/>
      <c r="BQ255"/>
      <c r="BR255"/>
      <c r="BS255"/>
      <c r="BT255"/>
      <c r="BU255"/>
      <c r="BV255"/>
      <c r="BW255"/>
      <c r="BX255" s="6"/>
    </row>
    <row r="256" spans="1:76">
      <c r="A256"/>
      <c r="B256" s="320">
        <v>196</v>
      </c>
      <c r="C256" s="349"/>
      <c r="D256" s="348"/>
      <c r="E256"/>
      <c r="F256"/>
      <c r="G256"/>
      <c r="H256"/>
      <c r="I256"/>
      <c r="J256"/>
      <c r="K256"/>
      <c r="L256"/>
      <c r="M256"/>
      <c r="N256"/>
      <c r="O256"/>
      <c r="P256"/>
      <c r="Q256"/>
      <c r="R256"/>
      <c r="S256" s="6"/>
      <c r="T256"/>
      <c r="U256" s="320">
        <v>196</v>
      </c>
      <c r="V256" s="349"/>
      <c r="W256" s="348"/>
      <c r="X256"/>
      <c r="Y256"/>
      <c r="Z256"/>
      <c r="AA256"/>
      <c r="AB256"/>
      <c r="AC256"/>
      <c r="AD256"/>
      <c r="AE256"/>
      <c r="AF256"/>
      <c r="AG256"/>
      <c r="AH256"/>
      <c r="AI256"/>
      <c r="AJ256"/>
      <c r="AK256"/>
      <c r="AL256" s="6"/>
      <c r="AM256"/>
      <c r="AN256" s="320">
        <v>196</v>
      </c>
      <c r="AO256" s="349"/>
      <c r="AP256" s="348"/>
      <c r="AQ256"/>
      <c r="AR256"/>
      <c r="AS256"/>
      <c r="AT256"/>
      <c r="AU256"/>
      <c r="AV256"/>
      <c r="AW256"/>
      <c r="AX256"/>
      <c r="AY256"/>
      <c r="AZ256"/>
      <c r="BA256"/>
      <c r="BB256"/>
      <c r="BC256"/>
      <c r="BD256"/>
      <c r="BE256" s="6"/>
      <c r="BF256"/>
      <c r="BG256" s="320">
        <v>196</v>
      </c>
      <c r="BH256" s="349"/>
      <c r="BI256" s="348"/>
      <c r="BJ256"/>
      <c r="BK256"/>
      <c r="BL256"/>
      <c r="BM256"/>
      <c r="BN256"/>
      <c r="BO256"/>
      <c r="BP256"/>
      <c r="BQ256"/>
      <c r="BR256"/>
      <c r="BS256"/>
      <c r="BT256"/>
      <c r="BU256"/>
      <c r="BV256"/>
      <c r="BW256"/>
      <c r="BX256" s="6"/>
    </row>
    <row r="257" spans="1:76">
      <c r="A257"/>
      <c r="B257" s="320">
        <v>197</v>
      </c>
      <c r="C257" s="349"/>
      <c r="D257" s="348"/>
      <c r="E257"/>
      <c r="F257"/>
      <c r="G257"/>
      <c r="H257"/>
      <c r="I257"/>
      <c r="J257"/>
      <c r="K257"/>
      <c r="L257"/>
      <c r="M257"/>
      <c r="N257"/>
      <c r="O257"/>
      <c r="P257"/>
      <c r="Q257"/>
      <c r="R257"/>
      <c r="S257" s="6"/>
      <c r="T257"/>
      <c r="U257" s="320">
        <v>197</v>
      </c>
      <c r="V257" s="349"/>
      <c r="W257" s="348"/>
      <c r="X257"/>
      <c r="Y257"/>
      <c r="Z257"/>
      <c r="AA257"/>
      <c r="AB257"/>
      <c r="AC257"/>
      <c r="AD257"/>
      <c r="AE257"/>
      <c r="AF257"/>
      <c r="AG257"/>
      <c r="AH257"/>
      <c r="AI257"/>
      <c r="AJ257"/>
      <c r="AK257"/>
      <c r="AL257" s="6"/>
      <c r="AM257"/>
      <c r="AN257" s="320">
        <v>197</v>
      </c>
      <c r="AO257" s="349"/>
      <c r="AP257" s="348"/>
      <c r="AQ257"/>
      <c r="AR257"/>
      <c r="AS257"/>
      <c r="AT257"/>
      <c r="AU257"/>
      <c r="AV257"/>
      <c r="AW257"/>
      <c r="AX257"/>
      <c r="AY257"/>
      <c r="AZ257"/>
      <c r="BA257"/>
      <c r="BB257"/>
      <c r="BC257"/>
      <c r="BD257"/>
      <c r="BE257" s="6"/>
      <c r="BF257"/>
      <c r="BG257" s="320">
        <v>197</v>
      </c>
      <c r="BH257" s="349"/>
      <c r="BI257" s="348"/>
      <c r="BJ257"/>
      <c r="BK257"/>
      <c r="BL257"/>
      <c r="BM257"/>
      <c r="BN257"/>
      <c r="BO257"/>
      <c r="BP257"/>
      <c r="BQ257"/>
      <c r="BR257"/>
      <c r="BS257"/>
      <c r="BT257"/>
      <c r="BU257"/>
      <c r="BV257"/>
      <c r="BW257"/>
      <c r="BX257" s="6"/>
    </row>
    <row r="258" spans="1:76">
      <c r="A258"/>
      <c r="B258" s="320">
        <v>198</v>
      </c>
      <c r="C258" s="349"/>
      <c r="D258" s="348"/>
      <c r="E258"/>
      <c r="F258"/>
      <c r="G258"/>
      <c r="H258"/>
      <c r="I258"/>
      <c r="J258"/>
      <c r="K258"/>
      <c r="L258"/>
      <c r="M258"/>
      <c r="N258"/>
      <c r="O258"/>
      <c r="P258"/>
      <c r="Q258"/>
      <c r="R258"/>
      <c r="S258" s="6"/>
      <c r="T258"/>
      <c r="U258" s="320">
        <v>198</v>
      </c>
      <c r="V258" s="349"/>
      <c r="W258" s="348"/>
      <c r="X258"/>
      <c r="Y258"/>
      <c r="Z258"/>
      <c r="AA258"/>
      <c r="AB258"/>
      <c r="AC258"/>
      <c r="AD258"/>
      <c r="AE258"/>
      <c r="AF258"/>
      <c r="AG258"/>
      <c r="AH258"/>
      <c r="AI258"/>
      <c r="AJ258"/>
      <c r="AK258"/>
      <c r="AL258" s="6"/>
      <c r="AM258"/>
      <c r="AN258" s="320">
        <v>198</v>
      </c>
      <c r="AO258" s="349"/>
      <c r="AP258" s="348"/>
      <c r="AQ258"/>
      <c r="AR258"/>
      <c r="AS258"/>
      <c r="AT258"/>
      <c r="AU258"/>
      <c r="AV258"/>
      <c r="AW258"/>
      <c r="AX258"/>
      <c r="AY258"/>
      <c r="AZ258"/>
      <c r="BA258"/>
      <c r="BB258"/>
      <c r="BC258"/>
      <c r="BD258"/>
      <c r="BE258" s="6"/>
      <c r="BF258"/>
      <c r="BG258" s="320">
        <v>198</v>
      </c>
      <c r="BH258" s="349"/>
      <c r="BI258" s="348"/>
      <c r="BJ258"/>
      <c r="BK258"/>
      <c r="BL258"/>
      <c r="BM258"/>
      <c r="BN258"/>
      <c r="BO258"/>
      <c r="BP258"/>
      <c r="BQ258"/>
      <c r="BR258"/>
      <c r="BS258"/>
      <c r="BT258"/>
      <c r="BU258"/>
      <c r="BV258"/>
      <c r="BW258"/>
      <c r="BX258" s="6"/>
    </row>
    <row r="259" spans="1:76">
      <c r="A259"/>
      <c r="B259" s="320">
        <v>199</v>
      </c>
      <c r="C259" s="349"/>
      <c r="D259" s="348"/>
      <c r="E259"/>
      <c r="F259"/>
      <c r="G259"/>
      <c r="H259"/>
      <c r="I259"/>
      <c r="J259"/>
      <c r="K259"/>
      <c r="L259"/>
      <c r="M259"/>
      <c r="N259"/>
      <c r="O259"/>
      <c r="P259"/>
      <c r="Q259"/>
      <c r="R259"/>
      <c r="S259" s="6"/>
      <c r="T259"/>
      <c r="U259" s="320">
        <v>199</v>
      </c>
      <c r="V259" s="349"/>
      <c r="W259" s="348"/>
      <c r="X259"/>
      <c r="Y259"/>
      <c r="Z259"/>
      <c r="AA259"/>
      <c r="AB259"/>
      <c r="AC259"/>
      <c r="AD259"/>
      <c r="AE259"/>
      <c r="AF259"/>
      <c r="AG259"/>
      <c r="AH259"/>
      <c r="AI259"/>
      <c r="AJ259"/>
      <c r="AK259"/>
      <c r="AL259" s="6"/>
      <c r="AM259"/>
      <c r="AN259" s="320">
        <v>199</v>
      </c>
      <c r="AO259" s="349"/>
      <c r="AP259" s="348"/>
      <c r="AQ259"/>
      <c r="AR259"/>
      <c r="AS259"/>
      <c r="AT259"/>
      <c r="AU259"/>
      <c r="AV259"/>
      <c r="AW259"/>
      <c r="AX259"/>
      <c r="AY259"/>
      <c r="AZ259"/>
      <c r="BA259"/>
      <c r="BB259"/>
      <c r="BC259"/>
      <c r="BD259"/>
      <c r="BE259" s="6"/>
      <c r="BF259"/>
      <c r="BG259" s="320">
        <v>199</v>
      </c>
      <c r="BH259" s="349"/>
      <c r="BI259" s="348"/>
      <c r="BJ259"/>
      <c r="BK259"/>
      <c r="BL259"/>
      <c r="BM259"/>
      <c r="BN259"/>
      <c r="BO259"/>
      <c r="BP259"/>
      <c r="BQ259"/>
      <c r="BR259"/>
      <c r="BS259"/>
      <c r="BT259"/>
      <c r="BU259"/>
      <c r="BV259"/>
      <c r="BW259"/>
      <c r="BX259" s="6"/>
    </row>
    <row r="260" spans="1:76">
      <c r="A260"/>
      <c r="B260" s="320">
        <v>200</v>
      </c>
      <c r="C260" s="349"/>
      <c r="D260" s="348"/>
      <c r="E260"/>
      <c r="F260"/>
      <c r="G260"/>
      <c r="H260"/>
      <c r="I260"/>
      <c r="J260"/>
      <c r="K260"/>
      <c r="L260"/>
      <c r="M260"/>
      <c r="N260"/>
      <c r="O260"/>
      <c r="P260"/>
      <c r="Q260"/>
      <c r="R260"/>
      <c r="S260" s="6"/>
      <c r="T260"/>
      <c r="U260" s="320">
        <v>200</v>
      </c>
      <c r="V260" s="349"/>
      <c r="W260" s="348"/>
      <c r="X260"/>
      <c r="Y260"/>
      <c r="Z260"/>
      <c r="AA260"/>
      <c r="AB260"/>
      <c r="AC260"/>
      <c r="AD260"/>
      <c r="AE260"/>
      <c r="AF260"/>
      <c r="AG260"/>
      <c r="AH260"/>
      <c r="AI260"/>
      <c r="AJ260"/>
      <c r="AK260"/>
      <c r="AL260" s="6"/>
      <c r="AM260"/>
      <c r="AN260" s="320">
        <v>200</v>
      </c>
      <c r="AO260" s="349"/>
      <c r="AP260" s="348"/>
      <c r="AQ260"/>
      <c r="AR260"/>
      <c r="AS260"/>
      <c r="AT260"/>
      <c r="AU260"/>
      <c r="AV260"/>
      <c r="AW260"/>
      <c r="AX260"/>
      <c r="AY260"/>
      <c r="AZ260"/>
      <c r="BA260"/>
      <c r="BB260"/>
      <c r="BC260"/>
      <c r="BD260"/>
      <c r="BE260" s="6"/>
      <c r="BF260"/>
      <c r="BG260" s="320">
        <v>200</v>
      </c>
      <c r="BH260" s="349"/>
      <c r="BI260" s="348"/>
      <c r="BJ260"/>
      <c r="BK260"/>
      <c r="BL260"/>
      <c r="BM260"/>
      <c r="BN260"/>
      <c r="BO260"/>
      <c r="BP260"/>
      <c r="BQ260"/>
      <c r="BR260"/>
      <c r="BS260"/>
      <c r="BT260"/>
      <c r="BU260"/>
      <c r="BV260"/>
      <c r="BW260"/>
      <c r="BX260" s="6"/>
    </row>
    <row r="261" spans="1:76">
      <c r="A261"/>
      <c r="B261" s="320">
        <v>201</v>
      </c>
      <c r="C261" s="349"/>
      <c r="D261" s="348"/>
      <c r="E261"/>
      <c r="F261"/>
      <c r="G261"/>
      <c r="H261"/>
      <c r="I261"/>
      <c r="J261"/>
      <c r="K261"/>
      <c r="L261"/>
      <c r="M261"/>
      <c r="N261"/>
      <c r="O261"/>
      <c r="P261"/>
      <c r="Q261"/>
      <c r="R261"/>
      <c r="S261" s="6"/>
      <c r="T261"/>
      <c r="U261" s="320">
        <v>201</v>
      </c>
      <c r="V261" s="349"/>
      <c r="W261" s="348"/>
      <c r="X261"/>
      <c r="Y261"/>
      <c r="Z261"/>
      <c r="AA261"/>
      <c r="AB261"/>
      <c r="AC261"/>
      <c r="AD261"/>
      <c r="AE261"/>
      <c r="AF261"/>
      <c r="AG261"/>
      <c r="AH261"/>
      <c r="AI261"/>
      <c r="AJ261"/>
      <c r="AK261"/>
      <c r="AL261" s="6"/>
      <c r="AM261"/>
      <c r="AN261" s="320">
        <v>201</v>
      </c>
      <c r="AO261" s="349"/>
      <c r="AP261" s="348"/>
      <c r="AQ261"/>
      <c r="AR261"/>
      <c r="AS261"/>
      <c r="AT261"/>
      <c r="AU261"/>
      <c r="AV261"/>
      <c r="AW261"/>
      <c r="AX261"/>
      <c r="AY261"/>
      <c r="AZ261"/>
      <c r="BA261"/>
      <c r="BB261"/>
      <c r="BC261"/>
      <c r="BD261"/>
      <c r="BE261" s="6"/>
      <c r="BF261"/>
      <c r="BG261" s="320">
        <v>201</v>
      </c>
      <c r="BH261" s="349"/>
      <c r="BI261" s="348"/>
      <c r="BJ261"/>
      <c r="BK261"/>
      <c r="BL261"/>
      <c r="BM261"/>
      <c r="BN261"/>
      <c r="BO261"/>
      <c r="BP261"/>
      <c r="BQ261"/>
      <c r="BR261"/>
      <c r="BS261"/>
      <c r="BT261"/>
      <c r="BU261"/>
      <c r="BV261"/>
      <c r="BW261"/>
      <c r="BX261" s="6"/>
    </row>
    <row r="262" spans="1:76">
      <c r="A262"/>
      <c r="B262" s="320">
        <v>202</v>
      </c>
      <c r="C262" s="349"/>
      <c r="D262" s="348"/>
      <c r="E262"/>
      <c r="F262"/>
      <c r="G262"/>
      <c r="H262"/>
      <c r="I262"/>
      <c r="J262"/>
      <c r="K262"/>
      <c r="L262"/>
      <c r="M262"/>
      <c r="N262"/>
      <c r="O262"/>
      <c r="P262"/>
      <c r="Q262"/>
      <c r="R262"/>
      <c r="S262" s="6"/>
      <c r="T262"/>
      <c r="U262" s="320">
        <v>202</v>
      </c>
      <c r="V262" s="349"/>
      <c r="W262" s="348"/>
      <c r="X262"/>
      <c r="Y262"/>
      <c r="Z262"/>
      <c r="AA262"/>
      <c r="AB262"/>
      <c r="AC262"/>
      <c r="AD262"/>
      <c r="AE262"/>
      <c r="AF262"/>
      <c r="AG262"/>
      <c r="AH262"/>
      <c r="AI262"/>
      <c r="AJ262"/>
      <c r="AK262"/>
      <c r="AL262" s="6"/>
      <c r="AM262"/>
      <c r="AN262" s="320">
        <v>202</v>
      </c>
      <c r="AO262" s="349"/>
      <c r="AP262" s="348"/>
      <c r="AQ262"/>
      <c r="AR262"/>
      <c r="AS262"/>
      <c r="AT262"/>
      <c r="AU262"/>
      <c r="AV262"/>
      <c r="AW262"/>
      <c r="AX262"/>
      <c r="AY262"/>
      <c r="AZ262"/>
      <c r="BA262"/>
      <c r="BB262"/>
      <c r="BC262"/>
      <c r="BD262"/>
      <c r="BE262" s="6"/>
      <c r="BF262"/>
      <c r="BG262" s="320">
        <v>202</v>
      </c>
      <c r="BH262" s="349"/>
      <c r="BI262" s="348"/>
      <c r="BJ262"/>
      <c r="BK262"/>
      <c r="BL262"/>
      <c r="BM262"/>
      <c r="BN262"/>
      <c r="BO262"/>
      <c r="BP262"/>
      <c r="BQ262"/>
      <c r="BR262"/>
      <c r="BS262"/>
      <c r="BT262"/>
      <c r="BU262"/>
      <c r="BV262"/>
      <c r="BW262"/>
      <c r="BX262" s="6"/>
    </row>
    <row r="263" spans="1:76">
      <c r="A263"/>
      <c r="B263" s="320">
        <v>203</v>
      </c>
      <c r="C263" s="349"/>
      <c r="D263" s="348"/>
      <c r="E263"/>
      <c r="F263"/>
      <c r="G263"/>
      <c r="H263"/>
      <c r="I263"/>
      <c r="J263"/>
      <c r="K263"/>
      <c r="L263"/>
      <c r="M263"/>
      <c r="N263"/>
      <c r="O263"/>
      <c r="P263"/>
      <c r="Q263"/>
      <c r="R263"/>
      <c r="S263" s="6"/>
      <c r="T263"/>
      <c r="U263" s="320">
        <v>203</v>
      </c>
      <c r="V263" s="349"/>
      <c r="W263" s="348"/>
      <c r="X263"/>
      <c r="Y263"/>
      <c r="Z263"/>
      <c r="AA263"/>
      <c r="AB263"/>
      <c r="AC263"/>
      <c r="AD263"/>
      <c r="AE263"/>
      <c r="AF263"/>
      <c r="AG263"/>
      <c r="AH263"/>
      <c r="AI263"/>
      <c r="AJ263"/>
      <c r="AK263"/>
      <c r="AL263" s="6"/>
      <c r="AM263"/>
      <c r="AN263" s="320">
        <v>203</v>
      </c>
      <c r="AO263" s="349"/>
      <c r="AP263" s="348"/>
      <c r="AQ263"/>
      <c r="AR263"/>
      <c r="AS263"/>
      <c r="AT263"/>
      <c r="AU263"/>
      <c r="AV263"/>
      <c r="AW263"/>
      <c r="AX263"/>
      <c r="AY263"/>
      <c r="AZ263"/>
      <c r="BA263"/>
      <c r="BB263"/>
      <c r="BC263"/>
      <c r="BD263"/>
      <c r="BE263" s="6"/>
      <c r="BF263"/>
      <c r="BG263" s="320">
        <v>203</v>
      </c>
      <c r="BH263" s="349"/>
      <c r="BI263" s="348"/>
      <c r="BJ263"/>
      <c r="BK263"/>
      <c r="BL263"/>
      <c r="BM263"/>
      <c r="BN263"/>
      <c r="BO263"/>
      <c r="BP263"/>
      <c r="BQ263"/>
      <c r="BR263"/>
      <c r="BS263"/>
      <c r="BT263"/>
      <c r="BU263"/>
      <c r="BV263"/>
      <c r="BW263"/>
      <c r="BX263" s="6"/>
    </row>
    <row r="264" spans="1:76">
      <c r="A264"/>
      <c r="B264" s="320">
        <v>204</v>
      </c>
      <c r="C264" s="349"/>
      <c r="D264" s="348"/>
      <c r="E264"/>
      <c r="F264"/>
      <c r="G264"/>
      <c r="H264"/>
      <c r="I264"/>
      <c r="J264"/>
      <c r="K264"/>
      <c r="L264"/>
      <c r="M264"/>
      <c r="N264"/>
      <c r="O264"/>
      <c r="P264"/>
      <c r="Q264"/>
      <c r="R264"/>
      <c r="S264" s="6"/>
      <c r="T264"/>
      <c r="U264" s="320">
        <v>204</v>
      </c>
      <c r="V264" s="349"/>
      <c r="W264" s="348"/>
      <c r="X264"/>
      <c r="Y264"/>
      <c r="Z264"/>
      <c r="AA264"/>
      <c r="AB264"/>
      <c r="AC264"/>
      <c r="AD264"/>
      <c r="AE264"/>
      <c r="AF264"/>
      <c r="AG264"/>
      <c r="AH264"/>
      <c r="AI264"/>
      <c r="AJ264"/>
      <c r="AK264"/>
      <c r="AL264" s="6"/>
      <c r="AM264"/>
      <c r="AN264" s="320">
        <v>204</v>
      </c>
      <c r="AO264" s="349"/>
      <c r="AP264" s="348"/>
      <c r="AQ264"/>
      <c r="AR264"/>
      <c r="AS264"/>
      <c r="AT264"/>
      <c r="AU264"/>
      <c r="AV264"/>
      <c r="AW264"/>
      <c r="AX264"/>
      <c r="AY264"/>
      <c r="AZ264"/>
      <c r="BA264"/>
      <c r="BB264"/>
      <c r="BC264"/>
      <c r="BD264"/>
      <c r="BE264" s="6"/>
      <c r="BF264"/>
      <c r="BG264" s="320">
        <v>204</v>
      </c>
      <c r="BH264" s="349"/>
      <c r="BI264" s="348"/>
      <c r="BJ264"/>
      <c r="BK264"/>
      <c r="BL264"/>
      <c r="BM264"/>
      <c r="BN264"/>
      <c r="BO264"/>
      <c r="BP264"/>
      <c r="BQ264"/>
      <c r="BR264"/>
      <c r="BS264"/>
      <c r="BT264"/>
      <c r="BU264"/>
      <c r="BV264"/>
      <c r="BW264"/>
      <c r="BX264" s="6"/>
    </row>
    <row r="265" spans="1:76">
      <c r="A265"/>
      <c r="B265" s="320">
        <v>205</v>
      </c>
      <c r="C265" s="349"/>
      <c r="D265" s="348"/>
      <c r="E265"/>
      <c r="F265"/>
      <c r="G265"/>
      <c r="H265"/>
      <c r="I265"/>
      <c r="J265"/>
      <c r="K265"/>
      <c r="L265"/>
      <c r="M265"/>
      <c r="N265"/>
      <c r="O265"/>
      <c r="P265"/>
      <c r="Q265"/>
      <c r="R265"/>
      <c r="S265" s="6"/>
      <c r="T265"/>
      <c r="U265" s="320">
        <v>205</v>
      </c>
      <c r="V265" s="349"/>
      <c r="W265" s="348"/>
      <c r="X265"/>
      <c r="Y265"/>
      <c r="Z265"/>
      <c r="AA265"/>
      <c r="AB265"/>
      <c r="AC265"/>
      <c r="AD265"/>
      <c r="AE265"/>
      <c r="AF265"/>
      <c r="AG265"/>
      <c r="AH265"/>
      <c r="AI265"/>
      <c r="AJ265"/>
      <c r="AK265"/>
      <c r="AL265" s="6"/>
      <c r="AM265"/>
      <c r="AN265" s="320">
        <v>205</v>
      </c>
      <c r="AO265" s="349"/>
      <c r="AP265" s="348"/>
      <c r="AQ265"/>
      <c r="AR265"/>
      <c r="AS265"/>
      <c r="AT265"/>
      <c r="AU265"/>
      <c r="AV265"/>
      <c r="AW265"/>
      <c r="AX265"/>
      <c r="AY265"/>
      <c r="AZ265"/>
      <c r="BA265"/>
      <c r="BB265"/>
      <c r="BC265"/>
      <c r="BD265"/>
      <c r="BE265" s="6"/>
      <c r="BF265"/>
      <c r="BG265" s="320">
        <v>205</v>
      </c>
      <c r="BH265" s="349"/>
      <c r="BI265" s="348"/>
      <c r="BJ265"/>
      <c r="BK265"/>
      <c r="BL265"/>
      <c r="BM265"/>
      <c r="BN265"/>
      <c r="BO265"/>
      <c r="BP265"/>
      <c r="BQ265"/>
      <c r="BR265"/>
      <c r="BS265"/>
      <c r="BT265"/>
      <c r="BU265"/>
      <c r="BV265"/>
      <c r="BW265"/>
      <c r="BX265" s="6"/>
    </row>
    <row r="266" spans="1:76">
      <c r="A266"/>
      <c r="B266" s="320">
        <v>206</v>
      </c>
      <c r="C266" s="349"/>
      <c r="D266" s="348"/>
      <c r="E266"/>
      <c r="F266"/>
      <c r="G266"/>
      <c r="H266"/>
      <c r="I266"/>
      <c r="J266"/>
      <c r="K266"/>
      <c r="L266"/>
      <c r="M266"/>
      <c r="N266"/>
      <c r="O266"/>
      <c r="P266"/>
      <c r="Q266"/>
      <c r="R266"/>
      <c r="S266" s="6"/>
      <c r="T266"/>
      <c r="U266" s="320">
        <v>206</v>
      </c>
      <c r="V266" s="349"/>
      <c r="W266" s="348"/>
      <c r="X266"/>
      <c r="Y266"/>
      <c r="Z266"/>
      <c r="AA266"/>
      <c r="AB266"/>
      <c r="AC266"/>
      <c r="AD266"/>
      <c r="AE266"/>
      <c r="AF266"/>
      <c r="AG266"/>
      <c r="AH266"/>
      <c r="AI266"/>
      <c r="AJ266"/>
      <c r="AK266"/>
      <c r="AL266" s="6"/>
      <c r="AM266"/>
      <c r="AN266" s="320">
        <v>206</v>
      </c>
      <c r="AO266" s="349"/>
      <c r="AP266" s="348"/>
      <c r="AQ266"/>
      <c r="AR266"/>
      <c r="AS266"/>
      <c r="AT266"/>
      <c r="AU266"/>
      <c r="AV266"/>
      <c r="AW266"/>
      <c r="AX266"/>
      <c r="AY266"/>
      <c r="AZ266"/>
      <c r="BA266"/>
      <c r="BB266"/>
      <c r="BC266"/>
      <c r="BD266"/>
      <c r="BE266" s="6"/>
      <c r="BF266"/>
      <c r="BG266" s="320">
        <v>206</v>
      </c>
      <c r="BH266" s="349"/>
      <c r="BI266" s="348"/>
      <c r="BJ266"/>
      <c r="BK266"/>
      <c r="BL266"/>
      <c r="BM266"/>
      <c r="BN266"/>
      <c r="BO266"/>
      <c r="BP266"/>
      <c r="BQ266"/>
      <c r="BR266"/>
      <c r="BS266"/>
      <c r="BT266"/>
      <c r="BU266"/>
      <c r="BV266"/>
      <c r="BW266"/>
      <c r="BX266" s="6"/>
    </row>
    <row r="267" spans="1:76">
      <c r="A267"/>
      <c r="B267" s="320">
        <v>207</v>
      </c>
      <c r="C267" s="349"/>
      <c r="D267" s="348"/>
      <c r="E267"/>
      <c r="F267"/>
      <c r="G267"/>
      <c r="H267"/>
      <c r="I267"/>
      <c r="J267"/>
      <c r="K267"/>
      <c r="L267"/>
      <c r="M267"/>
      <c r="N267"/>
      <c r="O267"/>
      <c r="P267"/>
      <c r="Q267"/>
      <c r="R267"/>
      <c r="S267" s="6"/>
      <c r="T267"/>
      <c r="U267" s="320">
        <v>207</v>
      </c>
      <c r="V267" s="349"/>
      <c r="W267" s="348"/>
      <c r="X267"/>
      <c r="Y267"/>
      <c r="Z267"/>
      <c r="AA267"/>
      <c r="AB267"/>
      <c r="AC267"/>
      <c r="AD267"/>
      <c r="AE267"/>
      <c r="AF267"/>
      <c r="AG267"/>
      <c r="AH267"/>
      <c r="AI267"/>
      <c r="AJ267"/>
      <c r="AK267"/>
      <c r="AL267" s="6"/>
      <c r="AM267"/>
      <c r="AN267" s="320">
        <v>207</v>
      </c>
      <c r="AO267" s="349"/>
      <c r="AP267" s="348"/>
      <c r="AQ267"/>
      <c r="AR267"/>
      <c r="AS267"/>
      <c r="AT267"/>
      <c r="AU267"/>
      <c r="AV267"/>
      <c r="AW267"/>
      <c r="AX267"/>
      <c r="AY267"/>
      <c r="AZ267"/>
      <c r="BA267"/>
      <c r="BB267"/>
      <c r="BC267"/>
      <c r="BD267"/>
      <c r="BE267" s="6"/>
      <c r="BF267"/>
      <c r="BG267" s="320">
        <v>207</v>
      </c>
      <c r="BH267" s="349"/>
      <c r="BI267" s="348"/>
      <c r="BJ267"/>
      <c r="BK267"/>
      <c r="BL267"/>
      <c r="BM267"/>
      <c r="BN267"/>
      <c r="BO267"/>
      <c r="BP267"/>
      <c r="BQ267"/>
      <c r="BR267"/>
      <c r="BS267"/>
      <c r="BT267"/>
      <c r="BU267"/>
      <c r="BV267"/>
      <c r="BW267"/>
      <c r="BX267" s="6"/>
    </row>
    <row r="268" spans="1:76">
      <c r="A268"/>
      <c r="B268" s="320">
        <v>208</v>
      </c>
      <c r="C268" s="349"/>
      <c r="D268" s="348"/>
      <c r="E268"/>
      <c r="F268"/>
      <c r="G268"/>
      <c r="H268"/>
      <c r="I268"/>
      <c r="J268"/>
      <c r="K268"/>
      <c r="L268"/>
      <c r="M268"/>
      <c r="N268"/>
      <c r="O268"/>
      <c r="P268"/>
      <c r="Q268"/>
      <c r="R268"/>
      <c r="S268" s="6"/>
      <c r="T268"/>
      <c r="U268" s="320">
        <v>208</v>
      </c>
      <c r="V268" s="349"/>
      <c r="W268" s="348"/>
      <c r="X268"/>
      <c r="Y268"/>
      <c r="Z268"/>
      <c r="AA268"/>
      <c r="AB268"/>
      <c r="AC268"/>
      <c r="AD268"/>
      <c r="AE268"/>
      <c r="AF268"/>
      <c r="AG268"/>
      <c r="AH268"/>
      <c r="AI268"/>
      <c r="AJ268"/>
      <c r="AK268"/>
      <c r="AL268" s="6"/>
      <c r="AM268"/>
      <c r="AN268" s="320">
        <v>208</v>
      </c>
      <c r="AO268" s="349"/>
      <c r="AP268" s="348"/>
      <c r="AQ268"/>
      <c r="AR268"/>
      <c r="AS268"/>
      <c r="AT268"/>
      <c r="AU268"/>
      <c r="AV268"/>
      <c r="AW268"/>
      <c r="AX268"/>
      <c r="AY268"/>
      <c r="AZ268"/>
      <c r="BA268"/>
      <c r="BB268"/>
      <c r="BC268"/>
      <c r="BD268"/>
      <c r="BE268" s="6"/>
      <c r="BF268"/>
      <c r="BG268" s="320">
        <v>208</v>
      </c>
      <c r="BH268" s="349"/>
      <c r="BI268" s="348"/>
      <c r="BJ268"/>
      <c r="BK268"/>
      <c r="BL268"/>
      <c r="BM268"/>
      <c r="BN268"/>
      <c r="BO268"/>
      <c r="BP268"/>
      <c r="BQ268"/>
      <c r="BR268"/>
      <c r="BS268"/>
      <c r="BT268"/>
      <c r="BU268"/>
      <c r="BV268"/>
      <c r="BW268"/>
      <c r="BX268" s="6"/>
    </row>
    <row r="269" spans="1:76">
      <c r="A269"/>
      <c r="B269" s="320">
        <v>209</v>
      </c>
      <c r="C269" s="349"/>
      <c r="D269" s="348"/>
      <c r="E269"/>
      <c r="F269"/>
      <c r="G269"/>
      <c r="H269"/>
      <c r="I269"/>
      <c r="J269"/>
      <c r="K269"/>
      <c r="L269"/>
      <c r="M269"/>
      <c r="N269"/>
      <c r="O269"/>
      <c r="P269"/>
      <c r="Q269"/>
      <c r="R269"/>
      <c r="S269" s="6"/>
      <c r="T269"/>
      <c r="U269" s="320">
        <v>209</v>
      </c>
      <c r="V269" s="349"/>
      <c r="W269" s="348"/>
      <c r="X269"/>
      <c r="Y269"/>
      <c r="Z269"/>
      <c r="AA269"/>
      <c r="AB269"/>
      <c r="AC269"/>
      <c r="AD269"/>
      <c r="AE269"/>
      <c r="AF269"/>
      <c r="AG269"/>
      <c r="AH269"/>
      <c r="AI269"/>
      <c r="AJ269"/>
      <c r="AK269"/>
      <c r="AL269" s="6"/>
      <c r="AM269"/>
      <c r="AN269" s="320">
        <v>209</v>
      </c>
      <c r="AO269" s="349"/>
      <c r="AP269" s="348"/>
      <c r="AQ269"/>
      <c r="AR269"/>
      <c r="AS269"/>
      <c r="AT269"/>
      <c r="AU269"/>
      <c r="AV269"/>
      <c r="AW269"/>
      <c r="AX269"/>
      <c r="AY269"/>
      <c r="AZ269"/>
      <c r="BA269"/>
      <c r="BB269"/>
      <c r="BC269"/>
      <c r="BD269"/>
      <c r="BE269" s="6"/>
      <c r="BF269"/>
      <c r="BG269" s="320">
        <v>209</v>
      </c>
      <c r="BH269" s="349"/>
      <c r="BI269" s="348"/>
      <c r="BJ269"/>
      <c r="BK269"/>
      <c r="BL269"/>
      <c r="BM269"/>
      <c r="BN269"/>
      <c r="BO269"/>
      <c r="BP269"/>
      <c r="BQ269"/>
      <c r="BR269"/>
      <c r="BS269"/>
      <c r="BT269"/>
      <c r="BU269"/>
      <c r="BV269"/>
      <c r="BW269"/>
      <c r="BX269" s="6"/>
    </row>
    <row r="270" spans="1:76">
      <c r="A270"/>
      <c r="B270" s="320">
        <v>210</v>
      </c>
      <c r="C270" s="349"/>
      <c r="D270" s="348"/>
      <c r="E270"/>
      <c r="F270"/>
      <c r="G270"/>
      <c r="H270"/>
      <c r="I270"/>
      <c r="J270"/>
      <c r="K270"/>
      <c r="L270"/>
      <c r="M270"/>
      <c r="N270"/>
      <c r="O270"/>
      <c r="P270"/>
      <c r="Q270"/>
      <c r="R270"/>
      <c r="S270" s="6"/>
      <c r="T270"/>
      <c r="U270" s="320">
        <v>210</v>
      </c>
      <c r="V270" s="349"/>
      <c r="W270" s="348"/>
      <c r="X270"/>
      <c r="Y270"/>
      <c r="Z270"/>
      <c r="AA270"/>
      <c r="AB270"/>
      <c r="AC270"/>
      <c r="AD270"/>
      <c r="AE270"/>
      <c r="AF270"/>
      <c r="AG270"/>
      <c r="AH270"/>
      <c r="AI270"/>
      <c r="AJ270"/>
      <c r="AK270"/>
      <c r="AL270" s="6"/>
      <c r="AM270"/>
      <c r="AN270" s="320">
        <v>210</v>
      </c>
      <c r="AO270" s="349"/>
      <c r="AP270" s="348"/>
      <c r="AQ270"/>
      <c r="AR270"/>
      <c r="AS270"/>
      <c r="AT270"/>
      <c r="AU270"/>
      <c r="AV270"/>
      <c r="AW270"/>
      <c r="AX270"/>
      <c r="AY270"/>
      <c r="AZ270"/>
      <c r="BA270"/>
      <c r="BB270"/>
      <c r="BC270"/>
      <c r="BD270"/>
      <c r="BE270" s="6"/>
      <c r="BF270"/>
      <c r="BG270" s="320">
        <v>210</v>
      </c>
      <c r="BH270" s="349"/>
      <c r="BI270" s="348"/>
      <c r="BJ270"/>
      <c r="BK270"/>
      <c r="BL270"/>
      <c r="BM270"/>
      <c r="BN270"/>
      <c r="BO270"/>
      <c r="BP270"/>
      <c r="BQ270"/>
      <c r="BR270"/>
      <c r="BS270"/>
      <c r="BT270"/>
      <c r="BU270"/>
      <c r="BV270"/>
      <c r="BW270"/>
      <c r="BX270" s="6"/>
    </row>
    <row r="271" spans="1:76">
      <c r="A271"/>
      <c r="B271" s="320">
        <v>211</v>
      </c>
      <c r="C271" s="349"/>
      <c r="D271" s="348"/>
      <c r="E271"/>
      <c r="F271"/>
      <c r="G271"/>
      <c r="H271"/>
      <c r="I271"/>
      <c r="J271"/>
      <c r="K271"/>
      <c r="L271"/>
      <c r="M271"/>
      <c r="N271"/>
      <c r="O271"/>
      <c r="P271"/>
      <c r="Q271"/>
      <c r="R271"/>
      <c r="S271" s="6"/>
      <c r="T271"/>
      <c r="U271" s="320">
        <v>211</v>
      </c>
      <c r="V271" s="349"/>
      <c r="W271" s="348"/>
      <c r="X271"/>
      <c r="Y271"/>
      <c r="Z271"/>
      <c r="AA271"/>
      <c r="AB271"/>
      <c r="AC271"/>
      <c r="AD271"/>
      <c r="AE271"/>
      <c r="AF271"/>
      <c r="AG271"/>
      <c r="AH271"/>
      <c r="AI271"/>
      <c r="AJ271"/>
      <c r="AK271"/>
      <c r="AL271" s="6"/>
      <c r="AM271"/>
      <c r="AN271" s="320">
        <v>211</v>
      </c>
      <c r="AO271" s="349"/>
      <c r="AP271" s="348"/>
      <c r="AQ271"/>
      <c r="AR271"/>
      <c r="AS271"/>
      <c r="AT271"/>
      <c r="AU271"/>
      <c r="AV271"/>
      <c r="AW271"/>
      <c r="AX271"/>
      <c r="AY271"/>
      <c r="AZ271"/>
      <c r="BA271"/>
      <c r="BB271"/>
      <c r="BC271"/>
      <c r="BD271"/>
      <c r="BE271" s="6"/>
      <c r="BF271"/>
      <c r="BG271" s="320">
        <v>211</v>
      </c>
      <c r="BH271" s="349"/>
      <c r="BI271" s="348"/>
      <c r="BJ271"/>
      <c r="BK271"/>
      <c r="BL271"/>
      <c r="BM271"/>
      <c r="BN271"/>
      <c r="BO271"/>
      <c r="BP271"/>
      <c r="BQ271"/>
      <c r="BR271"/>
      <c r="BS271"/>
      <c r="BT271"/>
      <c r="BU271"/>
      <c r="BV271"/>
      <c r="BW271"/>
      <c r="BX271" s="6"/>
    </row>
    <row r="272" spans="1:76">
      <c r="A272"/>
      <c r="B272" s="320">
        <v>212</v>
      </c>
      <c r="C272" s="349"/>
      <c r="D272" s="348"/>
      <c r="E272"/>
      <c r="F272"/>
      <c r="G272"/>
      <c r="H272"/>
      <c r="I272"/>
      <c r="J272"/>
      <c r="K272"/>
      <c r="L272"/>
      <c r="M272"/>
      <c r="N272"/>
      <c r="O272"/>
      <c r="P272"/>
      <c r="Q272"/>
      <c r="R272"/>
      <c r="S272" s="6"/>
      <c r="T272"/>
      <c r="U272" s="320">
        <v>212</v>
      </c>
      <c r="V272" s="349"/>
      <c r="W272" s="348"/>
      <c r="X272"/>
      <c r="Y272"/>
      <c r="Z272"/>
      <c r="AA272"/>
      <c r="AB272"/>
      <c r="AC272"/>
      <c r="AD272"/>
      <c r="AE272"/>
      <c r="AF272"/>
      <c r="AG272"/>
      <c r="AH272"/>
      <c r="AI272"/>
      <c r="AJ272"/>
      <c r="AK272"/>
      <c r="AL272" s="6"/>
      <c r="AM272"/>
      <c r="AN272" s="320">
        <v>212</v>
      </c>
      <c r="AO272" s="349"/>
      <c r="AP272" s="348"/>
      <c r="AQ272"/>
      <c r="AR272"/>
      <c r="AS272"/>
      <c r="AT272"/>
      <c r="AU272"/>
      <c r="AV272"/>
      <c r="AW272"/>
      <c r="AX272"/>
      <c r="AY272"/>
      <c r="AZ272"/>
      <c r="BA272"/>
      <c r="BB272"/>
      <c r="BC272"/>
      <c r="BD272"/>
      <c r="BE272" s="6"/>
      <c r="BF272"/>
      <c r="BG272" s="320">
        <v>212</v>
      </c>
      <c r="BH272" s="349"/>
      <c r="BI272" s="348"/>
      <c r="BJ272"/>
      <c r="BK272"/>
      <c r="BL272"/>
      <c r="BM272"/>
      <c r="BN272"/>
      <c r="BO272"/>
      <c r="BP272"/>
      <c r="BQ272"/>
      <c r="BR272"/>
      <c r="BS272"/>
      <c r="BT272"/>
      <c r="BU272"/>
      <c r="BV272"/>
      <c r="BW272"/>
      <c r="BX272" s="6"/>
    </row>
    <row r="273" spans="1:76">
      <c r="A273"/>
      <c r="B273" s="320">
        <v>213</v>
      </c>
      <c r="C273" s="349"/>
      <c r="D273" s="348"/>
      <c r="E273"/>
      <c r="F273"/>
      <c r="G273"/>
      <c r="H273"/>
      <c r="I273"/>
      <c r="J273"/>
      <c r="K273"/>
      <c r="L273"/>
      <c r="M273"/>
      <c r="N273"/>
      <c r="O273"/>
      <c r="P273"/>
      <c r="Q273"/>
      <c r="R273"/>
      <c r="S273" s="6"/>
      <c r="T273"/>
      <c r="U273" s="320">
        <v>213</v>
      </c>
      <c r="V273" s="349"/>
      <c r="W273" s="348"/>
      <c r="X273"/>
      <c r="Y273"/>
      <c r="Z273"/>
      <c r="AA273"/>
      <c r="AB273"/>
      <c r="AC273"/>
      <c r="AD273"/>
      <c r="AE273"/>
      <c r="AF273"/>
      <c r="AG273"/>
      <c r="AH273"/>
      <c r="AI273"/>
      <c r="AJ273"/>
      <c r="AK273"/>
      <c r="AL273" s="6"/>
      <c r="AM273"/>
      <c r="AN273" s="320">
        <v>213</v>
      </c>
      <c r="AO273" s="349"/>
      <c r="AP273" s="348"/>
      <c r="AQ273"/>
      <c r="AR273"/>
      <c r="AS273"/>
      <c r="AT273"/>
      <c r="AU273"/>
      <c r="AV273"/>
      <c r="AW273"/>
      <c r="AX273"/>
      <c r="AY273"/>
      <c r="AZ273"/>
      <c r="BA273"/>
      <c r="BB273"/>
      <c r="BC273"/>
      <c r="BD273"/>
      <c r="BE273" s="6"/>
      <c r="BF273"/>
      <c r="BG273" s="320">
        <v>213</v>
      </c>
      <c r="BH273" s="349"/>
      <c r="BI273" s="348"/>
      <c r="BJ273"/>
      <c r="BK273"/>
      <c r="BL273"/>
      <c r="BM273"/>
      <c r="BN273"/>
      <c r="BO273"/>
      <c r="BP273"/>
      <c r="BQ273"/>
      <c r="BR273"/>
      <c r="BS273"/>
      <c r="BT273"/>
      <c r="BU273"/>
      <c r="BV273"/>
      <c r="BW273"/>
      <c r="BX273" s="6"/>
    </row>
    <row r="274" spans="1:76">
      <c r="A274"/>
      <c r="B274" s="320">
        <v>214</v>
      </c>
      <c r="C274" s="349"/>
      <c r="D274" s="348"/>
      <c r="E274"/>
      <c r="F274"/>
      <c r="G274"/>
      <c r="H274"/>
      <c r="I274"/>
      <c r="J274"/>
      <c r="K274"/>
      <c r="L274"/>
      <c r="M274"/>
      <c r="N274"/>
      <c r="O274"/>
      <c r="P274"/>
      <c r="Q274"/>
      <c r="R274"/>
      <c r="S274" s="6"/>
      <c r="T274"/>
      <c r="U274" s="320">
        <v>214</v>
      </c>
      <c r="V274" s="349"/>
      <c r="W274" s="348"/>
      <c r="X274"/>
      <c r="Y274"/>
      <c r="Z274"/>
      <c r="AA274"/>
      <c r="AB274"/>
      <c r="AC274"/>
      <c r="AD274"/>
      <c r="AE274"/>
      <c r="AF274"/>
      <c r="AG274"/>
      <c r="AH274"/>
      <c r="AI274"/>
      <c r="AJ274"/>
      <c r="AK274"/>
      <c r="AL274" s="6"/>
      <c r="AM274"/>
      <c r="AN274" s="320">
        <v>214</v>
      </c>
      <c r="AO274" s="349"/>
      <c r="AP274" s="348"/>
      <c r="AQ274"/>
      <c r="AR274"/>
      <c r="AS274"/>
      <c r="AT274"/>
      <c r="AU274"/>
      <c r="AV274"/>
      <c r="AW274"/>
      <c r="AX274"/>
      <c r="AY274"/>
      <c r="AZ274"/>
      <c r="BA274"/>
      <c r="BB274"/>
      <c r="BC274"/>
      <c r="BD274"/>
      <c r="BE274" s="6"/>
      <c r="BF274"/>
      <c r="BG274" s="320">
        <v>214</v>
      </c>
      <c r="BH274" s="349"/>
      <c r="BI274" s="348"/>
      <c r="BJ274"/>
      <c r="BK274"/>
      <c r="BL274"/>
      <c r="BM274"/>
      <c r="BN274"/>
      <c r="BO274"/>
      <c r="BP274"/>
      <c r="BQ274"/>
      <c r="BR274"/>
      <c r="BS274"/>
      <c r="BT274"/>
      <c r="BU274"/>
      <c r="BV274"/>
      <c r="BW274"/>
      <c r="BX274" s="6"/>
    </row>
    <row r="275" spans="1:76">
      <c r="A275"/>
      <c r="B275" s="320">
        <v>215</v>
      </c>
      <c r="C275" s="349"/>
      <c r="D275" s="348"/>
      <c r="E275"/>
      <c r="F275"/>
      <c r="G275"/>
      <c r="H275"/>
      <c r="I275"/>
      <c r="J275"/>
      <c r="K275"/>
      <c r="L275"/>
      <c r="M275"/>
      <c r="N275"/>
      <c r="O275"/>
      <c r="P275"/>
      <c r="Q275"/>
      <c r="R275"/>
      <c r="S275" s="6"/>
      <c r="T275"/>
      <c r="U275" s="320">
        <v>215</v>
      </c>
      <c r="V275" s="349"/>
      <c r="W275" s="348"/>
      <c r="X275"/>
      <c r="Y275"/>
      <c r="Z275"/>
      <c r="AA275"/>
      <c r="AB275"/>
      <c r="AC275"/>
      <c r="AD275"/>
      <c r="AE275"/>
      <c r="AF275"/>
      <c r="AG275"/>
      <c r="AH275"/>
      <c r="AI275"/>
      <c r="AJ275"/>
      <c r="AK275"/>
      <c r="AL275" s="6"/>
      <c r="AM275"/>
      <c r="AN275" s="320">
        <v>215</v>
      </c>
      <c r="AO275" s="349"/>
      <c r="AP275" s="348"/>
      <c r="AQ275"/>
      <c r="AR275"/>
      <c r="AS275"/>
      <c r="AT275"/>
      <c r="AU275"/>
      <c r="AV275"/>
      <c r="AW275"/>
      <c r="AX275"/>
      <c r="AY275"/>
      <c r="AZ275"/>
      <c r="BA275"/>
      <c r="BB275"/>
      <c r="BC275"/>
      <c r="BD275"/>
      <c r="BE275" s="6"/>
      <c r="BF275"/>
      <c r="BG275" s="320">
        <v>215</v>
      </c>
      <c r="BH275" s="349"/>
      <c r="BI275" s="348"/>
      <c r="BJ275"/>
      <c r="BK275"/>
      <c r="BL275"/>
      <c r="BM275"/>
      <c r="BN275"/>
      <c r="BO275"/>
      <c r="BP275"/>
      <c r="BQ275"/>
      <c r="BR275"/>
      <c r="BS275"/>
      <c r="BT275"/>
      <c r="BU275"/>
      <c r="BV275"/>
      <c r="BW275"/>
      <c r="BX275" s="6"/>
    </row>
    <row r="276" spans="1:76">
      <c r="A276"/>
      <c r="B276" s="320">
        <v>216</v>
      </c>
      <c r="C276" s="349"/>
      <c r="D276" s="348"/>
      <c r="E276"/>
      <c r="F276"/>
      <c r="G276"/>
      <c r="H276"/>
      <c r="I276"/>
      <c r="J276"/>
      <c r="K276"/>
      <c r="L276"/>
      <c r="M276"/>
      <c r="N276"/>
      <c r="O276"/>
      <c r="P276"/>
      <c r="Q276"/>
      <c r="R276"/>
      <c r="S276" s="6"/>
      <c r="T276"/>
      <c r="U276" s="320">
        <v>216</v>
      </c>
      <c r="V276" s="349"/>
      <c r="W276" s="348"/>
      <c r="X276"/>
      <c r="Y276"/>
      <c r="Z276"/>
      <c r="AA276"/>
      <c r="AB276"/>
      <c r="AC276"/>
      <c r="AD276"/>
      <c r="AE276"/>
      <c r="AF276"/>
      <c r="AG276"/>
      <c r="AH276"/>
      <c r="AI276"/>
      <c r="AJ276"/>
      <c r="AK276"/>
      <c r="AL276" s="6"/>
      <c r="AM276"/>
      <c r="AN276" s="320">
        <v>216</v>
      </c>
      <c r="AO276" s="349"/>
      <c r="AP276" s="348"/>
      <c r="AQ276"/>
      <c r="AR276"/>
      <c r="AS276"/>
      <c r="AT276"/>
      <c r="AU276"/>
      <c r="AV276"/>
      <c r="AW276"/>
      <c r="AX276"/>
      <c r="AY276"/>
      <c r="AZ276"/>
      <c r="BA276"/>
      <c r="BB276"/>
      <c r="BC276"/>
      <c r="BD276"/>
      <c r="BE276" s="6"/>
      <c r="BF276"/>
      <c r="BG276" s="320">
        <v>216</v>
      </c>
      <c r="BH276" s="349"/>
      <c r="BI276" s="348"/>
      <c r="BJ276"/>
      <c r="BK276"/>
      <c r="BL276"/>
      <c r="BM276"/>
      <c r="BN276"/>
      <c r="BO276"/>
      <c r="BP276"/>
      <c r="BQ276"/>
      <c r="BR276"/>
      <c r="BS276"/>
      <c r="BT276"/>
      <c r="BU276"/>
      <c r="BV276"/>
      <c r="BW276"/>
      <c r="BX276" s="6"/>
    </row>
    <row r="277" spans="1:76">
      <c r="A277"/>
      <c r="B277" s="320">
        <v>217</v>
      </c>
      <c r="C277" s="349"/>
      <c r="D277" s="348"/>
      <c r="E277"/>
      <c r="F277"/>
      <c r="G277"/>
      <c r="H277"/>
      <c r="I277"/>
      <c r="J277"/>
      <c r="K277"/>
      <c r="L277"/>
      <c r="M277"/>
      <c r="N277"/>
      <c r="O277"/>
      <c r="P277"/>
      <c r="Q277"/>
      <c r="R277"/>
      <c r="S277" s="6"/>
      <c r="T277"/>
      <c r="U277" s="320">
        <v>217</v>
      </c>
      <c r="V277" s="349"/>
      <c r="W277" s="348"/>
      <c r="X277"/>
      <c r="Y277"/>
      <c r="Z277"/>
      <c r="AA277"/>
      <c r="AB277"/>
      <c r="AC277"/>
      <c r="AD277"/>
      <c r="AE277"/>
      <c r="AF277"/>
      <c r="AG277"/>
      <c r="AH277"/>
      <c r="AI277"/>
      <c r="AJ277"/>
      <c r="AK277"/>
      <c r="AL277" s="6"/>
      <c r="AM277"/>
      <c r="AN277" s="320">
        <v>217</v>
      </c>
      <c r="AO277" s="349"/>
      <c r="AP277" s="348"/>
      <c r="AQ277"/>
      <c r="AR277"/>
      <c r="AS277"/>
      <c r="AT277"/>
      <c r="AU277"/>
      <c r="AV277"/>
      <c r="AW277"/>
      <c r="AX277"/>
      <c r="AY277"/>
      <c r="AZ277"/>
      <c r="BA277"/>
      <c r="BB277"/>
      <c r="BC277"/>
      <c r="BD277"/>
      <c r="BE277" s="6"/>
      <c r="BF277"/>
      <c r="BG277" s="320">
        <v>217</v>
      </c>
      <c r="BH277" s="349"/>
      <c r="BI277" s="348"/>
      <c r="BJ277"/>
      <c r="BK277"/>
      <c r="BL277"/>
      <c r="BM277"/>
      <c r="BN277"/>
      <c r="BO277"/>
      <c r="BP277"/>
      <c r="BQ277"/>
      <c r="BR277"/>
      <c r="BS277"/>
      <c r="BT277"/>
      <c r="BU277"/>
      <c r="BV277"/>
      <c r="BW277"/>
      <c r="BX277" s="6"/>
    </row>
    <row r="278" spans="1:76">
      <c r="A278"/>
      <c r="B278" s="320">
        <v>218</v>
      </c>
      <c r="C278" s="349"/>
      <c r="D278" s="348"/>
      <c r="E278"/>
      <c r="F278"/>
      <c r="G278"/>
      <c r="H278"/>
      <c r="I278"/>
      <c r="J278"/>
      <c r="K278"/>
      <c r="L278"/>
      <c r="M278"/>
      <c r="N278"/>
      <c r="O278"/>
      <c r="P278"/>
      <c r="Q278"/>
      <c r="R278"/>
      <c r="S278" s="6"/>
      <c r="T278"/>
      <c r="U278" s="320">
        <v>218</v>
      </c>
      <c r="V278" s="349"/>
      <c r="W278" s="348"/>
      <c r="X278"/>
      <c r="Y278"/>
      <c r="Z278"/>
      <c r="AA278"/>
      <c r="AB278"/>
      <c r="AC278"/>
      <c r="AD278"/>
      <c r="AE278"/>
      <c r="AF278"/>
      <c r="AG278"/>
      <c r="AH278"/>
      <c r="AI278"/>
      <c r="AJ278"/>
      <c r="AK278"/>
      <c r="AL278" s="6"/>
      <c r="AM278"/>
      <c r="AN278" s="320">
        <v>218</v>
      </c>
      <c r="AO278" s="349"/>
      <c r="AP278" s="348"/>
      <c r="AQ278"/>
      <c r="AR278"/>
      <c r="AS278"/>
      <c r="AT278"/>
      <c r="AU278"/>
      <c r="AV278"/>
      <c r="AW278"/>
      <c r="AX278"/>
      <c r="AY278"/>
      <c r="AZ278"/>
      <c r="BA278"/>
      <c r="BB278"/>
      <c r="BC278"/>
      <c r="BD278"/>
      <c r="BE278" s="6"/>
      <c r="BF278"/>
      <c r="BG278" s="320">
        <v>218</v>
      </c>
      <c r="BH278" s="349"/>
      <c r="BI278" s="348"/>
      <c r="BJ278"/>
      <c r="BK278"/>
      <c r="BL278"/>
      <c r="BM278"/>
      <c r="BN278"/>
      <c r="BO278"/>
      <c r="BP278"/>
      <c r="BQ278"/>
      <c r="BR278"/>
      <c r="BS278"/>
      <c r="BT278"/>
      <c r="BU278"/>
      <c r="BV278"/>
      <c r="BW278"/>
      <c r="BX278" s="6"/>
    </row>
    <row r="279" spans="1:76">
      <c r="A279"/>
      <c r="B279" s="320">
        <v>219</v>
      </c>
      <c r="C279" s="349"/>
      <c r="D279" s="348"/>
      <c r="E279"/>
      <c r="F279"/>
      <c r="G279"/>
      <c r="H279"/>
      <c r="I279"/>
      <c r="J279"/>
      <c r="K279"/>
      <c r="L279"/>
      <c r="M279"/>
      <c r="N279"/>
      <c r="O279"/>
      <c r="P279"/>
      <c r="Q279"/>
      <c r="R279"/>
      <c r="S279" s="6"/>
      <c r="T279"/>
      <c r="U279" s="320">
        <v>219</v>
      </c>
      <c r="V279" s="349"/>
      <c r="W279" s="348"/>
      <c r="X279"/>
      <c r="Y279"/>
      <c r="Z279"/>
      <c r="AA279"/>
      <c r="AB279"/>
      <c r="AC279"/>
      <c r="AD279"/>
      <c r="AE279"/>
      <c r="AF279"/>
      <c r="AG279"/>
      <c r="AH279"/>
      <c r="AI279"/>
      <c r="AJ279"/>
      <c r="AK279"/>
      <c r="AL279" s="6"/>
      <c r="AM279"/>
      <c r="AN279" s="320">
        <v>219</v>
      </c>
      <c r="AO279" s="349"/>
      <c r="AP279" s="348"/>
      <c r="AQ279"/>
      <c r="AR279"/>
      <c r="AS279"/>
      <c r="AT279"/>
      <c r="AU279"/>
      <c r="AV279"/>
      <c r="AW279"/>
      <c r="AX279"/>
      <c r="AY279"/>
      <c r="AZ279"/>
      <c r="BA279"/>
      <c r="BB279"/>
      <c r="BC279"/>
      <c r="BD279"/>
      <c r="BE279" s="6"/>
      <c r="BF279"/>
      <c r="BG279" s="320">
        <v>219</v>
      </c>
      <c r="BH279" s="349"/>
      <c r="BI279" s="348"/>
      <c r="BJ279"/>
      <c r="BK279"/>
      <c r="BL279"/>
      <c r="BM279"/>
      <c r="BN279"/>
      <c r="BO279"/>
      <c r="BP279"/>
      <c r="BQ279"/>
      <c r="BR279"/>
      <c r="BS279"/>
      <c r="BT279"/>
      <c r="BU279"/>
      <c r="BV279"/>
      <c r="BW279"/>
      <c r="BX279" s="6"/>
    </row>
    <row r="280" spans="1:76">
      <c r="A280"/>
      <c r="B280" s="320">
        <v>220</v>
      </c>
      <c r="C280" s="349"/>
      <c r="D280" s="348"/>
      <c r="E280"/>
      <c r="F280"/>
      <c r="G280"/>
      <c r="H280"/>
      <c r="I280"/>
      <c r="J280"/>
      <c r="K280"/>
      <c r="L280"/>
      <c r="M280"/>
      <c r="N280"/>
      <c r="O280"/>
      <c r="P280"/>
      <c r="Q280"/>
      <c r="R280"/>
      <c r="S280" s="6"/>
      <c r="T280"/>
      <c r="U280" s="320">
        <v>220</v>
      </c>
      <c r="V280" s="349"/>
      <c r="W280" s="348"/>
      <c r="X280"/>
      <c r="Y280"/>
      <c r="Z280"/>
      <c r="AA280"/>
      <c r="AB280"/>
      <c r="AC280"/>
      <c r="AD280"/>
      <c r="AE280"/>
      <c r="AF280"/>
      <c r="AG280"/>
      <c r="AH280"/>
      <c r="AI280"/>
      <c r="AJ280"/>
      <c r="AK280"/>
      <c r="AL280" s="6"/>
      <c r="AM280"/>
      <c r="AN280" s="320">
        <v>220</v>
      </c>
      <c r="AO280" s="349"/>
      <c r="AP280" s="348"/>
      <c r="AQ280"/>
      <c r="AR280"/>
      <c r="AS280"/>
      <c r="AT280"/>
      <c r="AU280"/>
      <c r="AV280"/>
      <c r="AW280"/>
      <c r="AX280"/>
      <c r="AY280"/>
      <c r="AZ280"/>
      <c r="BA280"/>
      <c r="BB280"/>
      <c r="BC280"/>
      <c r="BD280"/>
      <c r="BE280" s="6"/>
      <c r="BF280"/>
      <c r="BG280" s="320">
        <v>220</v>
      </c>
      <c r="BH280" s="349"/>
      <c r="BI280" s="348"/>
      <c r="BJ280"/>
      <c r="BK280"/>
      <c r="BL280"/>
      <c r="BM280"/>
      <c r="BN280"/>
      <c r="BO280"/>
      <c r="BP280"/>
      <c r="BQ280"/>
      <c r="BR280"/>
      <c r="BS280"/>
      <c r="BT280"/>
      <c r="BU280"/>
      <c r="BV280"/>
      <c r="BW280"/>
      <c r="BX280" s="6"/>
    </row>
    <row r="281" spans="1:76">
      <c r="A281"/>
      <c r="B281" s="320">
        <v>221</v>
      </c>
      <c r="C281" s="349"/>
      <c r="D281" s="348"/>
      <c r="E281"/>
      <c r="F281"/>
      <c r="G281"/>
      <c r="H281"/>
      <c r="I281"/>
      <c r="J281"/>
      <c r="K281"/>
      <c r="L281"/>
      <c r="M281"/>
      <c r="N281"/>
      <c r="O281"/>
      <c r="P281"/>
      <c r="Q281"/>
      <c r="R281"/>
      <c r="S281" s="6"/>
      <c r="T281"/>
      <c r="U281" s="320">
        <v>221</v>
      </c>
      <c r="V281" s="349"/>
      <c r="W281" s="348"/>
      <c r="X281"/>
      <c r="Y281"/>
      <c r="Z281"/>
      <c r="AA281"/>
      <c r="AB281"/>
      <c r="AC281"/>
      <c r="AD281"/>
      <c r="AE281"/>
      <c r="AF281"/>
      <c r="AG281"/>
      <c r="AH281"/>
      <c r="AI281"/>
      <c r="AJ281"/>
      <c r="AK281"/>
      <c r="AL281" s="6"/>
      <c r="AM281"/>
      <c r="AN281" s="320">
        <v>221</v>
      </c>
      <c r="AO281" s="349"/>
      <c r="AP281" s="348"/>
      <c r="AQ281"/>
      <c r="AR281"/>
      <c r="AS281"/>
      <c r="AT281"/>
      <c r="AU281"/>
      <c r="AV281"/>
      <c r="AW281"/>
      <c r="AX281"/>
      <c r="AY281"/>
      <c r="AZ281"/>
      <c r="BA281"/>
      <c r="BB281"/>
      <c r="BC281"/>
      <c r="BD281"/>
      <c r="BE281" s="6"/>
      <c r="BF281"/>
      <c r="BG281" s="320">
        <v>221</v>
      </c>
      <c r="BH281" s="349"/>
      <c r="BI281" s="348"/>
      <c r="BJ281"/>
      <c r="BK281"/>
      <c r="BL281"/>
      <c r="BM281"/>
      <c r="BN281"/>
      <c r="BO281"/>
      <c r="BP281"/>
      <c r="BQ281"/>
      <c r="BR281"/>
      <c r="BS281"/>
      <c r="BT281"/>
      <c r="BU281"/>
      <c r="BV281"/>
      <c r="BW281"/>
      <c r="BX281" s="6"/>
    </row>
    <row r="282" spans="1:76">
      <c r="A282"/>
      <c r="B282" s="320">
        <v>222</v>
      </c>
      <c r="C282" s="349"/>
      <c r="D282" s="348"/>
      <c r="E282"/>
      <c r="F282"/>
      <c r="G282"/>
      <c r="H282"/>
      <c r="I282"/>
      <c r="J282"/>
      <c r="K282"/>
      <c r="L282"/>
      <c r="M282"/>
      <c r="N282"/>
      <c r="O282"/>
      <c r="P282"/>
      <c r="Q282"/>
      <c r="R282"/>
      <c r="S282" s="6"/>
      <c r="T282"/>
      <c r="U282" s="320">
        <v>222</v>
      </c>
      <c r="V282" s="349"/>
      <c r="W282" s="348"/>
      <c r="X282"/>
      <c r="Y282"/>
      <c r="Z282"/>
      <c r="AA282"/>
      <c r="AB282"/>
      <c r="AC282"/>
      <c r="AD282"/>
      <c r="AE282"/>
      <c r="AF282"/>
      <c r="AG282"/>
      <c r="AH282"/>
      <c r="AI282"/>
      <c r="AJ282"/>
      <c r="AK282"/>
      <c r="AL282" s="6"/>
      <c r="AM282"/>
      <c r="AN282" s="320">
        <v>222</v>
      </c>
      <c r="AO282" s="349"/>
      <c r="AP282" s="348"/>
      <c r="AQ282"/>
      <c r="AR282"/>
      <c r="AS282"/>
      <c r="AT282"/>
      <c r="AU282"/>
      <c r="AV282"/>
      <c r="AW282"/>
      <c r="AX282"/>
      <c r="AY282"/>
      <c r="AZ282"/>
      <c r="BA282"/>
      <c r="BB282"/>
      <c r="BC282"/>
      <c r="BD282"/>
      <c r="BE282" s="6"/>
      <c r="BF282"/>
      <c r="BG282" s="320">
        <v>222</v>
      </c>
      <c r="BH282" s="349"/>
      <c r="BI282" s="348"/>
      <c r="BJ282"/>
      <c r="BK282"/>
      <c r="BL282"/>
      <c r="BM282"/>
      <c r="BN282"/>
      <c r="BO282"/>
      <c r="BP282"/>
      <c r="BQ282"/>
      <c r="BR282"/>
      <c r="BS282"/>
      <c r="BT282"/>
      <c r="BU282"/>
      <c r="BV282"/>
      <c r="BW282"/>
      <c r="BX282" s="6"/>
    </row>
    <row r="283" spans="1:76">
      <c r="A283"/>
      <c r="B283" s="320">
        <v>223</v>
      </c>
      <c r="C283" s="349"/>
      <c r="D283" s="348"/>
      <c r="E283"/>
      <c r="F283"/>
      <c r="G283"/>
      <c r="H283"/>
      <c r="I283"/>
      <c r="J283"/>
      <c r="K283"/>
      <c r="L283"/>
      <c r="M283"/>
      <c r="N283"/>
      <c r="O283"/>
      <c r="P283"/>
      <c r="Q283"/>
      <c r="R283"/>
      <c r="S283" s="6"/>
      <c r="T283"/>
      <c r="U283" s="320">
        <v>223</v>
      </c>
      <c r="V283" s="349"/>
      <c r="W283" s="348"/>
      <c r="X283"/>
      <c r="Y283"/>
      <c r="Z283"/>
      <c r="AA283"/>
      <c r="AB283"/>
      <c r="AC283"/>
      <c r="AD283"/>
      <c r="AE283"/>
      <c r="AF283"/>
      <c r="AG283"/>
      <c r="AH283"/>
      <c r="AI283"/>
      <c r="AJ283"/>
      <c r="AK283"/>
      <c r="AL283" s="6"/>
      <c r="AM283"/>
      <c r="AN283" s="320">
        <v>223</v>
      </c>
      <c r="AO283" s="349"/>
      <c r="AP283" s="348"/>
      <c r="AQ283"/>
      <c r="AR283"/>
      <c r="AS283"/>
      <c r="AT283"/>
      <c r="AU283"/>
      <c r="AV283"/>
      <c r="AW283"/>
      <c r="AX283"/>
      <c r="AY283"/>
      <c r="AZ283"/>
      <c r="BA283"/>
      <c r="BB283"/>
      <c r="BC283"/>
      <c r="BD283"/>
      <c r="BE283" s="6"/>
      <c r="BF283"/>
      <c r="BG283" s="320">
        <v>223</v>
      </c>
      <c r="BH283" s="349"/>
      <c r="BI283" s="348"/>
      <c r="BJ283"/>
      <c r="BK283"/>
      <c r="BL283"/>
      <c r="BM283"/>
      <c r="BN283"/>
      <c r="BO283"/>
      <c r="BP283"/>
      <c r="BQ283"/>
      <c r="BR283"/>
      <c r="BS283"/>
      <c r="BT283"/>
      <c r="BU283"/>
      <c r="BV283"/>
      <c r="BW283"/>
      <c r="BX283" s="6"/>
    </row>
    <row r="284" spans="1:76">
      <c r="A284"/>
      <c r="B284" s="320">
        <v>224</v>
      </c>
      <c r="C284" s="349"/>
      <c r="D284" s="348"/>
      <c r="E284"/>
      <c r="F284"/>
      <c r="G284"/>
      <c r="H284"/>
      <c r="I284"/>
      <c r="J284"/>
      <c r="K284"/>
      <c r="L284"/>
      <c r="M284"/>
      <c r="N284"/>
      <c r="O284"/>
      <c r="P284"/>
      <c r="Q284"/>
      <c r="R284"/>
      <c r="S284" s="6"/>
      <c r="T284"/>
      <c r="U284" s="320">
        <v>224</v>
      </c>
      <c r="V284" s="349"/>
      <c r="W284" s="348"/>
      <c r="X284"/>
      <c r="Y284"/>
      <c r="Z284"/>
      <c r="AA284"/>
      <c r="AB284"/>
      <c r="AC284"/>
      <c r="AD284"/>
      <c r="AE284"/>
      <c r="AF284"/>
      <c r="AG284"/>
      <c r="AH284"/>
      <c r="AI284"/>
      <c r="AJ284"/>
      <c r="AK284"/>
      <c r="AL284" s="6"/>
      <c r="AM284"/>
      <c r="AN284" s="320">
        <v>224</v>
      </c>
      <c r="AO284" s="349"/>
      <c r="AP284" s="348"/>
      <c r="AQ284"/>
      <c r="AR284"/>
      <c r="AS284"/>
      <c r="AT284"/>
      <c r="AU284"/>
      <c r="AV284"/>
      <c r="AW284"/>
      <c r="AX284"/>
      <c r="AY284"/>
      <c r="AZ284"/>
      <c r="BA284"/>
      <c r="BB284"/>
      <c r="BC284"/>
      <c r="BD284"/>
      <c r="BE284" s="6"/>
      <c r="BF284"/>
      <c r="BG284" s="320">
        <v>224</v>
      </c>
      <c r="BH284" s="349"/>
      <c r="BI284" s="348"/>
      <c r="BJ284"/>
      <c r="BK284"/>
      <c r="BL284"/>
      <c r="BM284"/>
      <c r="BN284"/>
      <c r="BO284"/>
      <c r="BP284"/>
      <c r="BQ284"/>
      <c r="BR284"/>
      <c r="BS284"/>
      <c r="BT284"/>
      <c r="BU284"/>
      <c r="BV284"/>
      <c r="BW284"/>
      <c r="BX284" s="6"/>
    </row>
    <row r="285" spans="1:76">
      <c r="A285"/>
      <c r="B285" s="320">
        <v>225</v>
      </c>
      <c r="C285" s="349"/>
      <c r="D285" s="348"/>
      <c r="E285"/>
      <c r="F285"/>
      <c r="G285"/>
      <c r="H285"/>
      <c r="I285"/>
      <c r="J285"/>
      <c r="K285"/>
      <c r="L285"/>
      <c r="M285"/>
      <c r="N285"/>
      <c r="O285"/>
      <c r="P285"/>
      <c r="Q285"/>
      <c r="R285"/>
      <c r="S285" s="6"/>
      <c r="T285"/>
      <c r="U285" s="320">
        <v>225</v>
      </c>
      <c r="V285" s="349"/>
      <c r="W285" s="348"/>
      <c r="X285"/>
      <c r="Y285"/>
      <c r="Z285"/>
      <c r="AA285"/>
      <c r="AB285"/>
      <c r="AC285"/>
      <c r="AD285"/>
      <c r="AE285"/>
      <c r="AF285"/>
      <c r="AG285"/>
      <c r="AH285"/>
      <c r="AI285"/>
      <c r="AJ285"/>
      <c r="AK285"/>
      <c r="AL285" s="6"/>
      <c r="AM285"/>
      <c r="AN285" s="320">
        <v>225</v>
      </c>
      <c r="AO285" s="349"/>
      <c r="AP285" s="348"/>
      <c r="AQ285"/>
      <c r="AR285"/>
      <c r="AS285"/>
      <c r="AT285"/>
      <c r="AU285"/>
      <c r="AV285"/>
      <c r="AW285"/>
      <c r="AX285"/>
      <c r="AY285"/>
      <c r="AZ285"/>
      <c r="BA285"/>
      <c r="BB285"/>
      <c r="BC285"/>
      <c r="BD285"/>
      <c r="BE285" s="6"/>
      <c r="BF285"/>
      <c r="BG285" s="320">
        <v>225</v>
      </c>
      <c r="BH285" s="349"/>
      <c r="BI285" s="348"/>
      <c r="BJ285"/>
      <c r="BK285"/>
      <c r="BL285"/>
      <c r="BM285"/>
      <c r="BN285"/>
      <c r="BO285"/>
      <c r="BP285"/>
      <c r="BQ285"/>
      <c r="BR285"/>
      <c r="BS285"/>
      <c r="BT285"/>
      <c r="BU285"/>
      <c r="BV285"/>
      <c r="BW285"/>
      <c r="BX285" s="6"/>
    </row>
    <row r="286" spans="1:76">
      <c r="A286"/>
      <c r="B286" s="320">
        <v>226</v>
      </c>
      <c r="C286" s="349"/>
      <c r="D286" s="348"/>
      <c r="E286"/>
      <c r="F286"/>
      <c r="G286"/>
      <c r="H286"/>
      <c r="I286"/>
      <c r="J286"/>
      <c r="K286"/>
      <c r="L286"/>
      <c r="M286"/>
      <c r="N286"/>
      <c r="O286"/>
      <c r="P286"/>
      <c r="Q286"/>
      <c r="R286"/>
      <c r="S286" s="6"/>
      <c r="T286"/>
      <c r="U286" s="320">
        <v>226</v>
      </c>
      <c r="V286" s="349"/>
      <c r="W286" s="348"/>
      <c r="X286"/>
      <c r="Y286"/>
      <c r="Z286"/>
      <c r="AA286"/>
      <c r="AB286"/>
      <c r="AC286"/>
      <c r="AD286"/>
      <c r="AE286"/>
      <c r="AF286"/>
      <c r="AG286"/>
      <c r="AH286"/>
      <c r="AI286"/>
      <c r="AJ286"/>
      <c r="AK286"/>
      <c r="AL286" s="6"/>
      <c r="AM286"/>
      <c r="AN286" s="320">
        <v>226</v>
      </c>
      <c r="AO286" s="349"/>
      <c r="AP286" s="348"/>
      <c r="AQ286"/>
      <c r="AR286"/>
      <c r="AS286"/>
      <c r="AT286"/>
      <c r="AU286"/>
      <c r="AV286"/>
      <c r="AW286"/>
      <c r="AX286"/>
      <c r="AY286"/>
      <c r="AZ286"/>
      <c r="BA286"/>
      <c r="BB286"/>
      <c r="BC286"/>
      <c r="BD286"/>
      <c r="BE286" s="6"/>
      <c r="BF286"/>
      <c r="BG286" s="320">
        <v>226</v>
      </c>
      <c r="BH286" s="349"/>
      <c r="BI286" s="348"/>
      <c r="BJ286"/>
      <c r="BK286"/>
      <c r="BL286"/>
      <c r="BM286"/>
      <c r="BN286"/>
      <c r="BO286"/>
      <c r="BP286"/>
      <c r="BQ286"/>
      <c r="BR286"/>
      <c r="BS286"/>
      <c r="BT286"/>
      <c r="BU286"/>
      <c r="BV286"/>
      <c r="BW286"/>
      <c r="BX286" s="6"/>
    </row>
    <row r="287" spans="1:76">
      <c r="A287"/>
      <c r="B287" s="320">
        <v>227</v>
      </c>
      <c r="C287" s="349"/>
      <c r="D287" s="348"/>
      <c r="E287"/>
      <c r="F287"/>
      <c r="G287"/>
      <c r="H287"/>
      <c r="I287"/>
      <c r="J287"/>
      <c r="K287"/>
      <c r="L287"/>
      <c r="M287"/>
      <c r="N287"/>
      <c r="O287"/>
      <c r="P287"/>
      <c r="Q287"/>
      <c r="R287"/>
      <c r="S287" s="6"/>
      <c r="T287"/>
      <c r="U287" s="320">
        <v>227</v>
      </c>
      <c r="V287" s="349"/>
      <c r="W287" s="348"/>
      <c r="X287"/>
      <c r="Y287"/>
      <c r="Z287"/>
      <c r="AA287"/>
      <c r="AB287"/>
      <c r="AC287"/>
      <c r="AD287"/>
      <c r="AE287"/>
      <c r="AF287"/>
      <c r="AG287"/>
      <c r="AH287"/>
      <c r="AI287"/>
      <c r="AJ287"/>
      <c r="AK287"/>
      <c r="AL287" s="6"/>
      <c r="AM287"/>
      <c r="AN287" s="320">
        <v>227</v>
      </c>
      <c r="AO287" s="349"/>
      <c r="AP287" s="348"/>
      <c r="AQ287"/>
      <c r="AR287"/>
      <c r="AS287"/>
      <c r="AT287"/>
      <c r="AU287"/>
      <c r="AV287"/>
      <c r="AW287"/>
      <c r="AX287"/>
      <c r="AY287"/>
      <c r="AZ287"/>
      <c r="BA287"/>
      <c r="BB287"/>
      <c r="BC287"/>
      <c r="BD287"/>
      <c r="BE287" s="6"/>
      <c r="BF287"/>
      <c r="BG287" s="320">
        <v>227</v>
      </c>
      <c r="BH287" s="349"/>
      <c r="BI287" s="348"/>
      <c r="BJ287"/>
      <c r="BK287"/>
      <c r="BL287"/>
      <c r="BM287"/>
      <c r="BN287"/>
      <c r="BO287"/>
      <c r="BP287"/>
      <c r="BQ287"/>
      <c r="BR287"/>
      <c r="BS287"/>
      <c r="BT287"/>
      <c r="BU287"/>
      <c r="BV287"/>
      <c r="BW287"/>
      <c r="BX287" s="6"/>
    </row>
    <row r="288" spans="1:76">
      <c r="A288"/>
      <c r="B288" s="320">
        <v>228</v>
      </c>
      <c r="C288" s="349"/>
      <c r="D288" s="348"/>
      <c r="E288"/>
      <c r="F288"/>
      <c r="G288"/>
      <c r="H288"/>
      <c r="I288"/>
      <c r="J288"/>
      <c r="K288"/>
      <c r="L288"/>
      <c r="M288"/>
      <c r="N288"/>
      <c r="O288"/>
      <c r="P288"/>
      <c r="Q288"/>
      <c r="R288"/>
      <c r="S288" s="6"/>
      <c r="T288"/>
      <c r="U288" s="320">
        <v>228</v>
      </c>
      <c r="V288" s="349"/>
      <c r="W288" s="348"/>
      <c r="X288"/>
      <c r="Y288"/>
      <c r="Z288"/>
      <c r="AA288"/>
      <c r="AB288"/>
      <c r="AC288"/>
      <c r="AD288"/>
      <c r="AE288"/>
      <c r="AF288"/>
      <c r="AG288"/>
      <c r="AH288"/>
      <c r="AI288"/>
      <c r="AJ288"/>
      <c r="AK288"/>
      <c r="AL288" s="6"/>
      <c r="AM288"/>
      <c r="AN288" s="320">
        <v>228</v>
      </c>
      <c r="AO288" s="349"/>
      <c r="AP288" s="348"/>
      <c r="AQ288"/>
      <c r="AR288"/>
      <c r="AS288"/>
      <c r="AT288"/>
      <c r="AU288"/>
      <c r="AV288"/>
      <c r="AW288"/>
      <c r="AX288"/>
      <c r="AY288"/>
      <c r="AZ288"/>
      <c r="BA288"/>
      <c r="BB288"/>
      <c r="BC288"/>
      <c r="BD288"/>
      <c r="BE288" s="6"/>
      <c r="BF288"/>
      <c r="BG288" s="320">
        <v>228</v>
      </c>
      <c r="BH288" s="349"/>
      <c r="BI288" s="348"/>
      <c r="BJ288"/>
      <c r="BK288"/>
      <c r="BL288"/>
      <c r="BM288"/>
      <c r="BN288"/>
      <c r="BO288"/>
      <c r="BP288"/>
      <c r="BQ288"/>
      <c r="BR288"/>
      <c r="BS288"/>
      <c r="BT288"/>
      <c r="BU288"/>
      <c r="BV288"/>
      <c r="BW288"/>
      <c r="BX288" s="6"/>
    </row>
    <row r="289" spans="1:76">
      <c r="A289"/>
      <c r="B289" s="320">
        <v>229</v>
      </c>
      <c r="C289" s="349"/>
      <c r="D289" s="348"/>
      <c r="E289"/>
      <c r="F289"/>
      <c r="G289"/>
      <c r="H289"/>
      <c r="I289"/>
      <c r="J289"/>
      <c r="K289"/>
      <c r="L289"/>
      <c r="M289"/>
      <c r="N289"/>
      <c r="O289"/>
      <c r="P289"/>
      <c r="Q289"/>
      <c r="R289"/>
      <c r="S289" s="6"/>
      <c r="T289"/>
      <c r="U289" s="320">
        <v>229</v>
      </c>
      <c r="V289" s="349"/>
      <c r="W289" s="348"/>
      <c r="X289"/>
      <c r="Y289"/>
      <c r="Z289"/>
      <c r="AA289"/>
      <c r="AB289"/>
      <c r="AC289"/>
      <c r="AD289"/>
      <c r="AE289"/>
      <c r="AF289"/>
      <c r="AG289"/>
      <c r="AH289"/>
      <c r="AI289"/>
      <c r="AJ289"/>
      <c r="AK289"/>
      <c r="AL289" s="6"/>
      <c r="AM289"/>
      <c r="AN289" s="320">
        <v>229</v>
      </c>
      <c r="AO289" s="349"/>
      <c r="AP289" s="348"/>
      <c r="AQ289"/>
      <c r="AR289"/>
      <c r="AS289"/>
      <c r="AT289"/>
      <c r="AU289"/>
      <c r="AV289"/>
      <c r="AW289"/>
      <c r="AX289"/>
      <c r="AY289"/>
      <c r="AZ289"/>
      <c r="BA289"/>
      <c r="BB289"/>
      <c r="BC289"/>
      <c r="BD289"/>
      <c r="BE289" s="6"/>
      <c r="BF289"/>
      <c r="BG289" s="320">
        <v>229</v>
      </c>
      <c r="BH289" s="349"/>
      <c r="BI289" s="348"/>
      <c r="BJ289"/>
      <c r="BK289"/>
      <c r="BL289"/>
      <c r="BM289"/>
      <c r="BN289"/>
      <c r="BO289"/>
      <c r="BP289"/>
      <c r="BQ289"/>
      <c r="BR289"/>
      <c r="BS289"/>
      <c r="BT289"/>
      <c r="BU289"/>
      <c r="BV289"/>
      <c r="BW289"/>
      <c r="BX289" s="6"/>
    </row>
    <row r="290" spans="1:76">
      <c r="A290"/>
      <c r="B290" s="320">
        <v>230</v>
      </c>
      <c r="C290" s="349"/>
      <c r="D290" s="348"/>
      <c r="E290"/>
      <c r="F290"/>
      <c r="G290"/>
      <c r="H290"/>
      <c r="I290"/>
      <c r="J290"/>
      <c r="K290"/>
      <c r="L290"/>
      <c r="M290"/>
      <c r="N290"/>
      <c r="O290"/>
      <c r="P290"/>
      <c r="Q290"/>
      <c r="R290"/>
      <c r="S290" s="6"/>
      <c r="T290"/>
      <c r="U290" s="320">
        <v>230</v>
      </c>
      <c r="V290" s="349"/>
      <c r="W290" s="348"/>
      <c r="X290"/>
      <c r="Y290"/>
      <c r="Z290"/>
      <c r="AA290"/>
      <c r="AB290"/>
      <c r="AC290"/>
      <c r="AD290"/>
      <c r="AE290"/>
      <c r="AF290"/>
      <c r="AG290"/>
      <c r="AH290"/>
      <c r="AI290"/>
      <c r="AJ290"/>
      <c r="AK290"/>
      <c r="AL290" s="6"/>
      <c r="AM290"/>
      <c r="AN290" s="320">
        <v>230</v>
      </c>
      <c r="AO290" s="349"/>
      <c r="AP290" s="348"/>
      <c r="AQ290"/>
      <c r="AR290"/>
      <c r="AS290"/>
      <c r="AT290"/>
      <c r="AU290"/>
      <c r="AV290"/>
      <c r="AW290"/>
      <c r="AX290"/>
      <c r="AY290"/>
      <c r="AZ290"/>
      <c r="BA290"/>
      <c r="BB290"/>
      <c r="BC290"/>
      <c r="BD290"/>
      <c r="BE290" s="6"/>
      <c r="BF290"/>
      <c r="BG290" s="320">
        <v>230</v>
      </c>
      <c r="BH290" s="349"/>
      <c r="BI290" s="348"/>
      <c r="BJ290"/>
      <c r="BK290"/>
      <c r="BL290"/>
      <c r="BM290"/>
      <c r="BN290"/>
      <c r="BO290"/>
      <c r="BP290"/>
      <c r="BQ290"/>
      <c r="BR290"/>
      <c r="BS290"/>
      <c r="BT290"/>
      <c r="BU290"/>
      <c r="BV290"/>
      <c r="BW290"/>
      <c r="BX290" s="6"/>
    </row>
    <row r="291" spans="1:76">
      <c r="A291"/>
      <c r="B291" s="320">
        <v>231</v>
      </c>
      <c r="C291" s="349"/>
      <c r="D291" s="348"/>
      <c r="E291"/>
      <c r="F291"/>
      <c r="G291"/>
      <c r="H291"/>
      <c r="I291"/>
      <c r="J291"/>
      <c r="K291"/>
      <c r="L291"/>
      <c r="M291"/>
      <c r="N291"/>
      <c r="O291"/>
      <c r="P291"/>
      <c r="Q291"/>
      <c r="R291"/>
      <c r="S291" s="6"/>
      <c r="T291"/>
      <c r="U291" s="320">
        <v>231</v>
      </c>
      <c r="V291" s="349"/>
      <c r="W291" s="348"/>
      <c r="X291"/>
      <c r="Y291"/>
      <c r="Z291"/>
      <c r="AA291"/>
      <c r="AB291"/>
      <c r="AC291"/>
      <c r="AD291"/>
      <c r="AE291"/>
      <c r="AF291"/>
      <c r="AG291"/>
      <c r="AH291"/>
      <c r="AI291"/>
      <c r="AJ291"/>
      <c r="AK291"/>
      <c r="AL291" s="6"/>
      <c r="AM291"/>
      <c r="AN291" s="320">
        <v>231</v>
      </c>
      <c r="AO291" s="349"/>
      <c r="AP291" s="348"/>
      <c r="AQ291"/>
      <c r="AR291"/>
      <c r="AS291"/>
      <c r="AT291"/>
      <c r="AU291"/>
      <c r="AV291"/>
      <c r="AW291"/>
      <c r="AX291"/>
      <c r="AY291"/>
      <c r="AZ291"/>
      <c r="BA291"/>
      <c r="BB291"/>
      <c r="BC291"/>
      <c r="BD291"/>
      <c r="BE291" s="6"/>
      <c r="BF291"/>
      <c r="BG291" s="320">
        <v>231</v>
      </c>
      <c r="BH291" s="349"/>
      <c r="BI291" s="348"/>
      <c r="BJ291"/>
      <c r="BK291"/>
      <c r="BL291"/>
      <c r="BM291"/>
      <c r="BN291"/>
      <c r="BO291"/>
      <c r="BP291"/>
      <c r="BQ291"/>
      <c r="BR291"/>
      <c r="BS291"/>
      <c r="BT291"/>
      <c r="BU291"/>
      <c r="BV291"/>
      <c r="BW291"/>
      <c r="BX291" s="6"/>
    </row>
    <row r="292" spans="1:76">
      <c r="A292"/>
      <c r="B292" s="320">
        <v>232</v>
      </c>
      <c r="C292" s="349"/>
      <c r="D292" s="348"/>
      <c r="E292"/>
      <c r="F292"/>
      <c r="G292"/>
      <c r="H292"/>
      <c r="I292"/>
      <c r="J292"/>
      <c r="K292"/>
      <c r="L292"/>
      <c r="M292"/>
      <c r="N292"/>
      <c r="O292"/>
      <c r="P292"/>
      <c r="Q292"/>
      <c r="R292"/>
      <c r="S292" s="6"/>
      <c r="T292"/>
      <c r="U292" s="320">
        <v>232</v>
      </c>
      <c r="V292" s="349"/>
      <c r="W292" s="348"/>
      <c r="X292"/>
      <c r="Y292"/>
      <c r="Z292"/>
      <c r="AA292"/>
      <c r="AB292"/>
      <c r="AC292"/>
      <c r="AD292"/>
      <c r="AE292"/>
      <c r="AF292"/>
      <c r="AG292"/>
      <c r="AH292"/>
      <c r="AI292"/>
      <c r="AJ292"/>
      <c r="AK292"/>
      <c r="AL292" s="6"/>
      <c r="AM292"/>
      <c r="AN292" s="320">
        <v>232</v>
      </c>
      <c r="AO292" s="349"/>
      <c r="AP292" s="348"/>
      <c r="AQ292"/>
      <c r="AR292"/>
      <c r="AS292"/>
      <c r="AT292"/>
      <c r="AU292"/>
      <c r="AV292"/>
      <c r="AW292"/>
      <c r="AX292"/>
      <c r="AY292"/>
      <c r="AZ292"/>
      <c r="BA292"/>
      <c r="BB292"/>
      <c r="BC292"/>
      <c r="BD292"/>
      <c r="BE292" s="6"/>
      <c r="BF292"/>
      <c r="BG292" s="320">
        <v>232</v>
      </c>
      <c r="BH292" s="349"/>
      <c r="BI292" s="348"/>
      <c r="BJ292"/>
      <c r="BK292"/>
      <c r="BL292"/>
      <c r="BM292"/>
      <c r="BN292"/>
      <c r="BO292"/>
      <c r="BP292"/>
      <c r="BQ292"/>
      <c r="BR292"/>
      <c r="BS292"/>
      <c r="BT292"/>
      <c r="BU292"/>
      <c r="BV292"/>
      <c r="BW292"/>
      <c r="BX292" s="6"/>
    </row>
    <row r="293" spans="1:76">
      <c r="A293"/>
      <c r="B293" s="320">
        <v>233</v>
      </c>
      <c r="C293" s="349"/>
      <c r="D293" s="348"/>
      <c r="E293"/>
      <c r="F293"/>
      <c r="G293"/>
      <c r="H293"/>
      <c r="I293"/>
      <c r="J293"/>
      <c r="K293"/>
      <c r="L293"/>
      <c r="M293"/>
      <c r="N293"/>
      <c r="O293"/>
      <c r="P293"/>
      <c r="Q293"/>
      <c r="R293"/>
      <c r="S293" s="6"/>
      <c r="T293"/>
      <c r="U293" s="320">
        <v>233</v>
      </c>
      <c r="V293" s="349"/>
      <c r="W293" s="348"/>
      <c r="X293"/>
      <c r="Y293"/>
      <c r="Z293"/>
      <c r="AA293"/>
      <c r="AB293"/>
      <c r="AC293"/>
      <c r="AD293"/>
      <c r="AE293"/>
      <c r="AF293"/>
      <c r="AG293"/>
      <c r="AH293"/>
      <c r="AI293"/>
      <c r="AJ293"/>
      <c r="AK293"/>
      <c r="AL293" s="6"/>
      <c r="AM293"/>
      <c r="AN293" s="320">
        <v>233</v>
      </c>
      <c r="AO293" s="349"/>
      <c r="AP293" s="348"/>
      <c r="AQ293"/>
      <c r="AR293"/>
      <c r="AS293"/>
      <c r="AT293"/>
      <c r="AU293"/>
      <c r="AV293"/>
      <c r="AW293"/>
      <c r="AX293"/>
      <c r="AY293"/>
      <c r="AZ293"/>
      <c r="BA293"/>
      <c r="BB293"/>
      <c r="BC293"/>
      <c r="BD293"/>
      <c r="BE293" s="6"/>
      <c r="BF293"/>
      <c r="BG293" s="320">
        <v>233</v>
      </c>
      <c r="BH293" s="349"/>
      <c r="BI293" s="348"/>
      <c r="BJ293"/>
      <c r="BK293"/>
      <c r="BL293"/>
      <c r="BM293"/>
      <c r="BN293"/>
      <c r="BO293"/>
      <c r="BP293"/>
      <c r="BQ293"/>
      <c r="BR293"/>
      <c r="BS293"/>
      <c r="BT293"/>
      <c r="BU293"/>
      <c r="BV293"/>
      <c r="BW293"/>
      <c r="BX293" s="6"/>
    </row>
    <row r="294" spans="1:76">
      <c r="A294"/>
      <c r="B294" s="320">
        <v>234</v>
      </c>
      <c r="C294" s="349"/>
      <c r="D294" s="348"/>
      <c r="E294"/>
      <c r="F294"/>
      <c r="G294"/>
      <c r="H294"/>
      <c r="I294"/>
      <c r="J294"/>
      <c r="K294"/>
      <c r="L294"/>
      <c r="M294"/>
      <c r="N294"/>
      <c r="O294"/>
      <c r="P294"/>
      <c r="Q294"/>
      <c r="R294"/>
      <c r="S294" s="6"/>
      <c r="T294"/>
      <c r="U294" s="320">
        <v>234</v>
      </c>
      <c r="V294" s="349"/>
      <c r="W294" s="348"/>
      <c r="X294"/>
      <c r="Y294"/>
      <c r="Z294"/>
      <c r="AA294"/>
      <c r="AB294"/>
      <c r="AC294"/>
      <c r="AD294"/>
      <c r="AE294"/>
      <c r="AF294"/>
      <c r="AG294"/>
      <c r="AH294"/>
      <c r="AI294"/>
      <c r="AJ294"/>
      <c r="AK294"/>
      <c r="AL294" s="6"/>
      <c r="AM294"/>
      <c r="AN294" s="320">
        <v>234</v>
      </c>
      <c r="AO294" s="349"/>
      <c r="AP294" s="348"/>
      <c r="AQ294"/>
      <c r="AR294"/>
      <c r="AS294"/>
      <c r="AT294"/>
      <c r="AU294"/>
      <c r="AV294"/>
      <c r="AW294"/>
      <c r="AX294"/>
      <c r="AY294"/>
      <c r="AZ294"/>
      <c r="BA294"/>
      <c r="BB294"/>
      <c r="BC294"/>
      <c r="BD294"/>
      <c r="BE294" s="6"/>
      <c r="BF294"/>
      <c r="BG294" s="320">
        <v>234</v>
      </c>
      <c r="BH294" s="349"/>
      <c r="BI294" s="348"/>
      <c r="BJ294"/>
      <c r="BK294"/>
      <c r="BL294"/>
      <c r="BM294"/>
      <c r="BN294"/>
      <c r="BO294"/>
      <c r="BP294"/>
      <c r="BQ294"/>
      <c r="BR294"/>
      <c r="BS294"/>
      <c r="BT294"/>
      <c r="BU294"/>
      <c r="BV294"/>
      <c r="BW294"/>
      <c r="BX294" s="6"/>
    </row>
    <row r="295" spans="1:76">
      <c r="A295"/>
      <c r="B295" s="320">
        <v>235</v>
      </c>
      <c r="C295" s="349"/>
      <c r="D295" s="348"/>
      <c r="E295"/>
      <c r="F295"/>
      <c r="G295"/>
      <c r="H295"/>
      <c r="I295"/>
      <c r="J295"/>
      <c r="K295"/>
      <c r="L295"/>
      <c r="M295"/>
      <c r="N295"/>
      <c r="O295"/>
      <c r="P295"/>
      <c r="Q295"/>
      <c r="R295"/>
      <c r="S295" s="6"/>
      <c r="T295"/>
      <c r="U295" s="320">
        <v>235</v>
      </c>
      <c r="V295" s="349"/>
      <c r="W295" s="348"/>
      <c r="X295"/>
      <c r="Y295"/>
      <c r="Z295"/>
      <c r="AA295"/>
      <c r="AB295"/>
      <c r="AC295"/>
      <c r="AD295"/>
      <c r="AE295"/>
      <c r="AF295"/>
      <c r="AG295"/>
      <c r="AH295"/>
      <c r="AI295"/>
      <c r="AJ295"/>
      <c r="AK295"/>
      <c r="AL295" s="6"/>
      <c r="AM295"/>
      <c r="AN295" s="320">
        <v>235</v>
      </c>
      <c r="AO295" s="349"/>
      <c r="AP295" s="348"/>
      <c r="AQ295"/>
      <c r="AR295"/>
      <c r="AS295"/>
      <c r="AT295"/>
      <c r="AU295"/>
      <c r="AV295"/>
      <c r="AW295"/>
      <c r="AX295"/>
      <c r="AY295"/>
      <c r="AZ295"/>
      <c r="BA295"/>
      <c r="BB295"/>
      <c r="BC295"/>
      <c r="BD295"/>
      <c r="BE295" s="6"/>
      <c r="BF295"/>
      <c r="BG295" s="320">
        <v>235</v>
      </c>
      <c r="BH295" s="349"/>
      <c r="BI295" s="348"/>
      <c r="BJ295"/>
      <c r="BK295"/>
      <c r="BL295"/>
      <c r="BM295"/>
      <c r="BN295"/>
      <c r="BO295"/>
      <c r="BP295"/>
      <c r="BQ295"/>
      <c r="BR295"/>
      <c r="BS295"/>
      <c r="BT295"/>
      <c r="BU295"/>
      <c r="BV295"/>
      <c r="BW295"/>
      <c r="BX295" s="6"/>
    </row>
    <row r="296" spans="1:76">
      <c r="A296"/>
      <c r="B296" s="320">
        <v>236</v>
      </c>
      <c r="C296" s="349"/>
      <c r="D296" s="348"/>
      <c r="E296"/>
      <c r="F296"/>
      <c r="G296"/>
      <c r="H296"/>
      <c r="I296"/>
      <c r="J296"/>
      <c r="K296"/>
      <c r="L296"/>
      <c r="M296"/>
      <c r="N296"/>
      <c r="O296"/>
      <c r="P296"/>
      <c r="Q296"/>
      <c r="R296"/>
      <c r="S296" s="6"/>
      <c r="T296"/>
      <c r="U296" s="320">
        <v>236</v>
      </c>
      <c r="V296" s="349"/>
      <c r="W296" s="348"/>
      <c r="X296"/>
      <c r="Y296"/>
      <c r="Z296"/>
      <c r="AA296"/>
      <c r="AB296"/>
      <c r="AC296"/>
      <c r="AD296"/>
      <c r="AE296"/>
      <c r="AF296"/>
      <c r="AG296"/>
      <c r="AH296"/>
      <c r="AI296"/>
      <c r="AJ296"/>
      <c r="AK296"/>
      <c r="AL296" s="6"/>
      <c r="AM296"/>
      <c r="AN296" s="320">
        <v>236</v>
      </c>
      <c r="AO296" s="349"/>
      <c r="AP296" s="348"/>
      <c r="AQ296"/>
      <c r="AR296"/>
      <c r="AS296"/>
      <c r="AT296"/>
      <c r="AU296"/>
      <c r="AV296"/>
      <c r="AW296"/>
      <c r="AX296"/>
      <c r="AY296"/>
      <c r="AZ296"/>
      <c r="BA296"/>
      <c r="BB296"/>
      <c r="BC296"/>
      <c r="BD296"/>
      <c r="BE296" s="6"/>
      <c r="BF296"/>
      <c r="BG296" s="320">
        <v>236</v>
      </c>
      <c r="BH296" s="349"/>
      <c r="BI296" s="348"/>
      <c r="BJ296"/>
      <c r="BK296"/>
      <c r="BL296"/>
      <c r="BM296"/>
      <c r="BN296"/>
      <c r="BO296"/>
      <c r="BP296"/>
      <c r="BQ296"/>
      <c r="BR296"/>
      <c r="BS296"/>
      <c r="BT296"/>
      <c r="BU296"/>
      <c r="BV296"/>
      <c r="BW296"/>
      <c r="BX296" s="6"/>
    </row>
    <row r="297" spans="1:76">
      <c r="A297"/>
      <c r="B297" s="320">
        <v>237</v>
      </c>
      <c r="C297" s="349"/>
      <c r="D297" s="348"/>
      <c r="E297"/>
      <c r="F297"/>
      <c r="G297"/>
      <c r="H297"/>
      <c r="I297"/>
      <c r="J297"/>
      <c r="K297"/>
      <c r="L297"/>
      <c r="M297"/>
      <c r="N297"/>
      <c r="O297"/>
      <c r="P297"/>
      <c r="Q297"/>
      <c r="R297"/>
      <c r="S297" s="6"/>
      <c r="T297"/>
      <c r="U297" s="320">
        <v>237</v>
      </c>
      <c r="V297" s="349"/>
      <c r="W297" s="348"/>
      <c r="X297"/>
      <c r="Y297"/>
      <c r="Z297"/>
      <c r="AA297"/>
      <c r="AB297"/>
      <c r="AC297"/>
      <c r="AD297"/>
      <c r="AE297"/>
      <c r="AF297"/>
      <c r="AG297"/>
      <c r="AH297"/>
      <c r="AI297"/>
      <c r="AJ297"/>
      <c r="AK297"/>
      <c r="AL297" s="6"/>
      <c r="AM297"/>
      <c r="AN297" s="320">
        <v>237</v>
      </c>
      <c r="AO297" s="349"/>
      <c r="AP297" s="348"/>
      <c r="AQ297"/>
      <c r="AR297"/>
      <c r="AS297"/>
      <c r="AT297"/>
      <c r="AU297"/>
      <c r="AV297"/>
      <c r="AW297"/>
      <c r="AX297"/>
      <c r="AY297"/>
      <c r="AZ297"/>
      <c r="BA297"/>
      <c r="BB297"/>
      <c r="BC297"/>
      <c r="BD297"/>
      <c r="BE297" s="6"/>
      <c r="BF297"/>
      <c r="BG297" s="320">
        <v>237</v>
      </c>
      <c r="BH297" s="349"/>
      <c r="BI297" s="348"/>
      <c r="BJ297"/>
      <c r="BK297"/>
      <c r="BL297"/>
      <c r="BM297"/>
      <c r="BN297"/>
      <c r="BO297"/>
      <c r="BP297"/>
      <c r="BQ297"/>
      <c r="BR297"/>
      <c r="BS297"/>
      <c r="BT297"/>
      <c r="BU297"/>
      <c r="BV297"/>
      <c r="BW297"/>
      <c r="BX297" s="6"/>
    </row>
    <row r="298" spans="1:76">
      <c r="A298"/>
      <c r="B298" s="320">
        <v>238</v>
      </c>
      <c r="C298" s="349"/>
      <c r="D298" s="348"/>
      <c r="E298"/>
      <c r="F298"/>
      <c r="G298"/>
      <c r="H298"/>
      <c r="I298"/>
      <c r="J298"/>
      <c r="K298"/>
      <c r="L298"/>
      <c r="M298"/>
      <c r="N298"/>
      <c r="O298"/>
      <c r="P298"/>
      <c r="Q298"/>
      <c r="R298"/>
      <c r="S298" s="6"/>
      <c r="T298"/>
      <c r="U298" s="320">
        <v>238</v>
      </c>
      <c r="V298" s="349"/>
      <c r="W298" s="348"/>
      <c r="X298"/>
      <c r="Y298"/>
      <c r="Z298"/>
      <c r="AA298"/>
      <c r="AB298"/>
      <c r="AC298"/>
      <c r="AD298"/>
      <c r="AE298"/>
      <c r="AF298"/>
      <c r="AG298"/>
      <c r="AH298"/>
      <c r="AI298"/>
      <c r="AJ298"/>
      <c r="AK298"/>
      <c r="AL298" s="6"/>
      <c r="AM298"/>
      <c r="AN298" s="320">
        <v>238</v>
      </c>
      <c r="AO298" s="349"/>
      <c r="AP298" s="348"/>
      <c r="AQ298"/>
      <c r="AR298"/>
      <c r="AS298"/>
      <c r="AT298"/>
      <c r="AU298"/>
      <c r="AV298"/>
      <c r="AW298"/>
      <c r="AX298"/>
      <c r="AY298"/>
      <c r="AZ298"/>
      <c r="BA298"/>
      <c r="BB298"/>
      <c r="BC298"/>
      <c r="BD298"/>
      <c r="BE298" s="6"/>
      <c r="BF298"/>
      <c r="BG298" s="320">
        <v>238</v>
      </c>
      <c r="BH298" s="349"/>
      <c r="BI298" s="348"/>
      <c r="BJ298"/>
      <c r="BK298"/>
      <c r="BL298"/>
      <c r="BM298"/>
      <c r="BN298"/>
      <c r="BO298"/>
      <c r="BP298"/>
      <c r="BQ298"/>
      <c r="BR298"/>
      <c r="BS298"/>
      <c r="BT298"/>
      <c r="BU298"/>
      <c r="BV298"/>
      <c r="BW298"/>
      <c r="BX298" s="6"/>
    </row>
    <row r="299" spans="1:76">
      <c r="A299"/>
      <c r="B299" s="320">
        <v>239</v>
      </c>
      <c r="C299" s="349"/>
      <c r="D299" s="348"/>
      <c r="E299"/>
      <c r="F299"/>
      <c r="G299"/>
      <c r="H299"/>
      <c r="I299"/>
      <c r="J299"/>
      <c r="K299"/>
      <c r="L299"/>
      <c r="M299"/>
      <c r="N299"/>
      <c r="O299"/>
      <c r="P299"/>
      <c r="Q299"/>
      <c r="R299"/>
      <c r="S299" s="6"/>
      <c r="T299"/>
      <c r="U299" s="320">
        <v>239</v>
      </c>
      <c r="V299" s="349"/>
      <c r="W299" s="348"/>
      <c r="X299"/>
      <c r="Y299"/>
      <c r="Z299"/>
      <c r="AA299"/>
      <c r="AB299"/>
      <c r="AC299"/>
      <c r="AD299"/>
      <c r="AE299"/>
      <c r="AF299"/>
      <c r="AG299"/>
      <c r="AH299"/>
      <c r="AI299"/>
      <c r="AJ299"/>
      <c r="AK299"/>
      <c r="AL299" s="6"/>
      <c r="AM299"/>
      <c r="AN299" s="320">
        <v>239</v>
      </c>
      <c r="AO299" s="349"/>
      <c r="AP299" s="348"/>
      <c r="AQ299"/>
      <c r="AR299"/>
      <c r="AS299"/>
      <c r="AT299"/>
      <c r="AU299"/>
      <c r="AV299"/>
      <c r="AW299"/>
      <c r="AX299"/>
      <c r="AY299"/>
      <c r="AZ299"/>
      <c r="BA299"/>
      <c r="BB299"/>
      <c r="BC299"/>
      <c r="BD299"/>
      <c r="BE299" s="6"/>
      <c r="BF299"/>
      <c r="BG299" s="320">
        <v>239</v>
      </c>
      <c r="BH299" s="349"/>
      <c r="BI299" s="348"/>
      <c r="BJ299"/>
      <c r="BK299"/>
      <c r="BL299"/>
      <c r="BM299"/>
      <c r="BN299"/>
      <c r="BO299"/>
      <c r="BP299"/>
      <c r="BQ299"/>
      <c r="BR299"/>
      <c r="BS299"/>
      <c r="BT299"/>
      <c r="BU299"/>
      <c r="BV299"/>
      <c r="BW299"/>
      <c r="BX299" s="6"/>
    </row>
    <row r="300" spans="1:76">
      <c r="A300"/>
      <c r="B300" s="320">
        <v>240</v>
      </c>
      <c r="C300" s="349"/>
      <c r="D300" s="348"/>
      <c r="E300"/>
      <c r="F300"/>
      <c r="G300"/>
      <c r="H300"/>
      <c r="I300"/>
      <c r="J300"/>
      <c r="K300"/>
      <c r="L300"/>
      <c r="M300"/>
      <c r="N300"/>
      <c r="O300"/>
      <c r="P300"/>
      <c r="Q300"/>
      <c r="R300"/>
      <c r="S300" s="6"/>
      <c r="T300"/>
      <c r="U300" s="320">
        <v>240</v>
      </c>
      <c r="V300" s="349"/>
      <c r="W300" s="348"/>
      <c r="X300"/>
      <c r="Y300"/>
      <c r="Z300"/>
      <c r="AA300"/>
      <c r="AB300"/>
      <c r="AC300"/>
      <c r="AD300"/>
      <c r="AE300"/>
      <c r="AF300"/>
      <c r="AG300"/>
      <c r="AH300"/>
      <c r="AI300"/>
      <c r="AJ300"/>
      <c r="AK300"/>
      <c r="AL300" s="6"/>
      <c r="AM300"/>
      <c r="AN300" s="320">
        <v>240</v>
      </c>
      <c r="AO300" s="349"/>
      <c r="AP300" s="348"/>
      <c r="AQ300"/>
      <c r="AR300"/>
      <c r="AS300"/>
      <c r="AT300"/>
      <c r="AU300"/>
      <c r="AV300"/>
      <c r="AW300"/>
      <c r="AX300"/>
      <c r="AY300"/>
      <c r="AZ300"/>
      <c r="BA300"/>
      <c r="BB300"/>
      <c r="BC300"/>
      <c r="BD300"/>
      <c r="BE300" s="6"/>
      <c r="BF300"/>
      <c r="BG300" s="320">
        <v>240</v>
      </c>
      <c r="BH300" s="349"/>
      <c r="BI300" s="348"/>
      <c r="BJ300"/>
      <c r="BK300"/>
      <c r="BL300"/>
      <c r="BM300"/>
      <c r="BN300"/>
      <c r="BO300"/>
      <c r="BP300"/>
      <c r="BQ300"/>
      <c r="BR300"/>
      <c r="BS300"/>
      <c r="BT300"/>
      <c r="BU300"/>
      <c r="BV300"/>
      <c r="BW300"/>
      <c r="BX300" s="6"/>
    </row>
    <row r="301" spans="1:76">
      <c r="A301"/>
      <c r="B301" s="320">
        <v>241</v>
      </c>
      <c r="C301" s="349"/>
      <c r="D301" s="348"/>
      <c r="E301"/>
      <c r="F301"/>
      <c r="G301"/>
      <c r="H301"/>
      <c r="I301"/>
      <c r="J301"/>
      <c r="K301"/>
      <c r="L301"/>
      <c r="M301"/>
      <c r="N301"/>
      <c r="O301"/>
      <c r="P301"/>
      <c r="Q301"/>
      <c r="R301"/>
      <c r="S301" s="6"/>
      <c r="T301"/>
      <c r="U301" s="320">
        <v>241</v>
      </c>
      <c r="V301" s="349"/>
      <c r="W301" s="348"/>
      <c r="X301"/>
      <c r="Y301"/>
      <c r="Z301"/>
      <c r="AA301"/>
      <c r="AB301"/>
      <c r="AC301"/>
      <c r="AD301"/>
      <c r="AE301"/>
      <c r="AF301"/>
      <c r="AG301"/>
      <c r="AH301"/>
      <c r="AI301"/>
      <c r="AJ301"/>
      <c r="AK301"/>
      <c r="AL301" s="6"/>
      <c r="AM301"/>
      <c r="AN301" s="320">
        <v>241</v>
      </c>
      <c r="AO301" s="349"/>
      <c r="AP301" s="348"/>
      <c r="AQ301"/>
      <c r="AR301"/>
      <c r="AS301"/>
      <c r="AT301"/>
      <c r="AU301"/>
      <c r="AV301"/>
      <c r="AW301"/>
      <c r="AX301"/>
      <c r="AY301"/>
      <c r="AZ301"/>
      <c r="BA301"/>
      <c r="BB301"/>
      <c r="BC301"/>
      <c r="BD301"/>
      <c r="BE301" s="6"/>
      <c r="BF301"/>
      <c r="BG301" s="320">
        <v>241</v>
      </c>
      <c r="BH301" s="349"/>
      <c r="BI301" s="348"/>
      <c r="BJ301"/>
      <c r="BK301"/>
      <c r="BL301"/>
      <c r="BM301"/>
      <c r="BN301"/>
      <c r="BO301"/>
      <c r="BP301"/>
      <c r="BQ301"/>
      <c r="BR301"/>
      <c r="BS301"/>
      <c r="BT301"/>
      <c r="BU301"/>
      <c r="BV301"/>
      <c r="BW301"/>
      <c r="BX301" s="6"/>
    </row>
    <row r="302" spans="1:76">
      <c r="A302"/>
      <c r="B302" s="320">
        <v>242</v>
      </c>
      <c r="C302" s="349"/>
      <c r="D302" s="348"/>
      <c r="E302"/>
      <c r="F302"/>
      <c r="G302"/>
      <c r="H302"/>
      <c r="I302"/>
      <c r="J302"/>
      <c r="K302"/>
      <c r="L302"/>
      <c r="M302"/>
      <c r="N302"/>
      <c r="O302"/>
      <c r="P302"/>
      <c r="Q302"/>
      <c r="R302"/>
      <c r="S302" s="6"/>
      <c r="T302"/>
      <c r="U302" s="320">
        <v>242</v>
      </c>
      <c r="V302" s="349"/>
      <c r="W302" s="348"/>
      <c r="X302"/>
      <c r="Y302"/>
      <c r="Z302"/>
      <c r="AA302"/>
      <c r="AB302"/>
      <c r="AC302"/>
      <c r="AD302"/>
      <c r="AE302"/>
      <c r="AF302"/>
      <c r="AG302"/>
      <c r="AH302"/>
      <c r="AI302"/>
      <c r="AJ302"/>
      <c r="AK302"/>
      <c r="AL302" s="6"/>
      <c r="AM302"/>
      <c r="AN302" s="320">
        <v>242</v>
      </c>
      <c r="AO302" s="349"/>
      <c r="AP302" s="348"/>
      <c r="AQ302"/>
      <c r="AR302"/>
      <c r="AS302"/>
      <c r="AT302"/>
      <c r="AU302"/>
      <c r="AV302"/>
      <c r="AW302"/>
      <c r="AX302"/>
      <c r="AY302"/>
      <c r="AZ302"/>
      <c r="BA302"/>
      <c r="BB302"/>
      <c r="BC302"/>
      <c r="BD302"/>
      <c r="BE302" s="6"/>
      <c r="BF302"/>
      <c r="BG302" s="320">
        <v>242</v>
      </c>
      <c r="BH302" s="349"/>
      <c r="BI302" s="348"/>
      <c r="BJ302"/>
      <c r="BK302"/>
      <c r="BL302"/>
      <c r="BM302"/>
      <c r="BN302"/>
      <c r="BO302"/>
      <c r="BP302"/>
      <c r="BQ302"/>
      <c r="BR302"/>
      <c r="BS302"/>
      <c r="BT302"/>
      <c r="BU302"/>
      <c r="BV302"/>
      <c r="BW302"/>
      <c r="BX302" s="6"/>
    </row>
    <row r="303" spans="1:76">
      <c r="A303"/>
      <c r="B303" s="320">
        <v>243</v>
      </c>
      <c r="C303" s="349"/>
      <c r="D303" s="348"/>
      <c r="E303"/>
      <c r="F303"/>
      <c r="G303"/>
      <c r="H303"/>
      <c r="I303"/>
      <c r="J303"/>
      <c r="K303"/>
      <c r="L303"/>
      <c r="M303"/>
      <c r="N303"/>
      <c r="O303"/>
      <c r="P303"/>
      <c r="Q303"/>
      <c r="R303"/>
      <c r="S303" s="6"/>
      <c r="T303"/>
      <c r="U303" s="320">
        <v>243</v>
      </c>
      <c r="V303" s="349"/>
      <c r="W303" s="348"/>
      <c r="X303"/>
      <c r="Y303"/>
      <c r="Z303"/>
      <c r="AA303"/>
      <c r="AB303"/>
      <c r="AC303"/>
      <c r="AD303"/>
      <c r="AE303"/>
      <c r="AF303"/>
      <c r="AG303"/>
      <c r="AH303"/>
      <c r="AI303"/>
      <c r="AJ303"/>
      <c r="AK303"/>
      <c r="AL303" s="6"/>
      <c r="AM303"/>
      <c r="AN303" s="320">
        <v>243</v>
      </c>
      <c r="AO303" s="349"/>
      <c r="AP303" s="348"/>
      <c r="AQ303"/>
      <c r="AR303"/>
      <c r="AS303"/>
      <c r="AT303"/>
      <c r="AU303"/>
      <c r="AV303"/>
      <c r="AW303"/>
      <c r="AX303"/>
      <c r="AY303"/>
      <c r="AZ303"/>
      <c r="BA303"/>
      <c r="BB303"/>
      <c r="BC303"/>
      <c r="BD303"/>
      <c r="BE303" s="6"/>
      <c r="BF303"/>
      <c r="BG303" s="320">
        <v>243</v>
      </c>
      <c r="BH303" s="349"/>
      <c r="BI303" s="348"/>
      <c r="BJ303"/>
      <c r="BK303"/>
      <c r="BL303"/>
      <c r="BM303"/>
      <c r="BN303"/>
      <c r="BO303"/>
      <c r="BP303"/>
      <c r="BQ303"/>
      <c r="BR303"/>
      <c r="BS303"/>
      <c r="BT303"/>
      <c r="BU303"/>
      <c r="BV303"/>
      <c r="BW303"/>
      <c r="BX303" s="6"/>
    </row>
    <row r="304" spans="1:76">
      <c r="A304"/>
      <c r="B304" s="320">
        <v>244</v>
      </c>
      <c r="C304" s="349"/>
      <c r="D304" s="348"/>
      <c r="E304"/>
      <c r="F304"/>
      <c r="G304"/>
      <c r="H304"/>
      <c r="I304"/>
      <c r="J304"/>
      <c r="K304"/>
      <c r="L304"/>
      <c r="M304"/>
      <c r="N304"/>
      <c r="O304"/>
      <c r="P304"/>
      <c r="Q304"/>
      <c r="R304"/>
      <c r="S304" s="6"/>
      <c r="T304"/>
      <c r="U304" s="320">
        <v>244</v>
      </c>
      <c r="V304" s="349"/>
      <c r="W304" s="348"/>
      <c r="X304"/>
      <c r="Y304"/>
      <c r="Z304"/>
      <c r="AA304"/>
      <c r="AB304"/>
      <c r="AC304"/>
      <c r="AD304"/>
      <c r="AE304"/>
      <c r="AF304"/>
      <c r="AG304"/>
      <c r="AH304"/>
      <c r="AI304"/>
      <c r="AJ304"/>
      <c r="AK304"/>
      <c r="AL304" s="6"/>
      <c r="AM304"/>
      <c r="AN304" s="320">
        <v>244</v>
      </c>
      <c r="AO304" s="349"/>
      <c r="AP304" s="348"/>
      <c r="AQ304"/>
      <c r="AR304"/>
      <c r="AS304"/>
      <c r="AT304"/>
      <c r="AU304"/>
      <c r="AV304"/>
      <c r="AW304"/>
      <c r="AX304"/>
      <c r="AY304"/>
      <c r="AZ304"/>
      <c r="BA304"/>
      <c r="BB304"/>
      <c r="BC304"/>
      <c r="BD304"/>
      <c r="BE304" s="6"/>
      <c r="BF304"/>
      <c r="BG304" s="320">
        <v>244</v>
      </c>
      <c r="BH304" s="349"/>
      <c r="BI304" s="348"/>
      <c r="BJ304"/>
      <c r="BK304"/>
      <c r="BL304"/>
      <c r="BM304"/>
      <c r="BN304"/>
      <c r="BO304"/>
      <c r="BP304"/>
      <c r="BQ304"/>
      <c r="BR304"/>
      <c r="BS304"/>
      <c r="BT304"/>
      <c r="BU304"/>
      <c r="BV304"/>
      <c r="BW304"/>
      <c r="BX304" s="6"/>
    </row>
    <row r="305" spans="1:76">
      <c r="A305"/>
      <c r="B305" s="320">
        <v>245</v>
      </c>
      <c r="C305" s="349"/>
      <c r="D305" s="348"/>
      <c r="E305"/>
      <c r="F305"/>
      <c r="G305"/>
      <c r="H305"/>
      <c r="I305"/>
      <c r="J305"/>
      <c r="K305"/>
      <c r="L305"/>
      <c r="M305"/>
      <c r="N305"/>
      <c r="O305"/>
      <c r="P305"/>
      <c r="Q305"/>
      <c r="R305"/>
      <c r="S305" s="6"/>
      <c r="T305"/>
      <c r="U305" s="320">
        <v>245</v>
      </c>
      <c r="V305" s="349"/>
      <c r="W305" s="348"/>
      <c r="X305"/>
      <c r="Y305"/>
      <c r="Z305"/>
      <c r="AA305"/>
      <c r="AB305"/>
      <c r="AC305"/>
      <c r="AD305"/>
      <c r="AE305"/>
      <c r="AF305"/>
      <c r="AG305"/>
      <c r="AH305"/>
      <c r="AI305"/>
      <c r="AJ305"/>
      <c r="AK305"/>
      <c r="AL305" s="6"/>
      <c r="AM305"/>
      <c r="AN305" s="320">
        <v>245</v>
      </c>
      <c r="AO305" s="349"/>
      <c r="AP305" s="348"/>
      <c r="AQ305"/>
      <c r="AR305"/>
      <c r="AS305"/>
      <c r="AT305"/>
      <c r="AU305"/>
      <c r="AV305"/>
      <c r="AW305"/>
      <c r="AX305"/>
      <c r="AY305"/>
      <c r="AZ305"/>
      <c r="BA305"/>
      <c r="BB305"/>
      <c r="BC305"/>
      <c r="BD305"/>
      <c r="BE305" s="6"/>
      <c r="BF305"/>
      <c r="BG305" s="320">
        <v>245</v>
      </c>
      <c r="BH305" s="349"/>
      <c r="BI305" s="348"/>
      <c r="BJ305"/>
      <c r="BK305"/>
      <c r="BL305"/>
      <c r="BM305"/>
      <c r="BN305"/>
      <c r="BO305"/>
      <c r="BP305"/>
      <c r="BQ305"/>
      <c r="BR305"/>
      <c r="BS305"/>
      <c r="BT305"/>
      <c r="BU305"/>
      <c r="BV305"/>
      <c r="BW305"/>
      <c r="BX305" s="6"/>
    </row>
    <row r="306" spans="1:76">
      <c r="A306"/>
      <c r="B306" s="320">
        <v>246</v>
      </c>
      <c r="C306" s="349"/>
      <c r="D306" s="348"/>
      <c r="E306"/>
      <c r="F306"/>
      <c r="G306"/>
      <c r="H306"/>
      <c r="I306"/>
      <c r="J306"/>
      <c r="K306"/>
      <c r="L306"/>
      <c r="M306"/>
      <c r="N306"/>
      <c r="O306"/>
      <c r="P306"/>
      <c r="Q306"/>
      <c r="R306"/>
      <c r="S306" s="6"/>
      <c r="T306"/>
      <c r="U306" s="320">
        <v>246</v>
      </c>
      <c r="V306" s="349"/>
      <c r="W306" s="348"/>
      <c r="X306"/>
      <c r="Y306"/>
      <c r="Z306"/>
      <c r="AA306"/>
      <c r="AB306"/>
      <c r="AC306"/>
      <c r="AD306"/>
      <c r="AE306"/>
      <c r="AF306"/>
      <c r="AG306"/>
      <c r="AH306"/>
      <c r="AI306"/>
      <c r="AJ306"/>
      <c r="AK306"/>
      <c r="AL306" s="6"/>
      <c r="AM306"/>
      <c r="AN306" s="320">
        <v>246</v>
      </c>
      <c r="AO306" s="349"/>
      <c r="AP306" s="348"/>
      <c r="AQ306"/>
      <c r="AR306"/>
      <c r="AS306"/>
      <c r="AT306"/>
      <c r="AU306"/>
      <c r="AV306"/>
      <c r="AW306"/>
      <c r="AX306"/>
      <c r="AY306"/>
      <c r="AZ306"/>
      <c r="BA306"/>
      <c r="BB306"/>
      <c r="BC306"/>
      <c r="BD306"/>
      <c r="BE306" s="6"/>
      <c r="BF306"/>
      <c r="BG306" s="320">
        <v>246</v>
      </c>
      <c r="BH306" s="349"/>
      <c r="BI306" s="348"/>
      <c r="BJ306"/>
      <c r="BK306"/>
      <c r="BL306"/>
      <c r="BM306"/>
      <c r="BN306"/>
      <c r="BO306"/>
      <c r="BP306"/>
      <c r="BQ306"/>
      <c r="BR306"/>
      <c r="BS306"/>
      <c r="BT306"/>
      <c r="BU306"/>
      <c r="BV306"/>
      <c r="BW306"/>
      <c r="BX306" s="6"/>
    </row>
    <row r="307" spans="1:76">
      <c r="A307"/>
      <c r="B307" s="320">
        <v>247</v>
      </c>
      <c r="C307" s="349"/>
      <c r="D307" s="348"/>
      <c r="E307"/>
      <c r="F307"/>
      <c r="G307"/>
      <c r="H307"/>
      <c r="I307"/>
      <c r="J307"/>
      <c r="K307"/>
      <c r="L307"/>
      <c r="M307"/>
      <c r="N307"/>
      <c r="O307"/>
      <c r="P307"/>
      <c r="Q307"/>
      <c r="R307"/>
      <c r="S307" s="6"/>
      <c r="T307"/>
      <c r="U307" s="320">
        <v>247</v>
      </c>
      <c r="V307" s="349"/>
      <c r="W307" s="348"/>
      <c r="X307"/>
      <c r="Y307"/>
      <c r="Z307"/>
      <c r="AA307"/>
      <c r="AB307"/>
      <c r="AC307"/>
      <c r="AD307"/>
      <c r="AE307"/>
      <c r="AF307"/>
      <c r="AG307"/>
      <c r="AH307"/>
      <c r="AI307"/>
      <c r="AJ307"/>
      <c r="AK307"/>
      <c r="AL307" s="6"/>
      <c r="AM307"/>
      <c r="AN307" s="320">
        <v>247</v>
      </c>
      <c r="AO307" s="349"/>
      <c r="AP307" s="348"/>
      <c r="AQ307"/>
      <c r="AR307"/>
      <c r="AS307"/>
      <c r="AT307"/>
      <c r="AU307"/>
      <c r="AV307"/>
      <c r="AW307"/>
      <c r="AX307"/>
      <c r="AY307"/>
      <c r="AZ307"/>
      <c r="BA307"/>
      <c r="BB307"/>
      <c r="BC307"/>
      <c r="BD307"/>
      <c r="BE307" s="6"/>
      <c r="BF307"/>
      <c r="BG307" s="320">
        <v>247</v>
      </c>
      <c r="BH307" s="349"/>
      <c r="BI307" s="348"/>
      <c r="BJ307"/>
      <c r="BK307"/>
      <c r="BL307"/>
      <c r="BM307"/>
      <c r="BN307"/>
      <c r="BO307"/>
      <c r="BP307"/>
      <c r="BQ307"/>
      <c r="BR307"/>
      <c r="BS307"/>
      <c r="BT307"/>
      <c r="BU307"/>
      <c r="BV307"/>
      <c r="BW307"/>
      <c r="BX307" s="6"/>
    </row>
    <row r="308" spans="1:76">
      <c r="A308"/>
      <c r="B308" s="320">
        <v>248</v>
      </c>
      <c r="C308" s="349"/>
      <c r="D308" s="348"/>
      <c r="E308"/>
      <c r="F308"/>
      <c r="G308"/>
      <c r="H308"/>
      <c r="I308"/>
      <c r="J308"/>
      <c r="K308"/>
      <c r="L308"/>
      <c r="M308"/>
      <c r="N308"/>
      <c r="O308"/>
      <c r="P308"/>
      <c r="Q308"/>
      <c r="R308"/>
      <c r="S308" s="6"/>
      <c r="T308"/>
      <c r="U308" s="320">
        <v>248</v>
      </c>
      <c r="V308" s="349"/>
      <c r="W308" s="348"/>
      <c r="X308"/>
      <c r="Y308"/>
      <c r="Z308"/>
      <c r="AA308"/>
      <c r="AB308"/>
      <c r="AC308"/>
      <c r="AD308"/>
      <c r="AE308"/>
      <c r="AF308"/>
      <c r="AG308"/>
      <c r="AH308"/>
      <c r="AI308"/>
      <c r="AJ308"/>
      <c r="AK308"/>
      <c r="AL308" s="6"/>
      <c r="AM308"/>
      <c r="AN308" s="320">
        <v>248</v>
      </c>
      <c r="AO308" s="349"/>
      <c r="AP308" s="348"/>
      <c r="AQ308"/>
      <c r="AR308"/>
      <c r="AS308"/>
      <c r="AT308"/>
      <c r="AU308"/>
      <c r="AV308"/>
      <c r="AW308"/>
      <c r="AX308"/>
      <c r="AY308"/>
      <c r="AZ308"/>
      <c r="BA308"/>
      <c r="BB308"/>
      <c r="BC308"/>
      <c r="BD308"/>
      <c r="BE308" s="6"/>
      <c r="BF308"/>
      <c r="BG308" s="320">
        <v>248</v>
      </c>
      <c r="BH308" s="349"/>
      <c r="BI308" s="348"/>
      <c r="BJ308"/>
      <c r="BK308"/>
      <c r="BL308"/>
      <c r="BM308"/>
      <c r="BN308"/>
      <c r="BO308"/>
      <c r="BP308"/>
      <c r="BQ308"/>
      <c r="BR308"/>
      <c r="BS308"/>
      <c r="BT308"/>
      <c r="BU308"/>
      <c r="BV308"/>
      <c r="BW308"/>
      <c r="BX308" s="6"/>
    </row>
    <row r="309" spans="1:76">
      <c r="A309"/>
      <c r="B309" s="320">
        <v>249</v>
      </c>
      <c r="C309" s="349"/>
      <c r="D309" s="348"/>
      <c r="E309"/>
      <c r="F309"/>
      <c r="G309"/>
      <c r="H309"/>
      <c r="I309"/>
      <c r="J309"/>
      <c r="K309"/>
      <c r="L309"/>
      <c r="M309"/>
      <c r="N309"/>
      <c r="O309"/>
      <c r="P309"/>
      <c r="Q309"/>
      <c r="R309"/>
      <c r="S309" s="6"/>
      <c r="T309"/>
      <c r="U309" s="320">
        <v>249</v>
      </c>
      <c r="V309" s="349"/>
      <c r="W309" s="348"/>
      <c r="X309"/>
      <c r="Y309"/>
      <c r="Z309"/>
      <c r="AA309"/>
      <c r="AB309"/>
      <c r="AC309"/>
      <c r="AD309"/>
      <c r="AE309"/>
      <c r="AF309"/>
      <c r="AG309"/>
      <c r="AH309"/>
      <c r="AI309"/>
      <c r="AJ309"/>
      <c r="AK309"/>
      <c r="AL309" s="6"/>
      <c r="AM309"/>
      <c r="AN309" s="320">
        <v>249</v>
      </c>
      <c r="AO309" s="349"/>
      <c r="AP309" s="348"/>
      <c r="AQ309"/>
      <c r="AR309"/>
      <c r="AS309"/>
      <c r="AT309"/>
      <c r="AU309"/>
      <c r="AV309"/>
      <c r="AW309"/>
      <c r="AX309"/>
      <c r="AY309"/>
      <c r="AZ309"/>
      <c r="BA309"/>
      <c r="BB309"/>
      <c r="BC309"/>
      <c r="BD309"/>
      <c r="BE309" s="6"/>
      <c r="BF309"/>
      <c r="BG309" s="320">
        <v>249</v>
      </c>
      <c r="BH309" s="349"/>
      <c r="BI309" s="348"/>
      <c r="BJ309"/>
      <c r="BK309"/>
      <c r="BL309"/>
      <c r="BM309"/>
      <c r="BN309"/>
      <c r="BO309"/>
      <c r="BP309"/>
      <c r="BQ309"/>
      <c r="BR309"/>
      <c r="BS309"/>
      <c r="BT309"/>
      <c r="BU309"/>
      <c r="BV309"/>
      <c r="BW309"/>
      <c r="BX309" s="6"/>
    </row>
    <row r="310" spans="1:76">
      <c r="A310"/>
      <c r="B310" s="320">
        <v>250</v>
      </c>
      <c r="C310" s="349"/>
      <c r="D310" s="348"/>
      <c r="E310"/>
      <c r="F310"/>
      <c r="G310"/>
      <c r="H310"/>
      <c r="I310"/>
      <c r="J310"/>
      <c r="K310"/>
      <c r="L310"/>
      <c r="M310"/>
      <c r="N310"/>
      <c r="O310"/>
      <c r="P310"/>
      <c r="Q310"/>
      <c r="R310"/>
      <c r="S310" s="6"/>
      <c r="T310"/>
      <c r="U310" s="320">
        <v>250</v>
      </c>
      <c r="V310" s="349"/>
      <c r="W310" s="348"/>
      <c r="X310"/>
      <c r="Y310"/>
      <c r="Z310"/>
      <c r="AA310"/>
      <c r="AB310"/>
      <c r="AC310"/>
      <c r="AD310"/>
      <c r="AE310"/>
      <c r="AF310"/>
      <c r="AG310"/>
      <c r="AH310"/>
      <c r="AI310"/>
      <c r="AJ310"/>
      <c r="AK310"/>
      <c r="AL310" s="6"/>
      <c r="AM310"/>
      <c r="AN310" s="320">
        <v>250</v>
      </c>
      <c r="AO310" s="349"/>
      <c r="AP310" s="348"/>
      <c r="AQ310"/>
      <c r="AR310"/>
      <c r="AS310"/>
      <c r="AT310"/>
      <c r="AU310"/>
      <c r="AV310"/>
      <c r="AW310"/>
      <c r="AX310"/>
      <c r="AY310"/>
      <c r="AZ310"/>
      <c r="BA310"/>
      <c r="BB310"/>
      <c r="BC310"/>
      <c r="BD310"/>
      <c r="BE310" s="6"/>
      <c r="BF310"/>
      <c r="BG310" s="320">
        <v>250</v>
      </c>
      <c r="BH310" s="349"/>
      <c r="BI310" s="348"/>
      <c r="BJ310"/>
      <c r="BK310"/>
      <c r="BL310"/>
      <c r="BM310"/>
      <c r="BN310"/>
      <c r="BO310"/>
      <c r="BP310"/>
      <c r="BQ310"/>
      <c r="BR310"/>
      <c r="BS310"/>
      <c r="BT310"/>
      <c r="BU310"/>
      <c r="BV310"/>
      <c r="BW310"/>
      <c r="BX310" s="6"/>
    </row>
    <row r="311" spans="1:76">
      <c r="A311"/>
      <c r="B311" s="320">
        <v>251</v>
      </c>
      <c r="C311" s="349"/>
      <c r="D311" s="348"/>
      <c r="E311"/>
      <c r="F311"/>
      <c r="G311"/>
      <c r="H311"/>
      <c r="I311"/>
      <c r="J311"/>
      <c r="K311"/>
      <c r="L311"/>
      <c r="M311"/>
      <c r="N311"/>
      <c r="O311"/>
      <c r="P311"/>
      <c r="Q311"/>
      <c r="R311"/>
      <c r="S311" s="6"/>
      <c r="T311"/>
      <c r="U311" s="320">
        <v>251</v>
      </c>
      <c r="V311" s="349"/>
      <c r="W311" s="348"/>
      <c r="X311"/>
      <c r="Y311"/>
      <c r="Z311"/>
      <c r="AA311"/>
      <c r="AB311"/>
      <c r="AC311"/>
      <c r="AD311"/>
      <c r="AE311"/>
      <c r="AF311"/>
      <c r="AG311"/>
      <c r="AH311"/>
      <c r="AI311"/>
      <c r="AJ311"/>
      <c r="AK311"/>
      <c r="AL311" s="6"/>
      <c r="AM311"/>
      <c r="AN311" s="320">
        <v>251</v>
      </c>
      <c r="AO311" s="349"/>
      <c r="AP311" s="348"/>
      <c r="AQ311"/>
      <c r="AR311"/>
      <c r="AS311"/>
      <c r="AT311"/>
      <c r="AU311"/>
      <c r="AV311"/>
      <c r="AW311"/>
      <c r="AX311"/>
      <c r="AY311"/>
      <c r="AZ311"/>
      <c r="BA311"/>
      <c r="BB311"/>
      <c r="BC311"/>
      <c r="BD311"/>
      <c r="BE311" s="6"/>
      <c r="BF311"/>
      <c r="BG311" s="320">
        <v>251</v>
      </c>
      <c r="BH311" s="349"/>
      <c r="BI311" s="348"/>
      <c r="BJ311"/>
      <c r="BK311"/>
      <c r="BL311"/>
      <c r="BM311"/>
      <c r="BN311"/>
      <c r="BO311"/>
      <c r="BP311"/>
      <c r="BQ311"/>
      <c r="BR311"/>
      <c r="BS311"/>
      <c r="BT311"/>
      <c r="BU311"/>
      <c r="BV311"/>
      <c r="BW311"/>
      <c r="BX311" s="6"/>
    </row>
    <row r="312" spans="1:76">
      <c r="A312"/>
      <c r="B312" s="320">
        <v>252</v>
      </c>
      <c r="C312" s="349"/>
      <c r="D312" s="348"/>
      <c r="E312"/>
      <c r="F312"/>
      <c r="G312"/>
      <c r="H312"/>
      <c r="I312"/>
      <c r="J312"/>
      <c r="K312"/>
      <c r="L312"/>
      <c r="M312"/>
      <c r="N312"/>
      <c r="O312"/>
      <c r="P312"/>
      <c r="Q312"/>
      <c r="R312"/>
      <c r="S312" s="6"/>
      <c r="T312"/>
      <c r="U312" s="320">
        <v>252</v>
      </c>
      <c r="V312" s="349"/>
      <c r="W312" s="348"/>
      <c r="X312"/>
      <c r="Y312"/>
      <c r="Z312"/>
      <c r="AA312"/>
      <c r="AB312"/>
      <c r="AC312"/>
      <c r="AD312"/>
      <c r="AE312"/>
      <c r="AF312"/>
      <c r="AG312"/>
      <c r="AH312"/>
      <c r="AI312"/>
      <c r="AJ312"/>
      <c r="AK312"/>
      <c r="AL312" s="6"/>
      <c r="AM312"/>
      <c r="AN312" s="320">
        <v>252</v>
      </c>
      <c r="AO312" s="349"/>
      <c r="AP312" s="348"/>
      <c r="AQ312"/>
      <c r="AR312"/>
      <c r="AS312"/>
      <c r="AT312"/>
      <c r="AU312"/>
      <c r="AV312"/>
      <c r="AW312"/>
      <c r="AX312"/>
      <c r="AY312"/>
      <c r="AZ312"/>
      <c r="BA312"/>
      <c r="BB312"/>
      <c r="BC312"/>
      <c r="BD312"/>
      <c r="BE312" s="6"/>
      <c r="BF312"/>
      <c r="BG312" s="320">
        <v>252</v>
      </c>
      <c r="BH312" s="349"/>
      <c r="BI312" s="348"/>
      <c r="BJ312"/>
      <c r="BK312"/>
      <c r="BL312"/>
      <c r="BM312"/>
      <c r="BN312"/>
      <c r="BO312"/>
      <c r="BP312"/>
      <c r="BQ312"/>
      <c r="BR312"/>
      <c r="BS312"/>
      <c r="BT312"/>
      <c r="BU312"/>
      <c r="BV312"/>
      <c r="BW312"/>
      <c r="BX312" s="6"/>
    </row>
    <row r="313" spans="1:76">
      <c r="A313"/>
      <c r="B313" s="320">
        <v>253</v>
      </c>
      <c r="C313" s="349"/>
      <c r="D313" s="348"/>
      <c r="E313"/>
      <c r="F313"/>
      <c r="G313"/>
      <c r="H313"/>
      <c r="I313"/>
      <c r="J313"/>
      <c r="K313"/>
      <c r="L313"/>
      <c r="M313"/>
      <c r="N313"/>
      <c r="O313"/>
      <c r="P313"/>
      <c r="Q313"/>
      <c r="R313"/>
      <c r="S313" s="6"/>
      <c r="T313"/>
      <c r="U313" s="320">
        <v>253</v>
      </c>
      <c r="V313" s="349"/>
      <c r="W313" s="348"/>
      <c r="X313"/>
      <c r="Y313"/>
      <c r="Z313"/>
      <c r="AA313"/>
      <c r="AB313"/>
      <c r="AC313"/>
      <c r="AD313"/>
      <c r="AE313"/>
      <c r="AF313"/>
      <c r="AG313"/>
      <c r="AH313"/>
      <c r="AI313"/>
      <c r="AJ313"/>
      <c r="AK313"/>
      <c r="AL313" s="6"/>
      <c r="AM313"/>
      <c r="AN313" s="320">
        <v>253</v>
      </c>
      <c r="AO313" s="349"/>
      <c r="AP313" s="348"/>
      <c r="AQ313"/>
      <c r="AR313"/>
      <c r="AS313"/>
      <c r="AT313"/>
      <c r="AU313"/>
      <c r="AV313"/>
      <c r="AW313"/>
      <c r="AX313"/>
      <c r="AY313"/>
      <c r="AZ313"/>
      <c r="BA313"/>
      <c r="BB313"/>
      <c r="BC313"/>
      <c r="BD313"/>
      <c r="BE313" s="6"/>
      <c r="BF313"/>
      <c r="BG313" s="320">
        <v>253</v>
      </c>
      <c r="BH313" s="349"/>
      <c r="BI313" s="348"/>
      <c r="BJ313"/>
      <c r="BK313"/>
      <c r="BL313"/>
      <c r="BM313"/>
      <c r="BN313"/>
      <c r="BO313"/>
      <c r="BP313"/>
      <c r="BQ313"/>
      <c r="BR313"/>
      <c r="BS313"/>
      <c r="BT313"/>
      <c r="BU313"/>
      <c r="BV313"/>
      <c r="BW313"/>
      <c r="BX313" s="6"/>
    </row>
    <row r="314" spans="1:76">
      <c r="A314"/>
      <c r="B314" s="320">
        <v>254</v>
      </c>
      <c r="C314" s="349"/>
      <c r="D314" s="348"/>
      <c r="E314"/>
      <c r="F314"/>
      <c r="G314"/>
      <c r="H314"/>
      <c r="I314"/>
      <c r="J314"/>
      <c r="K314"/>
      <c r="L314"/>
      <c r="M314"/>
      <c r="N314"/>
      <c r="O314"/>
      <c r="P314"/>
      <c r="Q314"/>
      <c r="R314"/>
      <c r="S314" s="6"/>
      <c r="T314"/>
      <c r="U314" s="320">
        <v>254</v>
      </c>
      <c r="V314" s="349"/>
      <c r="W314" s="348"/>
      <c r="X314"/>
      <c r="Y314"/>
      <c r="Z314"/>
      <c r="AA314"/>
      <c r="AB314"/>
      <c r="AC314"/>
      <c r="AD314"/>
      <c r="AE314"/>
      <c r="AF314"/>
      <c r="AG314"/>
      <c r="AH314"/>
      <c r="AI314"/>
      <c r="AJ314"/>
      <c r="AK314"/>
      <c r="AL314" s="6"/>
      <c r="AM314"/>
      <c r="AN314" s="320">
        <v>254</v>
      </c>
      <c r="AO314" s="349"/>
      <c r="AP314" s="348"/>
      <c r="AQ314"/>
      <c r="AR314"/>
      <c r="AS314"/>
      <c r="AT314"/>
      <c r="AU314"/>
      <c r="AV314"/>
      <c r="AW314"/>
      <c r="AX314"/>
      <c r="AY314"/>
      <c r="AZ314"/>
      <c r="BA314"/>
      <c r="BB314"/>
      <c r="BC314"/>
      <c r="BD314"/>
      <c r="BE314" s="6"/>
      <c r="BF314"/>
      <c r="BG314" s="320">
        <v>254</v>
      </c>
      <c r="BH314" s="349"/>
      <c r="BI314" s="348"/>
      <c r="BJ314"/>
      <c r="BK314"/>
      <c r="BL314"/>
      <c r="BM314"/>
      <c r="BN314"/>
      <c r="BO314"/>
      <c r="BP314"/>
      <c r="BQ314"/>
      <c r="BR314"/>
      <c r="BS314"/>
      <c r="BT314"/>
      <c r="BU314"/>
      <c r="BV314"/>
      <c r="BW314"/>
      <c r="BX314" s="6"/>
    </row>
    <row r="315" spans="1:76">
      <c r="A315"/>
      <c r="B315" s="320">
        <v>255</v>
      </c>
      <c r="C315" s="349"/>
      <c r="D315" s="348"/>
      <c r="E315"/>
      <c r="F315"/>
      <c r="G315"/>
      <c r="H315"/>
      <c r="I315"/>
      <c r="J315"/>
      <c r="K315"/>
      <c r="L315"/>
      <c r="M315"/>
      <c r="N315"/>
      <c r="O315"/>
      <c r="P315"/>
      <c r="Q315"/>
      <c r="R315"/>
      <c r="S315" s="6"/>
      <c r="T315"/>
      <c r="U315" s="320">
        <v>255</v>
      </c>
      <c r="V315" s="349"/>
      <c r="W315" s="348"/>
      <c r="X315"/>
      <c r="Y315"/>
      <c r="Z315"/>
      <c r="AA315"/>
      <c r="AB315"/>
      <c r="AC315"/>
      <c r="AD315"/>
      <c r="AE315"/>
      <c r="AF315"/>
      <c r="AG315"/>
      <c r="AH315"/>
      <c r="AI315"/>
      <c r="AJ315"/>
      <c r="AK315"/>
      <c r="AL315" s="6"/>
      <c r="AM315"/>
      <c r="AN315" s="320">
        <v>255</v>
      </c>
      <c r="AO315" s="349"/>
      <c r="AP315" s="348"/>
      <c r="AQ315"/>
      <c r="AR315"/>
      <c r="AS315"/>
      <c r="AT315"/>
      <c r="AU315"/>
      <c r="AV315"/>
      <c r="AW315"/>
      <c r="AX315"/>
      <c r="AY315"/>
      <c r="AZ315"/>
      <c r="BA315"/>
      <c r="BB315"/>
      <c r="BC315"/>
      <c r="BD315"/>
      <c r="BE315" s="6"/>
      <c r="BF315"/>
      <c r="BG315" s="320">
        <v>255</v>
      </c>
      <c r="BH315" s="349"/>
      <c r="BI315" s="348"/>
      <c r="BJ315"/>
      <c r="BK315"/>
      <c r="BL315"/>
      <c r="BM315"/>
      <c r="BN315"/>
      <c r="BO315"/>
      <c r="BP315"/>
      <c r="BQ315"/>
      <c r="BR315"/>
      <c r="BS315"/>
      <c r="BT315"/>
      <c r="BU315"/>
      <c r="BV315"/>
      <c r="BW315"/>
      <c r="BX315" s="6"/>
    </row>
    <row r="316" spans="1:76">
      <c r="A316"/>
      <c r="B316" s="320">
        <v>256</v>
      </c>
      <c r="C316" s="349"/>
      <c r="D316" s="348"/>
      <c r="E316"/>
      <c r="F316"/>
      <c r="G316"/>
      <c r="H316"/>
      <c r="I316"/>
      <c r="J316"/>
      <c r="K316"/>
      <c r="L316"/>
      <c r="M316"/>
      <c r="N316"/>
      <c r="O316"/>
      <c r="P316"/>
      <c r="Q316"/>
      <c r="R316"/>
      <c r="S316" s="6"/>
      <c r="T316"/>
      <c r="U316" s="320">
        <v>256</v>
      </c>
      <c r="V316" s="349"/>
      <c r="W316" s="348"/>
      <c r="X316"/>
      <c r="Y316"/>
      <c r="Z316"/>
      <c r="AA316"/>
      <c r="AB316"/>
      <c r="AC316"/>
      <c r="AD316"/>
      <c r="AE316"/>
      <c r="AF316"/>
      <c r="AG316"/>
      <c r="AH316"/>
      <c r="AI316"/>
      <c r="AJ316"/>
      <c r="AK316"/>
      <c r="AL316" s="6"/>
      <c r="AM316"/>
      <c r="AN316" s="320">
        <v>256</v>
      </c>
      <c r="AO316" s="349"/>
      <c r="AP316" s="348"/>
      <c r="AQ316"/>
      <c r="AR316"/>
      <c r="AS316"/>
      <c r="AT316"/>
      <c r="AU316"/>
      <c r="AV316"/>
      <c r="AW316"/>
      <c r="AX316"/>
      <c r="AY316"/>
      <c r="AZ316"/>
      <c r="BA316"/>
      <c r="BB316"/>
      <c r="BC316"/>
      <c r="BD316"/>
      <c r="BE316" s="6"/>
      <c r="BF316"/>
      <c r="BG316" s="320">
        <v>256</v>
      </c>
      <c r="BH316" s="349"/>
      <c r="BI316" s="348"/>
      <c r="BJ316"/>
      <c r="BK316"/>
      <c r="BL316"/>
      <c r="BM316"/>
      <c r="BN316"/>
      <c r="BO316"/>
      <c r="BP316"/>
      <c r="BQ316"/>
      <c r="BR316"/>
      <c r="BS316"/>
      <c r="BT316"/>
      <c r="BU316"/>
      <c r="BV316"/>
      <c r="BW316"/>
      <c r="BX316" s="6"/>
    </row>
    <row r="317" spans="1:76">
      <c r="A317"/>
      <c r="B317" s="320">
        <v>257</v>
      </c>
      <c r="C317" s="349"/>
      <c r="D317" s="348"/>
      <c r="E317"/>
      <c r="F317"/>
      <c r="G317"/>
      <c r="H317"/>
      <c r="I317"/>
      <c r="J317"/>
      <c r="K317"/>
      <c r="L317"/>
      <c r="M317"/>
      <c r="N317"/>
      <c r="O317"/>
      <c r="P317"/>
      <c r="Q317"/>
      <c r="R317"/>
      <c r="S317" s="6"/>
      <c r="T317"/>
      <c r="U317" s="320">
        <v>257</v>
      </c>
      <c r="V317" s="349"/>
      <c r="W317" s="348"/>
      <c r="X317"/>
      <c r="Y317"/>
      <c r="Z317"/>
      <c r="AA317"/>
      <c r="AB317"/>
      <c r="AC317"/>
      <c r="AD317"/>
      <c r="AE317"/>
      <c r="AF317"/>
      <c r="AG317"/>
      <c r="AH317"/>
      <c r="AI317"/>
      <c r="AJ317"/>
      <c r="AK317"/>
      <c r="AL317" s="6"/>
      <c r="AM317"/>
      <c r="AN317" s="320">
        <v>257</v>
      </c>
      <c r="AO317" s="349"/>
      <c r="AP317" s="348"/>
      <c r="AQ317"/>
      <c r="AR317"/>
      <c r="AS317"/>
      <c r="AT317"/>
      <c r="AU317"/>
      <c r="AV317"/>
      <c r="AW317"/>
      <c r="AX317"/>
      <c r="AY317"/>
      <c r="AZ317"/>
      <c r="BA317"/>
      <c r="BB317"/>
      <c r="BC317"/>
      <c r="BD317"/>
      <c r="BE317" s="6"/>
      <c r="BF317"/>
      <c r="BG317" s="320">
        <v>257</v>
      </c>
      <c r="BH317" s="349"/>
      <c r="BI317" s="348"/>
      <c r="BJ317"/>
      <c r="BK317"/>
      <c r="BL317"/>
      <c r="BM317"/>
      <c r="BN317"/>
      <c r="BO317"/>
      <c r="BP317"/>
      <c r="BQ317"/>
      <c r="BR317"/>
      <c r="BS317"/>
      <c r="BT317"/>
      <c r="BU317"/>
      <c r="BV317"/>
      <c r="BW317"/>
      <c r="BX317" s="6"/>
    </row>
    <row r="318" spans="1:76">
      <c r="A318"/>
      <c r="B318" s="320">
        <v>258</v>
      </c>
      <c r="C318" s="349"/>
      <c r="D318" s="348"/>
      <c r="E318"/>
      <c r="F318"/>
      <c r="G318"/>
      <c r="H318"/>
      <c r="I318"/>
      <c r="J318"/>
      <c r="K318"/>
      <c r="L318"/>
      <c r="M318"/>
      <c r="N318"/>
      <c r="O318"/>
      <c r="P318"/>
      <c r="Q318"/>
      <c r="R318"/>
      <c r="S318" s="6"/>
      <c r="T318"/>
      <c r="U318" s="320">
        <v>258</v>
      </c>
      <c r="V318" s="349"/>
      <c r="W318" s="348"/>
      <c r="X318"/>
      <c r="Y318"/>
      <c r="Z318"/>
      <c r="AA318"/>
      <c r="AB318"/>
      <c r="AC318"/>
      <c r="AD318"/>
      <c r="AE318"/>
      <c r="AF318"/>
      <c r="AG318"/>
      <c r="AH318"/>
      <c r="AI318"/>
      <c r="AJ318"/>
      <c r="AK318"/>
      <c r="AL318" s="6"/>
      <c r="AM318"/>
      <c r="AN318" s="320">
        <v>258</v>
      </c>
      <c r="AO318" s="349"/>
      <c r="AP318" s="348"/>
      <c r="AQ318"/>
      <c r="AR318"/>
      <c r="AS318"/>
      <c r="AT318"/>
      <c r="AU318"/>
      <c r="AV318"/>
      <c r="AW318"/>
      <c r="AX318"/>
      <c r="AY318"/>
      <c r="AZ318"/>
      <c r="BA318"/>
      <c r="BB318"/>
      <c r="BC318"/>
      <c r="BD318"/>
      <c r="BE318" s="6"/>
      <c r="BF318"/>
      <c r="BG318" s="320">
        <v>258</v>
      </c>
      <c r="BH318" s="349"/>
      <c r="BI318" s="348"/>
      <c r="BJ318"/>
      <c r="BK318"/>
      <c r="BL318"/>
      <c r="BM318"/>
      <c r="BN318"/>
      <c r="BO318"/>
      <c r="BP318"/>
      <c r="BQ318"/>
      <c r="BR318"/>
      <c r="BS318"/>
      <c r="BT318"/>
      <c r="BU318"/>
      <c r="BV318"/>
      <c r="BW318"/>
      <c r="BX318" s="6"/>
    </row>
    <row r="319" spans="1:76">
      <c r="A319"/>
      <c r="B319" s="320">
        <v>259</v>
      </c>
      <c r="C319" s="349"/>
      <c r="D319" s="348"/>
      <c r="E319"/>
      <c r="F319"/>
      <c r="G319"/>
      <c r="H319"/>
      <c r="I319"/>
      <c r="J319"/>
      <c r="K319"/>
      <c r="L319"/>
      <c r="M319"/>
      <c r="N319"/>
      <c r="O319"/>
      <c r="P319"/>
      <c r="Q319"/>
      <c r="R319"/>
      <c r="S319" s="6"/>
      <c r="T319"/>
      <c r="U319" s="320">
        <v>259</v>
      </c>
      <c r="V319" s="349"/>
      <c r="W319" s="348"/>
      <c r="X319"/>
      <c r="Y319"/>
      <c r="Z319"/>
      <c r="AA319"/>
      <c r="AB319"/>
      <c r="AC319"/>
      <c r="AD319"/>
      <c r="AE319"/>
      <c r="AF319"/>
      <c r="AG319"/>
      <c r="AH319"/>
      <c r="AI319"/>
      <c r="AJ319"/>
      <c r="AK319"/>
      <c r="AL319" s="6"/>
      <c r="AM319"/>
      <c r="AN319" s="320">
        <v>259</v>
      </c>
      <c r="AO319" s="349"/>
      <c r="AP319" s="348"/>
      <c r="AQ319"/>
      <c r="AR319"/>
      <c r="AS319"/>
      <c r="AT319"/>
      <c r="AU319"/>
      <c r="AV319"/>
      <c r="AW319"/>
      <c r="AX319"/>
      <c r="AY319"/>
      <c r="AZ319"/>
      <c r="BA319"/>
      <c r="BB319"/>
      <c r="BC319"/>
      <c r="BD319"/>
      <c r="BE319" s="6"/>
      <c r="BF319"/>
      <c r="BG319" s="320">
        <v>259</v>
      </c>
      <c r="BH319" s="349"/>
      <c r="BI319" s="348"/>
      <c r="BJ319"/>
      <c r="BK319"/>
      <c r="BL319"/>
      <c r="BM319"/>
      <c r="BN319"/>
      <c r="BO319"/>
      <c r="BP319"/>
      <c r="BQ319"/>
      <c r="BR319"/>
      <c r="BS319"/>
      <c r="BT319"/>
      <c r="BU319"/>
      <c r="BV319"/>
      <c r="BW319"/>
      <c r="BX319" s="6"/>
    </row>
    <row r="320" spans="1:76">
      <c r="A320"/>
      <c r="B320" s="320">
        <v>260</v>
      </c>
      <c r="C320" s="349"/>
      <c r="D320" s="348"/>
      <c r="E320"/>
      <c r="F320"/>
      <c r="G320"/>
      <c r="H320"/>
      <c r="I320"/>
      <c r="J320"/>
      <c r="K320"/>
      <c r="L320"/>
      <c r="M320"/>
      <c r="N320"/>
      <c r="O320"/>
      <c r="P320"/>
      <c r="Q320"/>
      <c r="R320"/>
      <c r="S320" s="6"/>
      <c r="T320"/>
      <c r="U320" s="320">
        <v>260</v>
      </c>
      <c r="V320" s="349"/>
      <c r="W320" s="348"/>
      <c r="X320"/>
      <c r="Y320"/>
      <c r="Z320"/>
      <c r="AA320"/>
      <c r="AB320"/>
      <c r="AC320"/>
      <c r="AD320"/>
      <c r="AE320"/>
      <c r="AF320"/>
      <c r="AG320"/>
      <c r="AH320"/>
      <c r="AI320"/>
      <c r="AJ320"/>
      <c r="AK320"/>
      <c r="AL320" s="6"/>
      <c r="AM320"/>
      <c r="AN320" s="320">
        <v>260</v>
      </c>
      <c r="AO320" s="349"/>
      <c r="AP320" s="348"/>
      <c r="AQ320"/>
      <c r="AR320"/>
      <c r="AS320"/>
      <c r="AT320"/>
      <c r="AU320"/>
      <c r="AV320"/>
      <c r="AW320"/>
      <c r="AX320"/>
      <c r="AY320"/>
      <c r="AZ320"/>
      <c r="BA320"/>
      <c r="BB320"/>
      <c r="BC320"/>
      <c r="BD320"/>
      <c r="BE320" s="6"/>
      <c r="BF320"/>
      <c r="BG320" s="320">
        <v>260</v>
      </c>
      <c r="BH320" s="349"/>
      <c r="BI320" s="348"/>
      <c r="BJ320"/>
      <c r="BK320"/>
      <c r="BL320"/>
      <c r="BM320"/>
      <c r="BN320"/>
      <c r="BO320"/>
      <c r="BP320"/>
      <c r="BQ320"/>
      <c r="BR320"/>
      <c r="BS320"/>
      <c r="BT320"/>
      <c r="BU320"/>
      <c r="BV320"/>
      <c r="BW320"/>
      <c r="BX320" s="6"/>
    </row>
    <row r="321" spans="1:76">
      <c r="A321"/>
      <c r="B321" s="320">
        <v>261</v>
      </c>
      <c r="C321" s="349"/>
      <c r="D321" s="348"/>
      <c r="E321"/>
      <c r="F321"/>
      <c r="G321"/>
      <c r="H321"/>
      <c r="I321"/>
      <c r="J321"/>
      <c r="K321"/>
      <c r="L321"/>
      <c r="M321"/>
      <c r="N321"/>
      <c r="O321"/>
      <c r="P321"/>
      <c r="Q321"/>
      <c r="R321"/>
      <c r="S321" s="6"/>
      <c r="T321"/>
      <c r="U321" s="320">
        <v>261</v>
      </c>
      <c r="V321" s="349"/>
      <c r="W321" s="348"/>
      <c r="X321"/>
      <c r="Y321"/>
      <c r="Z321"/>
      <c r="AA321"/>
      <c r="AB321"/>
      <c r="AC321"/>
      <c r="AD321"/>
      <c r="AE321"/>
      <c r="AF321"/>
      <c r="AG321"/>
      <c r="AH321"/>
      <c r="AI321"/>
      <c r="AJ321"/>
      <c r="AK321"/>
      <c r="AL321" s="6"/>
      <c r="AM321"/>
      <c r="AN321" s="320">
        <v>261</v>
      </c>
      <c r="AO321" s="349"/>
      <c r="AP321" s="348"/>
      <c r="AQ321"/>
      <c r="AR321"/>
      <c r="AS321"/>
      <c r="AT321"/>
      <c r="AU321"/>
      <c r="AV321"/>
      <c r="AW321"/>
      <c r="AX321"/>
      <c r="AY321"/>
      <c r="AZ321"/>
      <c r="BA321"/>
      <c r="BB321"/>
      <c r="BC321"/>
      <c r="BD321"/>
      <c r="BE321" s="6"/>
      <c r="BF321"/>
      <c r="BG321" s="320">
        <v>261</v>
      </c>
      <c r="BH321" s="349"/>
      <c r="BI321" s="348"/>
      <c r="BJ321"/>
      <c r="BK321"/>
      <c r="BL321"/>
      <c r="BM321"/>
      <c r="BN321"/>
      <c r="BO321"/>
      <c r="BP321"/>
      <c r="BQ321"/>
      <c r="BR321"/>
      <c r="BS321"/>
      <c r="BT321"/>
      <c r="BU321"/>
      <c r="BV321"/>
      <c r="BW321"/>
      <c r="BX321" s="6"/>
    </row>
    <row r="322" spans="1:76">
      <c r="A322"/>
      <c r="B322" s="320">
        <v>262</v>
      </c>
      <c r="C322" s="349"/>
      <c r="D322" s="348"/>
      <c r="E322"/>
      <c r="F322"/>
      <c r="G322"/>
      <c r="H322"/>
      <c r="I322"/>
      <c r="J322"/>
      <c r="K322"/>
      <c r="L322"/>
      <c r="M322"/>
      <c r="N322"/>
      <c r="O322"/>
      <c r="P322"/>
      <c r="Q322"/>
      <c r="R322"/>
      <c r="S322" s="6"/>
      <c r="T322"/>
      <c r="U322" s="320">
        <v>262</v>
      </c>
      <c r="V322" s="349"/>
      <c r="W322" s="348"/>
      <c r="X322"/>
      <c r="Y322"/>
      <c r="Z322"/>
      <c r="AA322"/>
      <c r="AB322"/>
      <c r="AC322"/>
      <c r="AD322"/>
      <c r="AE322"/>
      <c r="AF322"/>
      <c r="AG322"/>
      <c r="AH322"/>
      <c r="AI322"/>
      <c r="AJ322"/>
      <c r="AK322"/>
      <c r="AL322" s="6"/>
      <c r="AM322"/>
      <c r="AN322" s="320">
        <v>262</v>
      </c>
      <c r="AO322" s="349"/>
      <c r="AP322" s="348"/>
      <c r="AQ322"/>
      <c r="AR322"/>
      <c r="AS322"/>
      <c r="AT322"/>
      <c r="AU322"/>
      <c r="AV322"/>
      <c r="AW322"/>
      <c r="AX322"/>
      <c r="AY322"/>
      <c r="AZ322"/>
      <c r="BA322"/>
      <c r="BB322"/>
      <c r="BC322"/>
      <c r="BD322"/>
      <c r="BE322" s="6"/>
      <c r="BF322"/>
      <c r="BG322" s="320">
        <v>262</v>
      </c>
      <c r="BH322" s="349"/>
      <c r="BI322" s="348"/>
      <c r="BJ322"/>
      <c r="BK322"/>
      <c r="BL322"/>
      <c r="BM322"/>
      <c r="BN322"/>
      <c r="BO322"/>
      <c r="BP322"/>
      <c r="BQ322"/>
      <c r="BR322"/>
      <c r="BS322"/>
      <c r="BT322"/>
      <c r="BU322"/>
      <c r="BV322"/>
      <c r="BW322"/>
      <c r="BX322" s="6"/>
    </row>
    <row r="323" spans="1:76">
      <c r="A323"/>
      <c r="B323" s="320">
        <v>263</v>
      </c>
      <c r="C323" s="349"/>
      <c r="D323" s="348"/>
      <c r="E323"/>
      <c r="F323"/>
      <c r="G323"/>
      <c r="H323"/>
      <c r="I323"/>
      <c r="J323"/>
      <c r="K323"/>
      <c r="L323"/>
      <c r="M323"/>
      <c r="N323"/>
      <c r="O323"/>
      <c r="P323"/>
      <c r="Q323"/>
      <c r="R323"/>
      <c r="S323" s="6"/>
      <c r="T323"/>
      <c r="U323" s="320">
        <v>263</v>
      </c>
      <c r="V323" s="349"/>
      <c r="W323" s="348"/>
      <c r="X323"/>
      <c r="Y323"/>
      <c r="Z323"/>
      <c r="AA323"/>
      <c r="AB323"/>
      <c r="AC323"/>
      <c r="AD323"/>
      <c r="AE323"/>
      <c r="AF323"/>
      <c r="AG323"/>
      <c r="AH323"/>
      <c r="AI323"/>
      <c r="AJ323"/>
      <c r="AK323"/>
      <c r="AL323" s="6"/>
      <c r="AM323"/>
      <c r="AN323" s="320">
        <v>263</v>
      </c>
      <c r="AO323" s="349"/>
      <c r="AP323" s="348"/>
      <c r="AQ323"/>
      <c r="AR323"/>
      <c r="AS323"/>
      <c r="AT323"/>
      <c r="AU323"/>
      <c r="AV323"/>
      <c r="AW323"/>
      <c r="AX323"/>
      <c r="AY323"/>
      <c r="AZ323"/>
      <c r="BA323"/>
      <c r="BB323"/>
      <c r="BC323"/>
      <c r="BD323"/>
      <c r="BE323" s="6"/>
      <c r="BF323"/>
      <c r="BG323" s="320">
        <v>263</v>
      </c>
      <c r="BH323" s="349"/>
      <c r="BI323" s="348"/>
      <c r="BJ323"/>
      <c r="BK323"/>
      <c r="BL323"/>
      <c r="BM323"/>
      <c r="BN323"/>
      <c r="BO323"/>
      <c r="BP323"/>
      <c r="BQ323"/>
      <c r="BR323"/>
      <c r="BS323"/>
      <c r="BT323"/>
      <c r="BU323"/>
      <c r="BV323"/>
      <c r="BW323"/>
      <c r="BX323" s="6"/>
    </row>
    <row r="324" spans="1:76">
      <c r="A324"/>
      <c r="B324" s="320">
        <v>264</v>
      </c>
      <c r="C324" s="349"/>
      <c r="D324" s="348"/>
      <c r="E324"/>
      <c r="F324"/>
      <c r="G324"/>
      <c r="H324"/>
      <c r="I324"/>
      <c r="J324"/>
      <c r="K324"/>
      <c r="L324"/>
      <c r="M324"/>
      <c r="N324"/>
      <c r="O324"/>
      <c r="P324"/>
      <c r="Q324"/>
      <c r="R324"/>
      <c r="S324" s="6"/>
      <c r="T324"/>
      <c r="U324" s="320">
        <v>264</v>
      </c>
      <c r="V324" s="349"/>
      <c r="W324" s="348"/>
      <c r="X324"/>
      <c r="Y324"/>
      <c r="Z324"/>
      <c r="AA324"/>
      <c r="AB324"/>
      <c r="AC324"/>
      <c r="AD324"/>
      <c r="AE324"/>
      <c r="AF324"/>
      <c r="AG324"/>
      <c r="AH324"/>
      <c r="AI324"/>
      <c r="AJ324"/>
      <c r="AK324"/>
      <c r="AL324" s="6"/>
      <c r="AM324"/>
      <c r="AN324" s="320">
        <v>264</v>
      </c>
      <c r="AO324" s="349"/>
      <c r="AP324" s="348"/>
      <c r="AQ324"/>
      <c r="AR324"/>
      <c r="AS324"/>
      <c r="AT324"/>
      <c r="AU324"/>
      <c r="AV324"/>
      <c r="AW324"/>
      <c r="AX324"/>
      <c r="AY324"/>
      <c r="AZ324"/>
      <c r="BA324"/>
      <c r="BB324"/>
      <c r="BC324"/>
      <c r="BD324"/>
      <c r="BE324" s="6"/>
      <c r="BF324"/>
      <c r="BG324" s="320">
        <v>264</v>
      </c>
      <c r="BH324" s="349"/>
      <c r="BI324" s="348"/>
      <c r="BJ324"/>
      <c r="BK324"/>
      <c r="BL324"/>
      <c r="BM324"/>
      <c r="BN324"/>
      <c r="BO324"/>
      <c r="BP324"/>
      <c r="BQ324"/>
      <c r="BR324"/>
      <c r="BS324"/>
      <c r="BT324"/>
      <c r="BU324"/>
      <c r="BV324"/>
      <c r="BW324"/>
      <c r="BX324" s="6"/>
    </row>
    <row r="325" spans="1:76">
      <c r="A325"/>
      <c r="B325" s="320">
        <v>265</v>
      </c>
      <c r="C325" s="349"/>
      <c r="D325" s="348"/>
      <c r="E325"/>
      <c r="F325"/>
      <c r="G325"/>
      <c r="H325"/>
      <c r="I325"/>
      <c r="J325"/>
      <c r="K325"/>
      <c r="L325"/>
      <c r="M325"/>
      <c r="N325"/>
      <c r="O325"/>
      <c r="P325"/>
      <c r="Q325"/>
      <c r="R325"/>
      <c r="S325" s="6"/>
      <c r="T325"/>
      <c r="U325" s="320">
        <v>265</v>
      </c>
      <c r="V325" s="349"/>
      <c r="W325" s="348"/>
      <c r="X325"/>
      <c r="Y325"/>
      <c r="Z325"/>
      <c r="AA325"/>
      <c r="AB325"/>
      <c r="AC325"/>
      <c r="AD325"/>
      <c r="AE325"/>
      <c r="AF325"/>
      <c r="AG325"/>
      <c r="AH325"/>
      <c r="AI325"/>
      <c r="AJ325"/>
      <c r="AK325"/>
      <c r="AL325" s="6"/>
      <c r="AM325"/>
      <c r="AN325" s="320">
        <v>265</v>
      </c>
      <c r="AO325" s="349"/>
      <c r="AP325" s="348"/>
      <c r="AQ325"/>
      <c r="AR325"/>
      <c r="AS325"/>
      <c r="AT325"/>
      <c r="AU325"/>
      <c r="AV325"/>
      <c r="AW325"/>
      <c r="AX325"/>
      <c r="AY325"/>
      <c r="AZ325"/>
      <c r="BA325"/>
      <c r="BB325"/>
      <c r="BC325"/>
      <c r="BD325"/>
      <c r="BE325" s="6"/>
      <c r="BF325"/>
      <c r="BG325" s="320">
        <v>265</v>
      </c>
      <c r="BH325" s="349"/>
      <c r="BI325" s="348"/>
      <c r="BJ325"/>
      <c r="BK325"/>
      <c r="BL325"/>
      <c r="BM325"/>
      <c r="BN325"/>
      <c r="BO325"/>
      <c r="BP325"/>
      <c r="BQ325"/>
      <c r="BR325"/>
      <c r="BS325"/>
      <c r="BT325"/>
      <c r="BU325"/>
      <c r="BV325"/>
      <c r="BW325"/>
      <c r="BX325" s="6"/>
    </row>
    <row r="326" spans="1:76">
      <c r="A326"/>
      <c r="B326" s="320">
        <v>266</v>
      </c>
      <c r="C326" s="349"/>
      <c r="D326" s="348"/>
      <c r="E326"/>
      <c r="F326"/>
      <c r="G326"/>
      <c r="H326"/>
      <c r="I326"/>
      <c r="J326"/>
      <c r="K326"/>
      <c r="L326"/>
      <c r="M326"/>
      <c r="N326"/>
      <c r="O326"/>
      <c r="P326"/>
      <c r="Q326"/>
      <c r="R326"/>
      <c r="S326" s="6"/>
      <c r="T326"/>
      <c r="U326" s="320">
        <v>266</v>
      </c>
      <c r="V326" s="349"/>
      <c r="W326" s="348"/>
      <c r="X326"/>
      <c r="Y326"/>
      <c r="Z326"/>
      <c r="AA326"/>
      <c r="AB326"/>
      <c r="AC326"/>
      <c r="AD326"/>
      <c r="AE326"/>
      <c r="AF326"/>
      <c r="AG326"/>
      <c r="AH326"/>
      <c r="AI326"/>
      <c r="AJ326"/>
      <c r="AK326"/>
      <c r="AL326" s="6"/>
      <c r="AM326"/>
      <c r="AN326" s="320">
        <v>266</v>
      </c>
      <c r="AO326" s="349"/>
      <c r="AP326" s="348"/>
      <c r="AQ326"/>
      <c r="AR326"/>
      <c r="AS326"/>
      <c r="AT326"/>
      <c r="AU326"/>
      <c r="AV326"/>
      <c r="AW326"/>
      <c r="AX326"/>
      <c r="AY326"/>
      <c r="AZ326"/>
      <c r="BA326"/>
      <c r="BB326"/>
      <c r="BC326"/>
      <c r="BD326"/>
      <c r="BE326" s="6"/>
      <c r="BF326"/>
      <c r="BG326" s="320">
        <v>266</v>
      </c>
      <c r="BH326" s="349"/>
      <c r="BI326" s="348"/>
      <c r="BJ326"/>
      <c r="BK326"/>
      <c r="BL326"/>
      <c r="BM326"/>
      <c r="BN326"/>
      <c r="BO326"/>
      <c r="BP326"/>
      <c r="BQ326"/>
      <c r="BR326"/>
      <c r="BS326"/>
      <c r="BT326"/>
      <c r="BU326"/>
      <c r="BV326"/>
      <c r="BW326"/>
      <c r="BX326" s="6"/>
    </row>
    <row r="327" spans="1:76">
      <c r="A327"/>
      <c r="B327" s="320">
        <v>267</v>
      </c>
      <c r="C327" s="349"/>
      <c r="D327" s="348"/>
      <c r="E327"/>
      <c r="F327"/>
      <c r="G327"/>
      <c r="H327"/>
      <c r="I327"/>
      <c r="J327"/>
      <c r="K327"/>
      <c r="L327"/>
      <c r="M327"/>
      <c r="N327"/>
      <c r="O327"/>
      <c r="P327"/>
      <c r="Q327"/>
      <c r="R327"/>
      <c r="S327" s="6"/>
      <c r="T327"/>
      <c r="U327" s="320">
        <v>267</v>
      </c>
      <c r="V327" s="349"/>
      <c r="W327" s="348"/>
      <c r="X327"/>
      <c r="Y327"/>
      <c r="Z327"/>
      <c r="AA327"/>
      <c r="AB327"/>
      <c r="AC327"/>
      <c r="AD327"/>
      <c r="AE327"/>
      <c r="AF327"/>
      <c r="AG327"/>
      <c r="AH327"/>
      <c r="AI327"/>
      <c r="AJ327"/>
      <c r="AK327"/>
      <c r="AL327" s="6"/>
      <c r="AM327"/>
      <c r="AN327" s="320">
        <v>267</v>
      </c>
      <c r="AO327" s="349"/>
      <c r="AP327" s="348"/>
      <c r="AQ327"/>
      <c r="AR327"/>
      <c r="AS327"/>
      <c r="AT327"/>
      <c r="AU327"/>
      <c r="AV327"/>
      <c r="AW327"/>
      <c r="AX327"/>
      <c r="AY327"/>
      <c r="AZ327"/>
      <c r="BA327"/>
      <c r="BB327"/>
      <c r="BC327"/>
      <c r="BD327"/>
      <c r="BE327" s="6"/>
      <c r="BF327"/>
      <c r="BG327" s="320">
        <v>267</v>
      </c>
      <c r="BH327" s="349"/>
      <c r="BI327" s="348"/>
      <c r="BJ327"/>
      <c r="BK327"/>
      <c r="BL327"/>
      <c r="BM327"/>
      <c r="BN327"/>
      <c r="BO327"/>
      <c r="BP327"/>
      <c r="BQ327"/>
      <c r="BR327"/>
      <c r="BS327"/>
      <c r="BT327"/>
      <c r="BU327"/>
      <c r="BV327"/>
      <c r="BW327"/>
      <c r="BX327" s="6"/>
    </row>
    <row r="328" spans="1:76">
      <c r="A328"/>
      <c r="B328" s="320">
        <v>268</v>
      </c>
      <c r="C328" s="349"/>
      <c r="D328" s="348"/>
      <c r="E328"/>
      <c r="F328"/>
      <c r="G328"/>
      <c r="H328"/>
      <c r="I328"/>
      <c r="J328"/>
      <c r="K328"/>
      <c r="L328"/>
      <c r="M328"/>
      <c r="N328"/>
      <c r="O328"/>
      <c r="P328"/>
      <c r="Q328"/>
      <c r="R328"/>
      <c r="S328" s="6"/>
      <c r="T328"/>
      <c r="U328" s="320">
        <v>268</v>
      </c>
      <c r="V328" s="349"/>
      <c r="W328" s="348"/>
      <c r="X328"/>
      <c r="Y328"/>
      <c r="Z328"/>
      <c r="AA328"/>
      <c r="AB328"/>
      <c r="AC328"/>
      <c r="AD328"/>
      <c r="AE328"/>
      <c r="AF328"/>
      <c r="AG328"/>
      <c r="AH328"/>
      <c r="AI328"/>
      <c r="AJ328"/>
      <c r="AK328"/>
      <c r="AL328" s="6"/>
      <c r="AM328"/>
      <c r="AN328" s="320">
        <v>268</v>
      </c>
      <c r="AO328" s="349"/>
      <c r="AP328" s="348"/>
      <c r="AQ328"/>
      <c r="AR328"/>
      <c r="AS328"/>
      <c r="AT328"/>
      <c r="AU328"/>
      <c r="AV328"/>
      <c r="AW328"/>
      <c r="AX328"/>
      <c r="AY328"/>
      <c r="AZ328"/>
      <c r="BA328"/>
      <c r="BB328"/>
      <c r="BC328"/>
      <c r="BD328"/>
      <c r="BE328" s="6"/>
      <c r="BF328"/>
      <c r="BG328" s="320">
        <v>268</v>
      </c>
      <c r="BH328" s="349"/>
      <c r="BI328" s="348"/>
      <c r="BJ328"/>
      <c r="BK328"/>
      <c r="BL328"/>
      <c r="BM328"/>
      <c r="BN328"/>
      <c r="BO328"/>
      <c r="BP328"/>
      <c r="BQ328"/>
      <c r="BR328"/>
      <c r="BS328"/>
      <c r="BT328"/>
      <c r="BU328"/>
      <c r="BV328"/>
      <c r="BW328"/>
      <c r="BX328" s="6"/>
    </row>
    <row r="329" spans="1:76">
      <c r="A329"/>
      <c r="B329" s="320">
        <v>269</v>
      </c>
      <c r="C329" s="349"/>
      <c r="D329" s="348"/>
      <c r="E329"/>
      <c r="F329"/>
      <c r="G329"/>
      <c r="H329"/>
      <c r="I329"/>
      <c r="J329"/>
      <c r="K329"/>
      <c r="L329"/>
      <c r="M329"/>
      <c r="N329"/>
      <c r="O329"/>
      <c r="P329"/>
      <c r="Q329"/>
      <c r="R329"/>
      <c r="S329" s="6"/>
      <c r="T329"/>
      <c r="U329" s="320">
        <v>269</v>
      </c>
      <c r="V329" s="349"/>
      <c r="W329" s="348"/>
      <c r="X329"/>
      <c r="Y329"/>
      <c r="Z329"/>
      <c r="AA329"/>
      <c r="AB329"/>
      <c r="AC329"/>
      <c r="AD329"/>
      <c r="AE329"/>
      <c r="AF329"/>
      <c r="AG329"/>
      <c r="AH329"/>
      <c r="AI329"/>
      <c r="AJ329"/>
      <c r="AK329"/>
      <c r="AL329" s="6"/>
      <c r="AM329"/>
      <c r="AN329" s="320">
        <v>269</v>
      </c>
      <c r="AO329" s="349"/>
      <c r="AP329" s="348"/>
      <c r="AQ329"/>
      <c r="AR329"/>
      <c r="AS329"/>
      <c r="AT329"/>
      <c r="AU329"/>
      <c r="AV329"/>
      <c r="AW329"/>
      <c r="AX329"/>
      <c r="AY329"/>
      <c r="AZ329"/>
      <c r="BA329"/>
      <c r="BB329"/>
      <c r="BC329"/>
      <c r="BD329"/>
      <c r="BE329" s="6"/>
      <c r="BF329"/>
      <c r="BG329" s="320">
        <v>269</v>
      </c>
      <c r="BH329" s="349"/>
      <c r="BI329" s="348"/>
      <c r="BJ329"/>
      <c r="BK329"/>
      <c r="BL329"/>
      <c r="BM329"/>
      <c r="BN329"/>
      <c r="BO329"/>
      <c r="BP329"/>
      <c r="BQ329"/>
      <c r="BR329"/>
      <c r="BS329"/>
      <c r="BT329"/>
      <c r="BU329"/>
      <c r="BV329"/>
      <c r="BW329"/>
      <c r="BX329" s="6"/>
    </row>
    <row r="330" spans="1:76">
      <c r="A330"/>
      <c r="B330" s="320">
        <v>270</v>
      </c>
      <c r="C330" s="349"/>
      <c r="D330" s="348"/>
      <c r="E330"/>
      <c r="F330"/>
      <c r="G330"/>
      <c r="H330"/>
      <c r="I330"/>
      <c r="J330"/>
      <c r="K330"/>
      <c r="L330"/>
      <c r="M330"/>
      <c r="N330"/>
      <c r="O330"/>
      <c r="P330"/>
      <c r="Q330"/>
      <c r="R330"/>
      <c r="S330" s="6"/>
      <c r="T330"/>
      <c r="U330" s="320">
        <v>270</v>
      </c>
      <c r="V330" s="349"/>
      <c r="W330" s="348"/>
      <c r="X330"/>
      <c r="Y330"/>
      <c r="Z330"/>
      <c r="AA330"/>
      <c r="AB330"/>
      <c r="AC330"/>
      <c r="AD330"/>
      <c r="AE330"/>
      <c r="AF330"/>
      <c r="AG330"/>
      <c r="AH330"/>
      <c r="AI330"/>
      <c r="AJ330"/>
      <c r="AK330"/>
      <c r="AL330" s="6"/>
      <c r="AM330"/>
      <c r="AN330" s="320">
        <v>270</v>
      </c>
      <c r="AO330" s="349"/>
      <c r="AP330" s="348"/>
      <c r="AQ330"/>
      <c r="AR330"/>
      <c r="AS330"/>
      <c r="AT330"/>
      <c r="AU330"/>
      <c r="AV330"/>
      <c r="AW330"/>
      <c r="AX330"/>
      <c r="AY330"/>
      <c r="AZ330"/>
      <c r="BA330"/>
      <c r="BB330"/>
      <c r="BC330"/>
      <c r="BD330"/>
      <c r="BE330" s="6"/>
      <c r="BF330"/>
      <c r="BG330" s="320">
        <v>270</v>
      </c>
      <c r="BH330" s="349"/>
      <c r="BI330" s="348"/>
      <c r="BJ330"/>
      <c r="BK330"/>
      <c r="BL330"/>
      <c r="BM330"/>
      <c r="BN330"/>
      <c r="BO330"/>
      <c r="BP330"/>
      <c r="BQ330"/>
      <c r="BR330"/>
      <c r="BS330"/>
      <c r="BT330"/>
      <c r="BU330"/>
      <c r="BV330"/>
      <c r="BW330"/>
      <c r="BX330" s="6"/>
    </row>
    <row r="331" spans="1:76">
      <c r="A331"/>
      <c r="B331" s="320">
        <v>271</v>
      </c>
      <c r="C331" s="349"/>
      <c r="D331" s="348"/>
      <c r="E331"/>
      <c r="F331"/>
      <c r="G331"/>
      <c r="H331"/>
      <c r="I331"/>
      <c r="J331"/>
      <c r="K331"/>
      <c r="L331"/>
      <c r="M331"/>
      <c r="N331"/>
      <c r="O331"/>
      <c r="P331"/>
      <c r="Q331"/>
      <c r="R331"/>
      <c r="S331" s="6"/>
      <c r="T331"/>
      <c r="U331" s="320">
        <v>271</v>
      </c>
      <c r="V331" s="349"/>
      <c r="W331" s="348"/>
      <c r="X331"/>
      <c r="Y331"/>
      <c r="Z331"/>
      <c r="AA331"/>
      <c r="AB331"/>
      <c r="AC331"/>
      <c r="AD331"/>
      <c r="AE331"/>
      <c r="AF331"/>
      <c r="AG331"/>
      <c r="AH331"/>
      <c r="AI331"/>
      <c r="AJ331"/>
      <c r="AK331"/>
      <c r="AL331" s="6"/>
      <c r="AM331"/>
      <c r="AN331" s="320">
        <v>271</v>
      </c>
      <c r="AO331" s="349"/>
      <c r="AP331" s="348"/>
      <c r="AQ331"/>
      <c r="AR331"/>
      <c r="AS331"/>
      <c r="AT331"/>
      <c r="AU331"/>
      <c r="AV331"/>
      <c r="AW331"/>
      <c r="AX331"/>
      <c r="AY331"/>
      <c r="AZ331"/>
      <c r="BA331"/>
      <c r="BB331"/>
      <c r="BC331"/>
      <c r="BD331"/>
      <c r="BE331" s="6"/>
      <c r="BF331"/>
      <c r="BG331" s="320">
        <v>271</v>
      </c>
      <c r="BH331" s="349"/>
      <c r="BI331" s="348"/>
      <c r="BJ331"/>
      <c r="BK331"/>
      <c r="BL331"/>
      <c r="BM331"/>
      <c r="BN331"/>
      <c r="BO331"/>
      <c r="BP331"/>
      <c r="BQ331"/>
      <c r="BR331"/>
      <c r="BS331"/>
      <c r="BT331"/>
      <c r="BU331"/>
      <c r="BV331"/>
      <c r="BW331"/>
      <c r="BX331" s="6"/>
    </row>
    <row r="332" spans="1:76">
      <c r="A332"/>
      <c r="B332" s="320">
        <v>272</v>
      </c>
      <c r="C332" s="349"/>
      <c r="D332" s="348"/>
      <c r="E332"/>
      <c r="F332"/>
      <c r="G332"/>
      <c r="H332"/>
      <c r="I332"/>
      <c r="J332"/>
      <c r="K332"/>
      <c r="L332"/>
      <c r="M332"/>
      <c r="N332"/>
      <c r="O332"/>
      <c r="P332"/>
      <c r="Q332"/>
      <c r="R332"/>
      <c r="S332" s="6"/>
      <c r="T332"/>
      <c r="U332" s="320">
        <v>272</v>
      </c>
      <c r="V332" s="349"/>
      <c r="W332" s="348"/>
      <c r="X332"/>
      <c r="Y332"/>
      <c r="Z332"/>
      <c r="AA332"/>
      <c r="AB332"/>
      <c r="AC332"/>
      <c r="AD332"/>
      <c r="AE332"/>
      <c r="AF332"/>
      <c r="AG332"/>
      <c r="AH332"/>
      <c r="AI332"/>
      <c r="AJ332"/>
      <c r="AK332"/>
      <c r="AL332" s="6"/>
      <c r="AM332"/>
      <c r="AN332" s="320">
        <v>272</v>
      </c>
      <c r="AO332" s="349"/>
      <c r="AP332" s="348"/>
      <c r="AQ332"/>
      <c r="AR332"/>
      <c r="AS332"/>
      <c r="AT332"/>
      <c r="AU332"/>
      <c r="AV332"/>
      <c r="AW332"/>
      <c r="AX332"/>
      <c r="AY332"/>
      <c r="AZ332"/>
      <c r="BA332"/>
      <c r="BB332"/>
      <c r="BC332"/>
      <c r="BD332"/>
      <c r="BE332" s="6"/>
      <c r="BF332"/>
      <c r="BG332" s="320">
        <v>272</v>
      </c>
      <c r="BH332" s="349"/>
      <c r="BI332" s="348"/>
      <c r="BJ332"/>
      <c r="BK332"/>
      <c r="BL332"/>
      <c r="BM332"/>
      <c r="BN332"/>
      <c r="BO332"/>
      <c r="BP332"/>
      <c r="BQ332"/>
      <c r="BR332"/>
      <c r="BS332"/>
      <c r="BT332"/>
      <c r="BU332"/>
      <c r="BV332"/>
      <c r="BW332"/>
      <c r="BX332" s="6"/>
    </row>
    <row r="333" spans="1:76">
      <c r="A333"/>
      <c r="B333" s="320">
        <v>273</v>
      </c>
      <c r="C333" s="349"/>
      <c r="D333" s="348"/>
      <c r="E333"/>
      <c r="F333"/>
      <c r="G333"/>
      <c r="H333"/>
      <c r="I333"/>
      <c r="J333"/>
      <c r="K333"/>
      <c r="L333"/>
      <c r="M333"/>
      <c r="N333"/>
      <c r="O333"/>
      <c r="P333"/>
      <c r="Q333"/>
      <c r="R333"/>
      <c r="S333" s="6"/>
      <c r="T333"/>
      <c r="U333" s="320">
        <v>273</v>
      </c>
      <c r="V333" s="349"/>
      <c r="W333" s="348"/>
      <c r="X333"/>
      <c r="Y333"/>
      <c r="Z333"/>
      <c r="AA333"/>
      <c r="AB333"/>
      <c r="AC333"/>
      <c r="AD333"/>
      <c r="AE333"/>
      <c r="AF333"/>
      <c r="AG333"/>
      <c r="AH333"/>
      <c r="AI333"/>
      <c r="AJ333"/>
      <c r="AK333"/>
      <c r="AL333" s="6"/>
      <c r="AM333"/>
      <c r="AN333" s="320">
        <v>273</v>
      </c>
      <c r="AO333" s="349"/>
      <c r="AP333" s="348"/>
      <c r="AQ333"/>
      <c r="AR333"/>
      <c r="AS333"/>
      <c r="AT333"/>
      <c r="AU333"/>
      <c r="AV333"/>
      <c r="AW333"/>
      <c r="AX333"/>
      <c r="AY333"/>
      <c r="AZ333"/>
      <c r="BA333"/>
      <c r="BB333"/>
      <c r="BC333"/>
      <c r="BD333"/>
      <c r="BE333" s="6"/>
      <c r="BF333"/>
      <c r="BG333" s="320">
        <v>273</v>
      </c>
      <c r="BH333" s="349"/>
      <c r="BI333" s="348"/>
      <c r="BJ333"/>
      <c r="BK333"/>
      <c r="BL333"/>
      <c r="BM333"/>
      <c r="BN333"/>
      <c r="BO333"/>
      <c r="BP333"/>
      <c r="BQ333"/>
      <c r="BR333"/>
      <c r="BS333"/>
      <c r="BT333"/>
      <c r="BU333"/>
      <c r="BV333"/>
      <c r="BW333"/>
      <c r="BX333" s="6"/>
    </row>
    <row r="334" spans="1:76">
      <c r="A334"/>
      <c r="B334" s="320">
        <v>274</v>
      </c>
      <c r="C334" s="349"/>
      <c r="D334" s="348"/>
      <c r="E334"/>
      <c r="F334"/>
      <c r="G334"/>
      <c r="H334"/>
      <c r="I334"/>
      <c r="J334"/>
      <c r="K334"/>
      <c r="L334"/>
      <c r="M334"/>
      <c r="N334"/>
      <c r="O334"/>
      <c r="P334"/>
      <c r="Q334"/>
      <c r="R334"/>
      <c r="S334" s="6"/>
      <c r="T334"/>
      <c r="U334" s="320">
        <v>274</v>
      </c>
      <c r="V334" s="349"/>
      <c r="W334" s="348"/>
      <c r="X334"/>
      <c r="Y334"/>
      <c r="Z334"/>
      <c r="AA334"/>
      <c r="AB334"/>
      <c r="AC334"/>
      <c r="AD334"/>
      <c r="AE334"/>
      <c r="AF334"/>
      <c r="AG334"/>
      <c r="AH334"/>
      <c r="AI334"/>
      <c r="AJ334"/>
      <c r="AK334"/>
      <c r="AL334" s="6"/>
      <c r="AM334"/>
      <c r="AN334" s="320">
        <v>274</v>
      </c>
      <c r="AO334" s="349"/>
      <c r="AP334" s="348"/>
      <c r="AQ334"/>
      <c r="AR334"/>
      <c r="AS334"/>
      <c r="AT334"/>
      <c r="AU334"/>
      <c r="AV334"/>
      <c r="AW334"/>
      <c r="AX334"/>
      <c r="AY334"/>
      <c r="AZ334"/>
      <c r="BA334"/>
      <c r="BB334"/>
      <c r="BC334"/>
      <c r="BD334"/>
      <c r="BE334" s="6"/>
      <c r="BF334"/>
      <c r="BG334" s="320">
        <v>274</v>
      </c>
      <c r="BH334" s="349"/>
      <c r="BI334" s="348"/>
      <c r="BJ334"/>
      <c r="BK334"/>
      <c r="BL334"/>
      <c r="BM334"/>
      <c r="BN334"/>
      <c r="BO334"/>
      <c r="BP334"/>
      <c r="BQ334"/>
      <c r="BR334"/>
      <c r="BS334"/>
      <c r="BT334"/>
      <c r="BU334"/>
      <c r="BV334"/>
      <c r="BW334"/>
      <c r="BX334" s="6"/>
    </row>
    <row r="335" spans="1:76">
      <c r="A335"/>
      <c r="B335" s="320">
        <v>275</v>
      </c>
      <c r="C335" s="349"/>
      <c r="D335" s="348"/>
      <c r="E335"/>
      <c r="F335"/>
      <c r="G335"/>
      <c r="H335"/>
      <c r="I335"/>
      <c r="J335"/>
      <c r="K335"/>
      <c r="L335"/>
      <c r="M335"/>
      <c r="N335"/>
      <c r="O335"/>
      <c r="P335"/>
      <c r="Q335"/>
      <c r="R335"/>
      <c r="S335" s="6"/>
      <c r="T335"/>
      <c r="U335" s="320">
        <v>275</v>
      </c>
      <c r="V335" s="349"/>
      <c r="W335" s="348"/>
      <c r="X335"/>
      <c r="Y335"/>
      <c r="Z335"/>
      <c r="AA335"/>
      <c r="AB335"/>
      <c r="AC335"/>
      <c r="AD335"/>
      <c r="AE335"/>
      <c r="AF335"/>
      <c r="AG335"/>
      <c r="AH335"/>
      <c r="AI335"/>
      <c r="AJ335"/>
      <c r="AK335"/>
      <c r="AL335" s="6"/>
      <c r="AM335"/>
      <c r="AN335" s="320">
        <v>275</v>
      </c>
      <c r="AO335" s="349"/>
      <c r="AP335" s="348"/>
      <c r="AQ335"/>
      <c r="AR335"/>
      <c r="AS335"/>
      <c r="AT335"/>
      <c r="AU335"/>
      <c r="AV335"/>
      <c r="AW335"/>
      <c r="AX335"/>
      <c r="AY335"/>
      <c r="AZ335"/>
      <c r="BA335"/>
      <c r="BB335"/>
      <c r="BC335"/>
      <c r="BD335"/>
      <c r="BE335" s="6"/>
      <c r="BF335"/>
      <c r="BG335" s="320">
        <v>275</v>
      </c>
      <c r="BH335" s="349"/>
      <c r="BI335" s="348"/>
      <c r="BJ335"/>
      <c r="BK335"/>
      <c r="BL335"/>
      <c r="BM335"/>
      <c r="BN335"/>
      <c r="BO335"/>
      <c r="BP335"/>
      <c r="BQ335"/>
      <c r="BR335"/>
      <c r="BS335"/>
      <c r="BT335"/>
      <c r="BU335"/>
      <c r="BV335"/>
      <c r="BW335"/>
      <c r="BX335" s="6"/>
    </row>
    <row r="336" spans="1:76">
      <c r="A336"/>
      <c r="B336" s="320">
        <v>276</v>
      </c>
      <c r="C336" s="349"/>
      <c r="D336" s="348"/>
      <c r="E336"/>
      <c r="F336"/>
      <c r="G336"/>
      <c r="H336"/>
      <c r="I336"/>
      <c r="J336"/>
      <c r="K336"/>
      <c r="L336"/>
      <c r="M336"/>
      <c r="N336"/>
      <c r="O336"/>
      <c r="P336"/>
      <c r="Q336"/>
      <c r="R336"/>
      <c r="S336" s="6"/>
      <c r="T336"/>
      <c r="U336" s="320">
        <v>276</v>
      </c>
      <c r="V336" s="349"/>
      <c r="W336" s="348"/>
      <c r="X336"/>
      <c r="Y336"/>
      <c r="Z336"/>
      <c r="AA336"/>
      <c r="AB336"/>
      <c r="AC336"/>
      <c r="AD336"/>
      <c r="AE336"/>
      <c r="AF336"/>
      <c r="AG336"/>
      <c r="AH336"/>
      <c r="AI336"/>
      <c r="AJ336"/>
      <c r="AK336"/>
      <c r="AL336" s="6"/>
      <c r="AM336"/>
      <c r="AN336" s="320">
        <v>276</v>
      </c>
      <c r="AO336" s="349"/>
      <c r="AP336" s="348"/>
      <c r="AQ336"/>
      <c r="AR336"/>
      <c r="AS336"/>
      <c r="AT336"/>
      <c r="AU336"/>
      <c r="AV336"/>
      <c r="AW336"/>
      <c r="AX336"/>
      <c r="AY336"/>
      <c r="AZ336"/>
      <c r="BA336"/>
      <c r="BB336"/>
      <c r="BC336"/>
      <c r="BD336"/>
      <c r="BE336" s="6"/>
      <c r="BF336"/>
      <c r="BG336" s="320">
        <v>276</v>
      </c>
      <c r="BH336" s="349"/>
      <c r="BI336" s="348"/>
      <c r="BJ336"/>
      <c r="BK336"/>
      <c r="BL336"/>
      <c r="BM336"/>
      <c r="BN336"/>
      <c r="BO336"/>
      <c r="BP336"/>
      <c r="BQ336"/>
      <c r="BR336"/>
      <c r="BS336"/>
      <c r="BT336"/>
      <c r="BU336"/>
      <c r="BV336"/>
      <c r="BW336"/>
      <c r="BX336" s="6"/>
    </row>
    <row r="337" spans="1:76">
      <c r="A337"/>
      <c r="B337" s="320">
        <v>277</v>
      </c>
      <c r="C337" s="349"/>
      <c r="D337" s="348"/>
      <c r="E337"/>
      <c r="F337"/>
      <c r="G337"/>
      <c r="H337"/>
      <c r="I337"/>
      <c r="J337"/>
      <c r="K337"/>
      <c r="L337"/>
      <c r="M337"/>
      <c r="N337"/>
      <c r="O337"/>
      <c r="P337"/>
      <c r="Q337"/>
      <c r="R337"/>
      <c r="S337" s="6"/>
      <c r="T337"/>
      <c r="U337" s="320">
        <v>277</v>
      </c>
      <c r="V337" s="349"/>
      <c r="W337" s="348"/>
      <c r="X337"/>
      <c r="Y337"/>
      <c r="Z337"/>
      <c r="AA337"/>
      <c r="AB337"/>
      <c r="AC337"/>
      <c r="AD337"/>
      <c r="AE337"/>
      <c r="AF337"/>
      <c r="AG337"/>
      <c r="AH337"/>
      <c r="AI337"/>
      <c r="AJ337"/>
      <c r="AK337"/>
      <c r="AL337" s="6"/>
      <c r="AM337"/>
      <c r="AN337" s="320">
        <v>277</v>
      </c>
      <c r="AO337" s="349"/>
      <c r="AP337" s="348"/>
      <c r="AQ337"/>
      <c r="AR337"/>
      <c r="AS337"/>
      <c r="AT337"/>
      <c r="AU337"/>
      <c r="AV337"/>
      <c r="AW337"/>
      <c r="AX337"/>
      <c r="AY337"/>
      <c r="AZ337"/>
      <c r="BA337"/>
      <c r="BB337"/>
      <c r="BC337"/>
      <c r="BD337"/>
      <c r="BE337" s="6"/>
      <c r="BF337"/>
      <c r="BG337" s="320">
        <v>277</v>
      </c>
      <c r="BH337" s="349"/>
      <c r="BI337" s="348"/>
      <c r="BJ337"/>
      <c r="BK337"/>
      <c r="BL337"/>
      <c r="BM337"/>
      <c r="BN337"/>
      <c r="BO337"/>
      <c r="BP337"/>
      <c r="BQ337"/>
      <c r="BR337"/>
      <c r="BS337"/>
      <c r="BT337"/>
      <c r="BU337"/>
      <c r="BV337"/>
      <c r="BW337"/>
      <c r="BX337" s="6"/>
    </row>
    <row r="338" spans="1:76">
      <c r="A338"/>
      <c r="B338" s="320">
        <v>278</v>
      </c>
      <c r="C338" s="349"/>
      <c r="D338" s="348"/>
      <c r="E338"/>
      <c r="F338"/>
      <c r="G338"/>
      <c r="H338"/>
      <c r="I338"/>
      <c r="J338"/>
      <c r="K338"/>
      <c r="L338"/>
      <c r="M338"/>
      <c r="N338"/>
      <c r="O338"/>
      <c r="P338"/>
      <c r="Q338"/>
      <c r="R338"/>
      <c r="S338" s="6"/>
      <c r="T338"/>
      <c r="U338" s="320">
        <v>278</v>
      </c>
      <c r="V338" s="349"/>
      <c r="W338" s="348"/>
      <c r="X338"/>
      <c r="Y338"/>
      <c r="Z338"/>
      <c r="AA338"/>
      <c r="AB338"/>
      <c r="AC338"/>
      <c r="AD338"/>
      <c r="AE338"/>
      <c r="AF338"/>
      <c r="AG338"/>
      <c r="AH338"/>
      <c r="AI338"/>
      <c r="AJ338"/>
      <c r="AK338"/>
      <c r="AL338" s="6"/>
      <c r="AM338"/>
      <c r="AN338" s="320">
        <v>278</v>
      </c>
      <c r="AO338" s="349"/>
      <c r="AP338" s="348"/>
      <c r="AQ338"/>
      <c r="AR338"/>
      <c r="AS338"/>
      <c r="AT338"/>
      <c r="AU338"/>
      <c r="AV338"/>
      <c r="AW338"/>
      <c r="AX338"/>
      <c r="AY338"/>
      <c r="AZ338"/>
      <c r="BA338"/>
      <c r="BB338"/>
      <c r="BC338"/>
      <c r="BD338"/>
      <c r="BE338" s="6"/>
      <c r="BF338"/>
      <c r="BG338" s="320">
        <v>278</v>
      </c>
      <c r="BH338" s="349"/>
      <c r="BI338" s="348"/>
      <c r="BJ338"/>
      <c r="BK338"/>
      <c r="BL338"/>
      <c r="BM338"/>
      <c r="BN338"/>
      <c r="BO338"/>
      <c r="BP338"/>
      <c r="BQ338"/>
      <c r="BR338"/>
      <c r="BS338"/>
      <c r="BT338"/>
      <c r="BU338"/>
      <c r="BV338"/>
      <c r="BW338"/>
      <c r="BX338" s="6"/>
    </row>
    <row r="339" spans="1:76">
      <c r="A339"/>
      <c r="B339" s="320">
        <v>279</v>
      </c>
      <c r="C339" s="349"/>
      <c r="D339" s="348"/>
      <c r="E339"/>
      <c r="F339"/>
      <c r="G339"/>
      <c r="H339"/>
      <c r="I339"/>
      <c r="J339"/>
      <c r="K339"/>
      <c r="L339"/>
      <c r="M339"/>
      <c r="N339"/>
      <c r="O339"/>
      <c r="P339"/>
      <c r="Q339"/>
      <c r="R339"/>
      <c r="S339" s="6"/>
      <c r="T339"/>
      <c r="U339" s="320">
        <v>279</v>
      </c>
      <c r="V339" s="349"/>
      <c r="W339" s="348"/>
      <c r="X339"/>
      <c r="Y339"/>
      <c r="Z339"/>
      <c r="AA339"/>
      <c r="AB339"/>
      <c r="AC339"/>
      <c r="AD339"/>
      <c r="AE339"/>
      <c r="AF339"/>
      <c r="AG339"/>
      <c r="AH339"/>
      <c r="AI339"/>
      <c r="AJ339"/>
      <c r="AK339"/>
      <c r="AL339" s="6"/>
      <c r="AM339"/>
      <c r="AN339" s="320">
        <v>279</v>
      </c>
      <c r="AO339" s="349"/>
      <c r="AP339" s="348"/>
      <c r="AQ339"/>
      <c r="AR339"/>
      <c r="AS339"/>
      <c r="AT339"/>
      <c r="AU339"/>
      <c r="AV339"/>
      <c r="AW339"/>
      <c r="AX339"/>
      <c r="AY339"/>
      <c r="AZ339"/>
      <c r="BA339"/>
      <c r="BB339"/>
      <c r="BC339"/>
      <c r="BD339"/>
      <c r="BE339" s="6"/>
      <c r="BF339"/>
      <c r="BG339" s="320">
        <v>279</v>
      </c>
      <c r="BH339" s="349"/>
      <c r="BI339" s="348"/>
      <c r="BJ339"/>
      <c r="BK339"/>
      <c r="BL339"/>
      <c r="BM339"/>
      <c r="BN339"/>
      <c r="BO339"/>
      <c r="BP339"/>
      <c r="BQ339"/>
      <c r="BR339"/>
      <c r="BS339"/>
      <c r="BT339"/>
      <c r="BU339"/>
      <c r="BV339"/>
      <c r="BW339"/>
      <c r="BX339" s="6"/>
    </row>
    <row r="340" spans="1:76">
      <c r="A340"/>
      <c r="B340" s="320">
        <v>280</v>
      </c>
      <c r="C340" s="349"/>
      <c r="D340" s="348"/>
      <c r="E340"/>
      <c r="F340"/>
      <c r="G340"/>
      <c r="H340"/>
      <c r="I340"/>
      <c r="J340"/>
      <c r="K340"/>
      <c r="L340"/>
      <c r="M340"/>
      <c r="N340"/>
      <c r="O340"/>
      <c r="P340"/>
      <c r="Q340"/>
      <c r="R340"/>
      <c r="S340" s="6"/>
      <c r="T340"/>
      <c r="U340" s="320">
        <v>280</v>
      </c>
      <c r="V340" s="349"/>
      <c r="W340" s="348"/>
      <c r="X340"/>
      <c r="Y340"/>
      <c r="Z340"/>
      <c r="AA340"/>
      <c r="AB340"/>
      <c r="AC340"/>
      <c r="AD340"/>
      <c r="AE340"/>
      <c r="AF340"/>
      <c r="AG340"/>
      <c r="AH340"/>
      <c r="AI340"/>
      <c r="AJ340"/>
      <c r="AK340"/>
      <c r="AL340" s="6"/>
      <c r="AM340"/>
      <c r="AN340" s="320">
        <v>280</v>
      </c>
      <c r="AO340" s="349"/>
      <c r="AP340" s="348"/>
      <c r="AQ340"/>
      <c r="AR340"/>
      <c r="AS340"/>
      <c r="AT340"/>
      <c r="AU340"/>
      <c r="AV340"/>
      <c r="AW340"/>
      <c r="AX340"/>
      <c r="AY340"/>
      <c r="AZ340"/>
      <c r="BA340"/>
      <c r="BB340"/>
      <c r="BC340"/>
      <c r="BD340"/>
      <c r="BE340" s="6"/>
      <c r="BF340"/>
      <c r="BG340" s="320">
        <v>280</v>
      </c>
      <c r="BH340" s="349"/>
      <c r="BI340" s="348"/>
      <c r="BJ340"/>
      <c r="BK340"/>
      <c r="BL340"/>
      <c r="BM340"/>
      <c r="BN340"/>
      <c r="BO340"/>
      <c r="BP340"/>
      <c r="BQ340"/>
      <c r="BR340"/>
      <c r="BS340"/>
      <c r="BT340"/>
      <c r="BU340"/>
      <c r="BV340"/>
      <c r="BW340"/>
      <c r="BX340" s="6"/>
    </row>
    <row r="341" spans="1:76">
      <c r="A341"/>
      <c r="B341" s="320">
        <v>281</v>
      </c>
      <c r="C341" s="349"/>
      <c r="D341" s="348"/>
      <c r="E341"/>
      <c r="F341"/>
      <c r="G341"/>
      <c r="H341"/>
      <c r="I341"/>
      <c r="J341"/>
      <c r="K341"/>
      <c r="L341"/>
      <c r="M341"/>
      <c r="N341"/>
      <c r="O341"/>
      <c r="P341"/>
      <c r="Q341"/>
      <c r="R341"/>
      <c r="S341" s="6"/>
      <c r="T341"/>
      <c r="U341" s="320">
        <v>281</v>
      </c>
      <c r="V341" s="349"/>
      <c r="W341" s="348"/>
      <c r="X341"/>
      <c r="Y341"/>
      <c r="Z341"/>
      <c r="AA341"/>
      <c r="AB341"/>
      <c r="AC341"/>
      <c r="AD341"/>
      <c r="AE341"/>
      <c r="AF341"/>
      <c r="AG341"/>
      <c r="AH341"/>
      <c r="AI341"/>
      <c r="AJ341"/>
      <c r="AK341"/>
      <c r="AL341" s="6"/>
      <c r="AM341"/>
      <c r="AN341" s="320">
        <v>281</v>
      </c>
      <c r="AO341" s="349"/>
      <c r="AP341" s="348"/>
      <c r="AQ341"/>
      <c r="AR341"/>
      <c r="AS341"/>
      <c r="AT341"/>
      <c r="AU341"/>
      <c r="AV341"/>
      <c r="AW341"/>
      <c r="AX341"/>
      <c r="AY341"/>
      <c r="AZ341"/>
      <c r="BA341"/>
      <c r="BB341"/>
      <c r="BC341"/>
      <c r="BD341"/>
      <c r="BE341" s="6"/>
      <c r="BF341"/>
      <c r="BG341" s="320">
        <v>281</v>
      </c>
      <c r="BH341" s="349"/>
      <c r="BI341" s="348"/>
      <c r="BJ341"/>
      <c r="BK341"/>
      <c r="BL341"/>
      <c r="BM341"/>
      <c r="BN341"/>
      <c r="BO341"/>
      <c r="BP341"/>
      <c r="BQ341"/>
      <c r="BR341"/>
      <c r="BS341"/>
      <c r="BT341"/>
      <c r="BU341"/>
      <c r="BV341"/>
      <c r="BW341"/>
      <c r="BX341" s="6"/>
    </row>
    <row r="342" spans="1:76">
      <c r="A342"/>
      <c r="B342" s="320">
        <v>282</v>
      </c>
      <c r="C342" s="349"/>
      <c r="D342" s="348"/>
      <c r="E342"/>
      <c r="F342"/>
      <c r="G342"/>
      <c r="H342"/>
      <c r="I342"/>
      <c r="J342"/>
      <c r="K342"/>
      <c r="L342"/>
      <c r="M342"/>
      <c r="N342"/>
      <c r="O342"/>
      <c r="P342"/>
      <c r="Q342"/>
      <c r="R342"/>
      <c r="S342" s="6"/>
      <c r="T342"/>
      <c r="U342" s="320">
        <v>282</v>
      </c>
      <c r="V342" s="349"/>
      <c r="W342" s="348"/>
      <c r="X342"/>
      <c r="Y342"/>
      <c r="Z342"/>
      <c r="AA342"/>
      <c r="AB342"/>
      <c r="AC342"/>
      <c r="AD342"/>
      <c r="AE342"/>
      <c r="AF342"/>
      <c r="AG342"/>
      <c r="AH342"/>
      <c r="AI342"/>
      <c r="AJ342"/>
      <c r="AK342"/>
      <c r="AL342" s="6"/>
      <c r="AM342"/>
      <c r="AN342" s="320">
        <v>282</v>
      </c>
      <c r="AO342" s="349"/>
      <c r="AP342" s="348"/>
      <c r="AQ342"/>
      <c r="AR342"/>
      <c r="AS342"/>
      <c r="AT342"/>
      <c r="AU342"/>
      <c r="AV342"/>
      <c r="AW342"/>
      <c r="AX342"/>
      <c r="AY342"/>
      <c r="AZ342"/>
      <c r="BA342"/>
      <c r="BB342"/>
      <c r="BC342"/>
      <c r="BD342"/>
      <c r="BE342" s="6"/>
      <c r="BF342"/>
      <c r="BG342" s="320">
        <v>282</v>
      </c>
      <c r="BH342" s="349"/>
      <c r="BI342" s="348"/>
      <c r="BJ342"/>
      <c r="BK342"/>
      <c r="BL342"/>
      <c r="BM342"/>
      <c r="BN342"/>
      <c r="BO342"/>
      <c r="BP342"/>
      <c r="BQ342"/>
      <c r="BR342"/>
      <c r="BS342"/>
      <c r="BT342"/>
      <c r="BU342"/>
      <c r="BV342"/>
      <c r="BW342"/>
      <c r="BX342" s="6"/>
    </row>
    <row r="343" spans="1:76">
      <c r="A343"/>
      <c r="B343" s="320">
        <v>283</v>
      </c>
      <c r="C343" s="349"/>
      <c r="D343" s="348"/>
      <c r="E343"/>
      <c r="F343"/>
      <c r="G343"/>
      <c r="H343"/>
      <c r="I343"/>
      <c r="J343"/>
      <c r="K343"/>
      <c r="L343"/>
      <c r="M343"/>
      <c r="N343"/>
      <c r="O343"/>
      <c r="P343"/>
      <c r="Q343"/>
      <c r="R343"/>
      <c r="S343" s="6"/>
      <c r="T343"/>
      <c r="U343" s="320">
        <v>283</v>
      </c>
      <c r="V343" s="349"/>
      <c r="W343" s="348"/>
      <c r="X343"/>
      <c r="Y343"/>
      <c r="Z343"/>
      <c r="AA343"/>
      <c r="AB343"/>
      <c r="AC343"/>
      <c r="AD343"/>
      <c r="AE343"/>
      <c r="AF343"/>
      <c r="AG343"/>
      <c r="AH343"/>
      <c r="AI343"/>
      <c r="AJ343"/>
      <c r="AK343"/>
      <c r="AL343" s="6"/>
      <c r="AM343"/>
      <c r="AN343" s="320">
        <v>283</v>
      </c>
      <c r="AO343" s="349"/>
      <c r="AP343" s="348"/>
      <c r="AQ343"/>
      <c r="AR343"/>
      <c r="AS343"/>
      <c r="AT343"/>
      <c r="AU343"/>
      <c r="AV343"/>
      <c r="AW343"/>
      <c r="AX343"/>
      <c r="AY343"/>
      <c r="AZ343"/>
      <c r="BA343"/>
      <c r="BB343"/>
      <c r="BC343"/>
      <c r="BD343"/>
      <c r="BE343" s="6"/>
      <c r="BF343"/>
      <c r="BG343" s="320">
        <v>283</v>
      </c>
      <c r="BH343" s="349"/>
      <c r="BI343" s="348"/>
      <c r="BJ343"/>
      <c r="BK343"/>
      <c r="BL343"/>
      <c r="BM343"/>
      <c r="BN343"/>
      <c r="BO343"/>
      <c r="BP343"/>
      <c r="BQ343"/>
      <c r="BR343"/>
      <c r="BS343"/>
      <c r="BT343"/>
      <c r="BU343"/>
      <c r="BV343"/>
      <c r="BW343"/>
      <c r="BX343" s="6"/>
    </row>
    <row r="344" spans="1:76">
      <c r="A344"/>
      <c r="B344" s="320">
        <v>284</v>
      </c>
      <c r="C344" s="349"/>
      <c r="D344" s="348"/>
      <c r="E344"/>
      <c r="F344"/>
      <c r="G344"/>
      <c r="H344"/>
      <c r="I344"/>
      <c r="J344"/>
      <c r="K344"/>
      <c r="L344"/>
      <c r="M344"/>
      <c r="N344"/>
      <c r="O344"/>
      <c r="P344"/>
      <c r="Q344"/>
      <c r="R344"/>
      <c r="S344" s="6"/>
      <c r="T344"/>
      <c r="U344" s="320">
        <v>284</v>
      </c>
      <c r="V344" s="349"/>
      <c r="W344" s="348"/>
      <c r="X344"/>
      <c r="Y344"/>
      <c r="Z344"/>
      <c r="AA344"/>
      <c r="AB344"/>
      <c r="AC344"/>
      <c r="AD344"/>
      <c r="AE344"/>
      <c r="AF344"/>
      <c r="AG344"/>
      <c r="AH344"/>
      <c r="AI344"/>
      <c r="AJ344"/>
      <c r="AK344"/>
      <c r="AL344" s="6"/>
      <c r="AM344"/>
      <c r="AN344" s="320">
        <v>284</v>
      </c>
      <c r="AO344" s="349"/>
      <c r="AP344" s="348"/>
      <c r="AQ344"/>
      <c r="AR344"/>
      <c r="AS344"/>
      <c r="AT344"/>
      <c r="AU344"/>
      <c r="AV344"/>
      <c r="AW344"/>
      <c r="AX344"/>
      <c r="AY344"/>
      <c r="AZ344"/>
      <c r="BA344"/>
      <c r="BB344"/>
      <c r="BC344"/>
      <c r="BD344"/>
      <c r="BE344" s="6"/>
      <c r="BF344"/>
      <c r="BG344" s="320">
        <v>284</v>
      </c>
      <c r="BH344" s="349"/>
      <c r="BI344" s="348"/>
      <c r="BJ344"/>
      <c r="BK344"/>
      <c r="BL344"/>
      <c r="BM344"/>
      <c r="BN344"/>
      <c r="BO344"/>
      <c r="BP344"/>
      <c r="BQ344"/>
      <c r="BR344"/>
      <c r="BS344"/>
      <c r="BT344"/>
      <c r="BU344"/>
      <c r="BV344"/>
      <c r="BW344"/>
      <c r="BX344" s="6"/>
    </row>
    <row r="345" spans="1:76">
      <c r="A345"/>
      <c r="B345" s="320">
        <v>285</v>
      </c>
      <c r="C345" s="349"/>
      <c r="D345" s="348"/>
      <c r="E345"/>
      <c r="F345"/>
      <c r="G345"/>
      <c r="H345"/>
      <c r="I345"/>
      <c r="J345"/>
      <c r="K345"/>
      <c r="L345"/>
      <c r="M345"/>
      <c r="N345"/>
      <c r="O345"/>
      <c r="P345"/>
      <c r="Q345"/>
      <c r="R345"/>
      <c r="S345" s="6"/>
      <c r="T345"/>
      <c r="U345" s="320">
        <v>285</v>
      </c>
      <c r="V345" s="349"/>
      <c r="W345" s="348"/>
      <c r="X345"/>
      <c r="Y345"/>
      <c r="Z345"/>
      <c r="AA345"/>
      <c r="AB345"/>
      <c r="AC345"/>
      <c r="AD345"/>
      <c r="AE345"/>
      <c r="AF345"/>
      <c r="AG345"/>
      <c r="AH345"/>
      <c r="AI345"/>
      <c r="AJ345"/>
      <c r="AK345"/>
      <c r="AL345" s="6"/>
      <c r="AM345"/>
      <c r="AN345" s="320">
        <v>285</v>
      </c>
      <c r="AO345" s="349"/>
      <c r="AP345" s="348"/>
      <c r="AQ345"/>
      <c r="AR345"/>
      <c r="AS345"/>
      <c r="AT345"/>
      <c r="AU345"/>
      <c r="AV345"/>
      <c r="AW345"/>
      <c r="AX345"/>
      <c r="AY345"/>
      <c r="AZ345"/>
      <c r="BA345"/>
      <c r="BB345"/>
      <c r="BC345"/>
      <c r="BD345"/>
      <c r="BE345" s="6"/>
      <c r="BF345"/>
      <c r="BG345" s="320">
        <v>285</v>
      </c>
      <c r="BH345" s="349"/>
      <c r="BI345" s="348"/>
      <c r="BJ345"/>
      <c r="BK345"/>
      <c r="BL345"/>
      <c r="BM345"/>
      <c r="BN345"/>
      <c r="BO345"/>
      <c r="BP345"/>
      <c r="BQ345"/>
      <c r="BR345"/>
      <c r="BS345"/>
      <c r="BT345"/>
      <c r="BU345"/>
      <c r="BV345"/>
      <c r="BW345"/>
      <c r="BX345" s="6"/>
    </row>
    <row r="346" spans="1:76">
      <c r="A346"/>
      <c r="B346" s="320">
        <v>286</v>
      </c>
      <c r="C346" s="349"/>
      <c r="D346" s="348"/>
      <c r="E346"/>
      <c r="F346"/>
      <c r="G346"/>
      <c r="H346"/>
      <c r="I346"/>
      <c r="J346"/>
      <c r="K346"/>
      <c r="L346"/>
      <c r="M346"/>
      <c r="N346"/>
      <c r="O346"/>
      <c r="P346"/>
      <c r="Q346"/>
      <c r="R346"/>
      <c r="S346" s="6"/>
      <c r="T346"/>
      <c r="U346" s="320">
        <v>286</v>
      </c>
      <c r="V346" s="349"/>
      <c r="W346" s="348"/>
      <c r="X346"/>
      <c r="Y346"/>
      <c r="Z346"/>
      <c r="AA346"/>
      <c r="AB346"/>
      <c r="AC346"/>
      <c r="AD346"/>
      <c r="AE346"/>
      <c r="AF346"/>
      <c r="AG346"/>
      <c r="AH346"/>
      <c r="AI346"/>
      <c r="AJ346"/>
      <c r="AK346"/>
      <c r="AL346" s="6"/>
      <c r="AM346"/>
      <c r="AN346" s="320">
        <v>286</v>
      </c>
      <c r="AO346" s="349"/>
      <c r="AP346" s="348"/>
      <c r="AQ346"/>
      <c r="AR346"/>
      <c r="AS346"/>
      <c r="AT346"/>
      <c r="AU346"/>
      <c r="AV346"/>
      <c r="AW346"/>
      <c r="AX346"/>
      <c r="AY346"/>
      <c r="AZ346"/>
      <c r="BA346"/>
      <c r="BB346"/>
      <c r="BC346"/>
      <c r="BD346"/>
      <c r="BE346" s="6"/>
      <c r="BF346"/>
      <c r="BG346" s="320">
        <v>286</v>
      </c>
      <c r="BH346" s="349"/>
      <c r="BI346" s="348"/>
      <c r="BJ346"/>
      <c r="BK346"/>
      <c r="BL346"/>
      <c r="BM346"/>
      <c r="BN346"/>
      <c r="BO346"/>
      <c r="BP346"/>
      <c r="BQ346"/>
      <c r="BR346"/>
      <c r="BS346"/>
      <c r="BT346"/>
      <c r="BU346"/>
      <c r="BV346"/>
      <c r="BW346"/>
      <c r="BX346" s="6"/>
    </row>
    <row r="347" spans="1:76">
      <c r="A347"/>
      <c r="B347" s="320">
        <v>287</v>
      </c>
      <c r="C347" s="349"/>
      <c r="D347" s="348"/>
      <c r="E347"/>
      <c r="F347"/>
      <c r="G347"/>
      <c r="H347"/>
      <c r="I347"/>
      <c r="J347"/>
      <c r="K347"/>
      <c r="L347"/>
      <c r="M347"/>
      <c r="N347"/>
      <c r="O347"/>
      <c r="P347"/>
      <c r="Q347"/>
      <c r="R347"/>
      <c r="S347" s="6"/>
      <c r="T347"/>
      <c r="U347" s="320">
        <v>287</v>
      </c>
      <c r="V347" s="349"/>
      <c r="W347" s="348"/>
      <c r="X347"/>
      <c r="Y347"/>
      <c r="Z347"/>
      <c r="AA347"/>
      <c r="AB347"/>
      <c r="AC347"/>
      <c r="AD347"/>
      <c r="AE347"/>
      <c r="AF347"/>
      <c r="AG347"/>
      <c r="AH347"/>
      <c r="AI347"/>
      <c r="AJ347"/>
      <c r="AK347"/>
      <c r="AL347" s="6"/>
      <c r="AM347"/>
      <c r="AN347" s="320">
        <v>287</v>
      </c>
      <c r="AO347" s="349"/>
      <c r="AP347" s="348"/>
      <c r="AQ347"/>
      <c r="AR347"/>
      <c r="AS347"/>
      <c r="AT347"/>
      <c r="AU347"/>
      <c r="AV347"/>
      <c r="AW347"/>
      <c r="AX347"/>
      <c r="AY347"/>
      <c r="AZ347"/>
      <c r="BA347"/>
      <c r="BB347"/>
      <c r="BC347"/>
      <c r="BD347"/>
      <c r="BE347" s="6"/>
      <c r="BF347"/>
      <c r="BG347" s="320">
        <v>287</v>
      </c>
      <c r="BH347" s="349"/>
      <c r="BI347" s="348"/>
      <c r="BJ347"/>
      <c r="BK347"/>
      <c r="BL347"/>
      <c r="BM347"/>
      <c r="BN347"/>
      <c r="BO347"/>
      <c r="BP347"/>
      <c r="BQ347"/>
      <c r="BR347"/>
      <c r="BS347"/>
      <c r="BT347"/>
      <c r="BU347"/>
      <c r="BV347"/>
      <c r="BW347"/>
      <c r="BX347" s="6"/>
    </row>
    <row r="348" spans="1:76">
      <c r="A348"/>
      <c r="B348" s="320">
        <v>288</v>
      </c>
      <c r="C348" s="349"/>
      <c r="D348" s="348"/>
      <c r="E348"/>
      <c r="F348"/>
      <c r="G348"/>
      <c r="H348"/>
      <c r="I348"/>
      <c r="J348"/>
      <c r="K348"/>
      <c r="L348"/>
      <c r="M348"/>
      <c r="N348"/>
      <c r="O348"/>
      <c r="P348"/>
      <c r="Q348"/>
      <c r="R348"/>
      <c r="S348" s="6"/>
      <c r="T348"/>
      <c r="U348" s="320">
        <v>288</v>
      </c>
      <c r="V348" s="349"/>
      <c r="W348" s="348"/>
      <c r="X348"/>
      <c r="Y348"/>
      <c r="Z348"/>
      <c r="AA348"/>
      <c r="AB348"/>
      <c r="AC348"/>
      <c r="AD348"/>
      <c r="AE348"/>
      <c r="AF348"/>
      <c r="AG348"/>
      <c r="AH348"/>
      <c r="AI348"/>
      <c r="AJ348"/>
      <c r="AK348"/>
      <c r="AL348" s="6"/>
      <c r="AM348"/>
      <c r="AN348" s="320">
        <v>288</v>
      </c>
      <c r="AO348" s="349"/>
      <c r="AP348" s="348"/>
      <c r="AQ348"/>
      <c r="AR348"/>
      <c r="AS348"/>
      <c r="AT348"/>
      <c r="AU348"/>
      <c r="AV348"/>
      <c r="AW348"/>
      <c r="AX348"/>
      <c r="AY348"/>
      <c r="AZ348"/>
      <c r="BA348"/>
      <c r="BB348"/>
      <c r="BC348"/>
      <c r="BD348"/>
      <c r="BE348" s="6"/>
      <c r="BF348"/>
      <c r="BG348" s="320">
        <v>288</v>
      </c>
      <c r="BH348" s="349"/>
      <c r="BI348" s="348"/>
      <c r="BJ348"/>
      <c r="BK348"/>
      <c r="BL348"/>
      <c r="BM348"/>
      <c r="BN348"/>
      <c r="BO348"/>
      <c r="BP348"/>
      <c r="BQ348"/>
      <c r="BR348"/>
      <c r="BS348"/>
      <c r="BT348"/>
      <c r="BU348"/>
      <c r="BV348"/>
      <c r="BW348"/>
      <c r="BX348" s="6"/>
    </row>
    <row r="349" spans="1:76">
      <c r="A349"/>
      <c r="B349" s="320">
        <v>289</v>
      </c>
      <c r="C349" s="349"/>
      <c r="D349" s="348"/>
      <c r="E349"/>
      <c r="F349"/>
      <c r="G349"/>
      <c r="H349"/>
      <c r="I349"/>
      <c r="J349"/>
      <c r="K349"/>
      <c r="L349"/>
      <c r="M349"/>
      <c r="N349"/>
      <c r="O349"/>
      <c r="P349"/>
      <c r="Q349"/>
      <c r="R349"/>
      <c r="S349" s="6"/>
      <c r="T349"/>
      <c r="U349" s="320">
        <v>289</v>
      </c>
      <c r="V349" s="349"/>
      <c r="W349" s="348"/>
      <c r="X349"/>
      <c r="Y349"/>
      <c r="Z349"/>
      <c r="AA349"/>
      <c r="AB349"/>
      <c r="AC349"/>
      <c r="AD349"/>
      <c r="AE349"/>
      <c r="AF349"/>
      <c r="AG349"/>
      <c r="AH349"/>
      <c r="AI349"/>
      <c r="AJ349"/>
      <c r="AK349"/>
      <c r="AL349" s="6"/>
      <c r="AM349"/>
      <c r="AN349" s="320">
        <v>289</v>
      </c>
      <c r="AO349" s="349"/>
      <c r="AP349" s="348"/>
      <c r="AQ349"/>
      <c r="AR349"/>
      <c r="AS349"/>
      <c r="AT349"/>
      <c r="AU349"/>
      <c r="AV349"/>
      <c r="AW349"/>
      <c r="AX349"/>
      <c r="AY349"/>
      <c r="AZ349"/>
      <c r="BA349"/>
      <c r="BB349"/>
      <c r="BC349"/>
      <c r="BD349"/>
      <c r="BE349" s="6"/>
      <c r="BF349"/>
      <c r="BG349" s="320">
        <v>289</v>
      </c>
      <c r="BH349" s="349"/>
      <c r="BI349" s="348"/>
      <c r="BJ349"/>
      <c r="BK349"/>
      <c r="BL349"/>
      <c r="BM349"/>
      <c r="BN349"/>
      <c r="BO349"/>
      <c r="BP349"/>
      <c r="BQ349"/>
      <c r="BR349"/>
      <c r="BS349"/>
      <c r="BT349"/>
      <c r="BU349"/>
      <c r="BV349"/>
      <c r="BW349"/>
      <c r="BX349" s="6"/>
    </row>
    <row r="350" spans="1:76">
      <c r="A350"/>
      <c r="B350" s="320">
        <v>290</v>
      </c>
      <c r="C350" s="349"/>
      <c r="D350" s="348"/>
      <c r="E350"/>
      <c r="F350"/>
      <c r="G350"/>
      <c r="H350"/>
      <c r="I350"/>
      <c r="J350"/>
      <c r="K350"/>
      <c r="L350"/>
      <c r="M350"/>
      <c r="N350"/>
      <c r="O350"/>
      <c r="P350"/>
      <c r="Q350"/>
      <c r="R350"/>
      <c r="S350" s="6"/>
      <c r="T350"/>
      <c r="U350" s="320">
        <v>290</v>
      </c>
      <c r="V350" s="349"/>
      <c r="W350" s="348"/>
      <c r="X350"/>
      <c r="Y350"/>
      <c r="Z350"/>
      <c r="AA350"/>
      <c r="AB350"/>
      <c r="AC350"/>
      <c r="AD350"/>
      <c r="AE350"/>
      <c r="AF350"/>
      <c r="AG350"/>
      <c r="AH350"/>
      <c r="AI350"/>
      <c r="AJ350"/>
      <c r="AK350"/>
      <c r="AL350" s="6"/>
      <c r="AM350"/>
      <c r="AN350" s="320">
        <v>290</v>
      </c>
      <c r="AO350" s="349"/>
      <c r="AP350" s="348"/>
      <c r="AQ350"/>
      <c r="AR350"/>
      <c r="AS350"/>
      <c r="AT350"/>
      <c r="AU350"/>
      <c r="AV350"/>
      <c r="AW350"/>
      <c r="AX350"/>
      <c r="AY350"/>
      <c r="AZ350"/>
      <c r="BA350"/>
      <c r="BB350"/>
      <c r="BC350"/>
      <c r="BD350"/>
      <c r="BE350" s="6"/>
      <c r="BF350"/>
      <c r="BG350" s="320">
        <v>290</v>
      </c>
      <c r="BH350" s="349"/>
      <c r="BI350" s="348"/>
      <c r="BJ350"/>
      <c r="BK350"/>
      <c r="BL350"/>
      <c r="BM350"/>
      <c r="BN350"/>
      <c r="BO350"/>
      <c r="BP350"/>
      <c r="BQ350"/>
      <c r="BR350"/>
      <c r="BS350"/>
      <c r="BT350"/>
      <c r="BU350"/>
      <c r="BV350"/>
      <c r="BW350"/>
      <c r="BX350" s="6"/>
    </row>
    <row r="351" spans="1:76">
      <c r="A351"/>
      <c r="B351" s="320">
        <v>291</v>
      </c>
      <c r="C351" s="349"/>
      <c r="D351" s="348"/>
      <c r="E351"/>
      <c r="F351"/>
      <c r="G351"/>
      <c r="H351"/>
      <c r="I351"/>
      <c r="J351"/>
      <c r="K351"/>
      <c r="L351"/>
      <c r="M351"/>
      <c r="N351"/>
      <c r="O351"/>
      <c r="P351"/>
      <c r="Q351"/>
      <c r="R351"/>
      <c r="S351" s="6"/>
      <c r="T351"/>
      <c r="U351" s="320">
        <v>291</v>
      </c>
      <c r="V351" s="349"/>
      <c r="W351" s="348"/>
      <c r="X351"/>
      <c r="Y351"/>
      <c r="Z351"/>
      <c r="AA351"/>
      <c r="AB351"/>
      <c r="AC351"/>
      <c r="AD351"/>
      <c r="AE351"/>
      <c r="AF351"/>
      <c r="AG351"/>
      <c r="AH351"/>
      <c r="AI351"/>
      <c r="AJ351"/>
      <c r="AK351"/>
      <c r="AL351" s="6"/>
      <c r="AM351"/>
      <c r="AN351" s="320">
        <v>291</v>
      </c>
      <c r="AO351" s="349"/>
      <c r="AP351" s="348"/>
      <c r="AQ351"/>
      <c r="AR351"/>
      <c r="AS351"/>
      <c r="AT351"/>
      <c r="AU351"/>
      <c r="AV351"/>
      <c r="AW351"/>
      <c r="AX351"/>
      <c r="AY351"/>
      <c r="AZ351"/>
      <c r="BA351"/>
      <c r="BB351"/>
      <c r="BC351"/>
      <c r="BD351"/>
      <c r="BE351" s="6"/>
      <c r="BF351"/>
      <c r="BG351" s="320">
        <v>291</v>
      </c>
      <c r="BH351" s="349"/>
      <c r="BI351" s="348"/>
      <c r="BJ351"/>
      <c r="BK351"/>
      <c r="BL351"/>
      <c r="BM351"/>
      <c r="BN351"/>
      <c r="BO351"/>
      <c r="BP351"/>
      <c r="BQ351"/>
      <c r="BR351"/>
      <c r="BS351"/>
      <c r="BT351"/>
      <c r="BU351"/>
      <c r="BV351"/>
      <c r="BW351"/>
      <c r="BX351" s="6"/>
    </row>
    <row r="352" spans="1:76">
      <c r="A352"/>
      <c r="B352" s="320">
        <v>292</v>
      </c>
      <c r="C352" s="349"/>
      <c r="D352" s="348"/>
      <c r="E352"/>
      <c r="F352"/>
      <c r="G352"/>
      <c r="H352"/>
      <c r="I352"/>
      <c r="J352"/>
      <c r="K352"/>
      <c r="L352"/>
      <c r="M352"/>
      <c r="N352"/>
      <c r="O352"/>
      <c r="P352"/>
      <c r="Q352"/>
      <c r="R352"/>
      <c r="S352" s="6"/>
      <c r="T352"/>
      <c r="U352" s="320">
        <v>292</v>
      </c>
      <c r="V352" s="349"/>
      <c r="W352" s="348"/>
      <c r="X352"/>
      <c r="Y352"/>
      <c r="Z352"/>
      <c r="AA352"/>
      <c r="AB352"/>
      <c r="AC352"/>
      <c r="AD352"/>
      <c r="AE352"/>
      <c r="AF352"/>
      <c r="AG352"/>
      <c r="AH352"/>
      <c r="AI352"/>
      <c r="AJ352"/>
      <c r="AK352"/>
      <c r="AL352" s="6"/>
      <c r="AM352"/>
      <c r="AN352" s="320">
        <v>292</v>
      </c>
      <c r="AO352" s="349"/>
      <c r="AP352" s="348"/>
      <c r="AQ352"/>
      <c r="AR352"/>
      <c r="AS352"/>
      <c r="AT352"/>
      <c r="AU352"/>
      <c r="AV352"/>
      <c r="AW352"/>
      <c r="AX352"/>
      <c r="AY352"/>
      <c r="AZ352"/>
      <c r="BA352"/>
      <c r="BB352"/>
      <c r="BC352"/>
      <c r="BD352"/>
      <c r="BE352" s="6"/>
      <c r="BF352"/>
      <c r="BG352" s="320">
        <v>292</v>
      </c>
      <c r="BH352" s="349"/>
      <c r="BI352" s="348"/>
      <c r="BJ352"/>
      <c r="BK352"/>
      <c r="BL352"/>
      <c r="BM352"/>
      <c r="BN352"/>
      <c r="BO352"/>
      <c r="BP352"/>
      <c r="BQ352"/>
      <c r="BR352"/>
      <c r="BS352"/>
      <c r="BT352"/>
      <c r="BU352"/>
      <c r="BV352"/>
      <c r="BW352"/>
      <c r="BX352" s="6"/>
    </row>
    <row r="353" spans="1:76">
      <c r="A353"/>
      <c r="B353" s="320">
        <v>293</v>
      </c>
      <c r="C353" s="349"/>
      <c r="D353" s="348"/>
      <c r="E353"/>
      <c r="F353"/>
      <c r="G353"/>
      <c r="H353"/>
      <c r="I353"/>
      <c r="J353"/>
      <c r="K353"/>
      <c r="L353"/>
      <c r="M353"/>
      <c r="N353"/>
      <c r="O353"/>
      <c r="P353"/>
      <c r="Q353"/>
      <c r="R353"/>
      <c r="S353" s="6"/>
      <c r="T353"/>
      <c r="U353" s="320">
        <v>293</v>
      </c>
      <c r="V353" s="349"/>
      <c r="W353" s="348"/>
      <c r="X353"/>
      <c r="Y353"/>
      <c r="Z353"/>
      <c r="AA353"/>
      <c r="AB353"/>
      <c r="AC353"/>
      <c r="AD353"/>
      <c r="AE353"/>
      <c r="AF353"/>
      <c r="AG353"/>
      <c r="AH353"/>
      <c r="AI353"/>
      <c r="AJ353"/>
      <c r="AK353"/>
      <c r="AL353" s="6"/>
      <c r="AM353"/>
      <c r="AN353" s="320">
        <v>293</v>
      </c>
      <c r="AO353" s="349"/>
      <c r="AP353" s="348"/>
      <c r="AQ353"/>
      <c r="AR353"/>
      <c r="AS353"/>
      <c r="AT353"/>
      <c r="AU353"/>
      <c r="AV353"/>
      <c r="AW353"/>
      <c r="AX353"/>
      <c r="AY353"/>
      <c r="AZ353"/>
      <c r="BA353"/>
      <c r="BB353"/>
      <c r="BC353"/>
      <c r="BD353"/>
      <c r="BE353" s="6"/>
      <c r="BF353"/>
      <c r="BG353" s="320">
        <v>293</v>
      </c>
      <c r="BH353" s="349"/>
      <c r="BI353" s="348"/>
      <c r="BJ353"/>
      <c r="BK353"/>
      <c r="BL353"/>
      <c r="BM353"/>
      <c r="BN353"/>
      <c r="BO353"/>
      <c r="BP353"/>
      <c r="BQ353"/>
      <c r="BR353"/>
      <c r="BS353"/>
      <c r="BT353"/>
      <c r="BU353"/>
      <c r="BV353"/>
      <c r="BW353"/>
      <c r="BX353" s="6"/>
    </row>
    <row r="354" spans="1:76">
      <c r="A354"/>
      <c r="B354" s="320">
        <v>294</v>
      </c>
      <c r="C354" s="349"/>
      <c r="D354" s="348"/>
      <c r="E354"/>
      <c r="F354"/>
      <c r="G354"/>
      <c r="H354"/>
      <c r="I354"/>
      <c r="J354"/>
      <c r="K354"/>
      <c r="L354"/>
      <c r="M354"/>
      <c r="N354"/>
      <c r="O354"/>
      <c r="P354"/>
      <c r="Q354"/>
      <c r="R354"/>
      <c r="S354" s="6"/>
      <c r="T354"/>
      <c r="U354" s="320">
        <v>294</v>
      </c>
      <c r="V354" s="349"/>
      <c r="W354" s="348"/>
      <c r="X354"/>
      <c r="Y354"/>
      <c r="Z354"/>
      <c r="AA354"/>
      <c r="AB354"/>
      <c r="AC354"/>
      <c r="AD354"/>
      <c r="AE354"/>
      <c r="AF354"/>
      <c r="AG354"/>
      <c r="AH354"/>
      <c r="AI354"/>
      <c r="AJ354"/>
      <c r="AK354"/>
      <c r="AL354" s="6"/>
      <c r="AM354"/>
      <c r="AN354" s="320">
        <v>294</v>
      </c>
      <c r="AO354" s="349"/>
      <c r="AP354" s="348"/>
      <c r="AQ354"/>
      <c r="AR354"/>
      <c r="AS354"/>
      <c r="AT354"/>
      <c r="AU354"/>
      <c r="AV354"/>
      <c r="AW354"/>
      <c r="AX354"/>
      <c r="AY354"/>
      <c r="AZ354"/>
      <c r="BA354"/>
      <c r="BB354"/>
      <c r="BC354"/>
      <c r="BD354"/>
      <c r="BE354" s="6"/>
      <c r="BF354"/>
      <c r="BG354" s="320">
        <v>294</v>
      </c>
      <c r="BH354" s="349"/>
      <c r="BI354" s="348"/>
      <c r="BJ354"/>
      <c r="BK354"/>
      <c r="BL354"/>
      <c r="BM354"/>
      <c r="BN354"/>
      <c r="BO354"/>
      <c r="BP354"/>
      <c r="BQ354"/>
      <c r="BR354"/>
      <c r="BS354"/>
      <c r="BT354"/>
      <c r="BU354"/>
      <c r="BV354"/>
      <c r="BW354"/>
      <c r="BX354" s="6"/>
    </row>
    <row r="355" spans="1:76">
      <c r="A355"/>
      <c r="B355" s="320">
        <v>295</v>
      </c>
      <c r="C355" s="349"/>
      <c r="D355" s="348"/>
      <c r="E355"/>
      <c r="F355"/>
      <c r="G355"/>
      <c r="H355"/>
      <c r="I355"/>
      <c r="J355"/>
      <c r="K355"/>
      <c r="L355"/>
      <c r="M355"/>
      <c r="N355"/>
      <c r="O355"/>
      <c r="P355"/>
      <c r="Q355"/>
      <c r="R355"/>
      <c r="S355" s="6"/>
      <c r="T355"/>
      <c r="U355" s="320">
        <v>295</v>
      </c>
      <c r="V355" s="349"/>
      <c r="W355" s="348"/>
      <c r="X355"/>
      <c r="Y355"/>
      <c r="Z355"/>
      <c r="AA355"/>
      <c r="AB355"/>
      <c r="AC355"/>
      <c r="AD355"/>
      <c r="AE355"/>
      <c r="AF355"/>
      <c r="AG355"/>
      <c r="AH355"/>
      <c r="AI355"/>
      <c r="AJ355"/>
      <c r="AK355"/>
      <c r="AL355" s="6"/>
      <c r="AM355"/>
      <c r="AN355" s="320">
        <v>295</v>
      </c>
      <c r="AO355" s="349"/>
      <c r="AP355" s="348"/>
      <c r="AQ355"/>
      <c r="AR355"/>
      <c r="AS355"/>
      <c r="AT355"/>
      <c r="AU355"/>
      <c r="AV355"/>
      <c r="AW355"/>
      <c r="AX355"/>
      <c r="AY355"/>
      <c r="AZ355"/>
      <c r="BA355"/>
      <c r="BB355"/>
      <c r="BC355"/>
      <c r="BD355"/>
      <c r="BE355" s="6"/>
      <c r="BF355"/>
      <c r="BG355" s="320">
        <v>295</v>
      </c>
      <c r="BH355" s="349"/>
      <c r="BI355" s="348"/>
      <c r="BJ355"/>
      <c r="BK355"/>
      <c r="BL355"/>
      <c r="BM355"/>
      <c r="BN355"/>
      <c r="BO355"/>
      <c r="BP355"/>
      <c r="BQ355"/>
      <c r="BR355"/>
      <c r="BS355"/>
      <c r="BT355"/>
      <c r="BU355"/>
      <c r="BV355"/>
      <c r="BW355"/>
      <c r="BX355" s="6"/>
    </row>
    <row r="356" spans="1:76">
      <c r="A356"/>
      <c r="B356" s="320">
        <v>296</v>
      </c>
      <c r="C356" s="349"/>
      <c r="D356" s="348"/>
      <c r="E356"/>
      <c r="F356"/>
      <c r="G356"/>
      <c r="H356"/>
      <c r="I356"/>
      <c r="J356"/>
      <c r="K356"/>
      <c r="L356"/>
      <c r="M356"/>
      <c r="N356"/>
      <c r="O356"/>
      <c r="P356"/>
      <c r="Q356"/>
      <c r="R356"/>
      <c r="S356" s="6"/>
      <c r="T356"/>
      <c r="U356" s="320">
        <v>296</v>
      </c>
      <c r="V356" s="349"/>
      <c r="W356" s="348"/>
      <c r="X356"/>
      <c r="Y356"/>
      <c r="Z356"/>
      <c r="AA356"/>
      <c r="AB356"/>
      <c r="AC356"/>
      <c r="AD356"/>
      <c r="AE356"/>
      <c r="AF356"/>
      <c r="AG356"/>
      <c r="AH356"/>
      <c r="AI356"/>
      <c r="AJ356"/>
      <c r="AK356"/>
      <c r="AL356" s="6"/>
      <c r="AM356"/>
      <c r="AN356" s="320">
        <v>296</v>
      </c>
      <c r="AO356" s="349"/>
      <c r="AP356" s="348"/>
      <c r="AQ356"/>
      <c r="AR356"/>
      <c r="AS356"/>
      <c r="AT356"/>
      <c r="AU356"/>
      <c r="AV356"/>
      <c r="AW356"/>
      <c r="AX356"/>
      <c r="AY356"/>
      <c r="AZ356"/>
      <c r="BA356"/>
      <c r="BB356"/>
      <c r="BC356"/>
      <c r="BD356"/>
      <c r="BE356" s="6"/>
      <c r="BF356"/>
      <c r="BG356" s="320">
        <v>296</v>
      </c>
      <c r="BH356" s="349"/>
      <c r="BI356" s="348"/>
      <c r="BJ356"/>
      <c r="BK356"/>
      <c r="BL356"/>
      <c r="BM356"/>
      <c r="BN356"/>
      <c r="BO356"/>
      <c r="BP356"/>
      <c r="BQ356"/>
      <c r="BR356"/>
      <c r="BS356"/>
      <c r="BT356"/>
      <c r="BU356"/>
      <c r="BV356"/>
      <c r="BW356"/>
      <c r="BX356" s="6"/>
    </row>
    <row r="357" spans="1:76">
      <c r="A357"/>
      <c r="B357" s="320">
        <v>297</v>
      </c>
      <c r="C357" s="349"/>
      <c r="D357" s="348"/>
      <c r="E357"/>
      <c r="F357"/>
      <c r="G357"/>
      <c r="H357"/>
      <c r="I357"/>
      <c r="J357"/>
      <c r="K357"/>
      <c r="L357"/>
      <c r="M357"/>
      <c r="N357"/>
      <c r="O357"/>
      <c r="P357"/>
      <c r="Q357"/>
      <c r="R357"/>
      <c r="S357" s="6"/>
      <c r="T357"/>
      <c r="U357" s="320">
        <v>297</v>
      </c>
      <c r="V357" s="349"/>
      <c r="W357" s="348"/>
      <c r="X357"/>
      <c r="Y357"/>
      <c r="Z357"/>
      <c r="AA357"/>
      <c r="AB357"/>
      <c r="AC357"/>
      <c r="AD357"/>
      <c r="AE357"/>
      <c r="AF357"/>
      <c r="AG357"/>
      <c r="AH357"/>
      <c r="AI357"/>
      <c r="AJ357"/>
      <c r="AK357"/>
      <c r="AL357" s="6"/>
      <c r="AM357"/>
      <c r="AN357" s="320">
        <v>297</v>
      </c>
      <c r="AO357" s="349"/>
      <c r="AP357" s="348"/>
      <c r="AQ357"/>
      <c r="AR357"/>
      <c r="AS357"/>
      <c r="AT357"/>
      <c r="AU357"/>
      <c r="AV357"/>
      <c r="AW357"/>
      <c r="AX357"/>
      <c r="AY357"/>
      <c r="AZ357"/>
      <c r="BA357"/>
      <c r="BB357"/>
      <c r="BC357"/>
      <c r="BD357"/>
      <c r="BE357" s="6"/>
      <c r="BF357"/>
      <c r="BG357" s="320">
        <v>297</v>
      </c>
      <c r="BH357" s="349"/>
      <c r="BI357" s="348"/>
      <c r="BJ357"/>
      <c r="BK357"/>
      <c r="BL357"/>
      <c r="BM357"/>
      <c r="BN357"/>
      <c r="BO357"/>
      <c r="BP357"/>
      <c r="BQ357"/>
      <c r="BR357"/>
      <c r="BS357"/>
      <c r="BT357"/>
      <c r="BU357"/>
      <c r="BV357"/>
      <c r="BW357"/>
      <c r="BX357" s="6"/>
    </row>
    <row r="358" spans="1:76">
      <c r="A358"/>
      <c r="B358" s="320">
        <v>298</v>
      </c>
      <c r="C358" s="349"/>
      <c r="D358" s="348"/>
      <c r="E358"/>
      <c r="F358"/>
      <c r="G358"/>
      <c r="H358"/>
      <c r="I358"/>
      <c r="J358"/>
      <c r="K358"/>
      <c r="L358"/>
      <c r="M358"/>
      <c r="N358"/>
      <c r="O358"/>
      <c r="P358"/>
      <c r="Q358"/>
      <c r="R358"/>
      <c r="S358" s="6"/>
      <c r="T358"/>
      <c r="U358" s="320">
        <v>298</v>
      </c>
      <c r="V358" s="349"/>
      <c r="W358" s="348"/>
      <c r="X358"/>
      <c r="Y358"/>
      <c r="Z358"/>
      <c r="AA358"/>
      <c r="AB358"/>
      <c r="AC358"/>
      <c r="AD358"/>
      <c r="AE358"/>
      <c r="AF358"/>
      <c r="AG358"/>
      <c r="AH358"/>
      <c r="AI358"/>
      <c r="AJ358"/>
      <c r="AK358"/>
      <c r="AL358" s="6"/>
      <c r="AM358"/>
      <c r="AN358" s="320">
        <v>298</v>
      </c>
      <c r="AO358" s="349"/>
      <c r="AP358" s="348"/>
      <c r="AQ358"/>
      <c r="AR358"/>
      <c r="AS358"/>
      <c r="AT358"/>
      <c r="AU358"/>
      <c r="AV358"/>
      <c r="AW358"/>
      <c r="AX358"/>
      <c r="AY358"/>
      <c r="AZ358"/>
      <c r="BA358"/>
      <c r="BB358"/>
      <c r="BC358"/>
      <c r="BD358"/>
      <c r="BE358" s="6"/>
      <c r="BF358"/>
      <c r="BG358" s="320">
        <v>298</v>
      </c>
      <c r="BH358" s="349"/>
      <c r="BI358" s="348"/>
      <c r="BJ358"/>
      <c r="BK358"/>
      <c r="BL358"/>
      <c r="BM358"/>
      <c r="BN358"/>
      <c r="BO358"/>
      <c r="BP358"/>
      <c r="BQ358"/>
      <c r="BR358"/>
      <c r="BS358"/>
      <c r="BT358"/>
      <c r="BU358"/>
      <c r="BV358"/>
      <c r="BW358"/>
      <c r="BX358" s="6"/>
    </row>
    <row r="359" spans="1:76">
      <c r="A359"/>
      <c r="B359" s="320">
        <v>299</v>
      </c>
      <c r="C359" s="349"/>
      <c r="D359" s="348"/>
      <c r="E359"/>
      <c r="F359"/>
      <c r="G359"/>
      <c r="H359"/>
      <c r="I359"/>
      <c r="J359"/>
      <c r="K359"/>
      <c r="L359"/>
      <c r="M359"/>
      <c r="N359"/>
      <c r="O359"/>
      <c r="P359"/>
      <c r="Q359"/>
      <c r="R359"/>
      <c r="S359" s="6"/>
      <c r="T359"/>
      <c r="U359" s="320">
        <v>299</v>
      </c>
      <c r="V359" s="349"/>
      <c r="W359" s="348"/>
      <c r="X359"/>
      <c r="Y359"/>
      <c r="Z359"/>
      <c r="AA359"/>
      <c r="AB359"/>
      <c r="AC359"/>
      <c r="AD359"/>
      <c r="AE359"/>
      <c r="AF359"/>
      <c r="AG359"/>
      <c r="AH359"/>
      <c r="AI359"/>
      <c r="AJ359"/>
      <c r="AK359"/>
      <c r="AL359" s="6"/>
      <c r="AM359"/>
      <c r="AN359" s="320">
        <v>299</v>
      </c>
      <c r="AO359" s="349"/>
      <c r="AP359" s="348"/>
      <c r="AQ359"/>
      <c r="AR359"/>
      <c r="AS359"/>
      <c r="AT359"/>
      <c r="AU359"/>
      <c r="AV359"/>
      <c r="AW359"/>
      <c r="AX359"/>
      <c r="AY359"/>
      <c r="AZ359"/>
      <c r="BA359"/>
      <c r="BB359"/>
      <c r="BC359"/>
      <c r="BD359"/>
      <c r="BE359" s="6"/>
      <c r="BF359"/>
      <c r="BG359" s="320">
        <v>299</v>
      </c>
      <c r="BH359" s="349"/>
      <c r="BI359" s="348"/>
      <c r="BJ359"/>
      <c r="BK359"/>
      <c r="BL359"/>
      <c r="BM359"/>
      <c r="BN359"/>
      <c r="BO359"/>
      <c r="BP359"/>
      <c r="BQ359"/>
      <c r="BR359"/>
      <c r="BS359"/>
      <c r="BT359"/>
      <c r="BU359"/>
      <c r="BV359"/>
      <c r="BW359"/>
      <c r="BX359" s="6"/>
    </row>
    <row r="360" spans="1:76">
      <c r="A360"/>
      <c r="B360" s="320">
        <v>300</v>
      </c>
      <c r="C360" s="349"/>
      <c r="D360" s="348"/>
      <c r="E360"/>
      <c r="F360"/>
      <c r="G360"/>
      <c r="H360"/>
      <c r="I360"/>
      <c r="J360"/>
      <c r="K360"/>
      <c r="L360"/>
      <c r="M360"/>
      <c r="N360"/>
      <c r="O360"/>
      <c r="P360"/>
      <c r="Q360"/>
      <c r="R360"/>
      <c r="S360" s="6"/>
      <c r="T360"/>
      <c r="U360" s="320">
        <v>300</v>
      </c>
      <c r="V360" s="349"/>
      <c r="W360" s="348"/>
      <c r="X360"/>
      <c r="Y360"/>
      <c r="Z360"/>
      <c r="AA360"/>
      <c r="AB360"/>
      <c r="AC360"/>
      <c r="AD360"/>
      <c r="AE360"/>
      <c r="AF360"/>
      <c r="AG360"/>
      <c r="AH360"/>
      <c r="AI360"/>
      <c r="AJ360"/>
      <c r="AK360"/>
      <c r="AL360" s="6"/>
      <c r="AM360"/>
      <c r="AN360" s="320">
        <v>300</v>
      </c>
      <c r="AO360" s="349"/>
      <c r="AP360" s="348"/>
      <c r="AQ360"/>
      <c r="AR360"/>
      <c r="AS360"/>
      <c r="AT360"/>
      <c r="AU360"/>
      <c r="AV360"/>
      <c r="AW360"/>
      <c r="AX360"/>
      <c r="AY360"/>
      <c r="AZ360"/>
      <c r="BA360"/>
      <c r="BB360"/>
      <c r="BC360"/>
      <c r="BD360"/>
      <c r="BE360" s="6"/>
      <c r="BF360"/>
      <c r="BG360" s="320">
        <v>300</v>
      </c>
      <c r="BH360" s="349"/>
      <c r="BI360" s="348"/>
      <c r="BJ360"/>
      <c r="BK360"/>
      <c r="BL360"/>
      <c r="BM360"/>
      <c r="BN360"/>
      <c r="BO360"/>
      <c r="BP360"/>
      <c r="BQ360"/>
      <c r="BR360"/>
      <c r="BS360"/>
      <c r="BT360"/>
      <c r="BU360"/>
      <c r="BV360"/>
      <c r="BW360"/>
      <c r="BX360" s="6"/>
    </row>
    <row r="361" spans="1:76">
      <c r="A361" s="40"/>
      <c r="B361" s="40"/>
      <c r="C361" s="40"/>
      <c r="D361" s="40"/>
      <c r="E361" s="40"/>
      <c r="F361" s="40"/>
      <c r="G361" s="40"/>
      <c r="H361" s="40"/>
      <c r="I361" s="40"/>
      <c r="J361" s="40"/>
      <c r="K361" s="40"/>
      <c r="L361" s="40"/>
      <c r="M361" s="40"/>
      <c r="N361" s="40"/>
      <c r="O361" s="40"/>
      <c r="P361" s="40"/>
      <c r="Q361" s="40"/>
      <c r="R361" s="40"/>
      <c r="S361" s="41"/>
      <c r="T361" s="40"/>
      <c r="U361" s="40"/>
      <c r="V361" s="40"/>
      <c r="W361" s="40"/>
      <c r="X361" s="40"/>
      <c r="Y361" s="40"/>
      <c r="Z361" s="40"/>
      <c r="AA361" s="40"/>
      <c r="AB361" s="40"/>
      <c r="AC361" s="40"/>
      <c r="AD361" s="40"/>
      <c r="AE361" s="40"/>
      <c r="AF361" s="40"/>
      <c r="AG361" s="40"/>
      <c r="AH361" s="40"/>
      <c r="AI361" s="40"/>
      <c r="AJ361" s="40"/>
      <c r="AK361" s="40"/>
      <c r="AL361" s="41"/>
      <c r="AM361" s="40"/>
      <c r="AN361" s="40"/>
      <c r="AO361" s="40"/>
      <c r="AP361" s="40"/>
      <c r="AQ361" s="40"/>
      <c r="AR361" s="40"/>
      <c r="AS361" s="40"/>
      <c r="AT361" s="40"/>
      <c r="AU361" s="40"/>
      <c r="AV361" s="40"/>
      <c r="AW361" s="40"/>
      <c r="AX361" s="40"/>
      <c r="AY361" s="40"/>
      <c r="AZ361" s="40"/>
      <c r="BA361" s="40"/>
      <c r="BB361" s="40"/>
      <c r="BC361" s="40"/>
      <c r="BD361" s="40"/>
      <c r="BE361" s="41"/>
      <c r="BF361" s="40"/>
      <c r="BG361" s="40"/>
      <c r="BH361" s="40"/>
      <c r="BI361" s="40"/>
      <c r="BJ361" s="40"/>
      <c r="BK361" s="40"/>
      <c r="BL361" s="40"/>
      <c r="BM361" s="40"/>
      <c r="BN361" s="40"/>
      <c r="BO361" s="40"/>
      <c r="BP361" s="40"/>
      <c r="BQ361" s="40"/>
      <c r="BR361" s="40"/>
      <c r="BS361" s="40"/>
      <c r="BT361" s="40"/>
      <c r="BU361" s="40"/>
      <c r="BV361" s="40"/>
      <c r="BW361" s="40"/>
      <c r="BX361" s="41"/>
    </row>
  </sheetData>
  <sheetProtection algorithmName="SHA-512" hashValue="ZT/M8Jqur31hCCqMpX3lXD1PsrjdbqPF54Bt+wUkyKH/XJwPxM5m3YGdwbdrwNXwwdhw8HxRsob7FVHecIIOYw==" saltValue="BdmDk5x0qLMevJNM0n14NQ==" spinCount="100000" sheet="1" scenarios="1"/>
  <protectedRanges>
    <protectedRange sqref="D52 W52 AP52 BI52" name="Bereich12"/>
    <protectedRange sqref="AP49:AQ49 BI49:BJ49" name="Range1_7"/>
    <protectedRange sqref="W49:X49" name="Range1_6"/>
    <protectedRange sqref="D49:E49" name="Range1_5"/>
    <protectedRange sqref="BH61:BI360" name="Range1_4"/>
    <protectedRange sqref="AO61:AP360" name="Range1_3"/>
    <protectedRange sqref="V61:W360" name="Range1_2"/>
    <protectedRange sqref="C61:D360" name="Range1_1"/>
    <protectedRange sqref="A5:S18 A21:S44 D48" name="Range1"/>
    <protectedRange sqref="T5:AL18 T21:AL44 W48 W52 D52" name="Range2"/>
    <protectedRange sqref="AM5:BE18 AM21:BE44 AP48 AP52" name="Range3"/>
    <protectedRange sqref="BF5:BX18 BF21:BX44 BI48 BI52" name="Range4"/>
  </protectedRanges>
  <mergeCells count="52">
    <mergeCell ref="BI49:BJ49"/>
    <mergeCell ref="AM49:AO49"/>
    <mergeCell ref="AP49:AQ49"/>
    <mergeCell ref="BF49:BH49"/>
    <mergeCell ref="A49:C49"/>
    <mergeCell ref="D49:E49"/>
    <mergeCell ref="T49:V49"/>
    <mergeCell ref="W49:X49"/>
    <mergeCell ref="D48:E48"/>
    <mergeCell ref="A5:S5"/>
    <mergeCell ref="T5:AL5"/>
    <mergeCell ref="W48:X48"/>
    <mergeCell ref="AM1:BE1"/>
    <mergeCell ref="AP3:AV3"/>
    <mergeCell ref="BA3:BE3"/>
    <mergeCell ref="AM48:AO48"/>
    <mergeCell ref="AP48:AQ48"/>
    <mergeCell ref="AM5:BE5"/>
    <mergeCell ref="A1:S1"/>
    <mergeCell ref="D3:J3"/>
    <mergeCell ref="O3:S3"/>
    <mergeCell ref="A48:C48"/>
    <mergeCell ref="T1:AL1"/>
    <mergeCell ref="B52:C52"/>
    <mergeCell ref="D52:E52"/>
    <mergeCell ref="W52:X52"/>
    <mergeCell ref="BI54:BJ54"/>
    <mergeCell ref="AN52:AO52"/>
    <mergeCell ref="AP52:AQ52"/>
    <mergeCell ref="AM54:AO54"/>
    <mergeCell ref="AP54:AQ54"/>
    <mergeCell ref="T54:V54"/>
    <mergeCell ref="W54:X54"/>
    <mergeCell ref="A54:C54"/>
    <mergeCell ref="D54:E54"/>
    <mergeCell ref="U52:V52"/>
    <mergeCell ref="F60:R60"/>
    <mergeCell ref="Y60:AK60"/>
    <mergeCell ref="AR60:BD60"/>
    <mergeCell ref="BK60:BW60"/>
    <mergeCell ref="BF1:BX1"/>
    <mergeCell ref="BI3:BO3"/>
    <mergeCell ref="BT3:BX3"/>
    <mergeCell ref="BF48:BH48"/>
    <mergeCell ref="BI48:BJ48"/>
    <mergeCell ref="BF5:BX5"/>
    <mergeCell ref="BG52:BH52"/>
    <mergeCell ref="BI52:BJ52"/>
    <mergeCell ref="BF54:BH54"/>
    <mergeCell ref="W3:AC3"/>
    <mergeCell ref="AH3:AL3"/>
    <mergeCell ref="T48:V48"/>
  </mergeCells>
  <phoneticPr fontId="0" type="noConversion"/>
  <hyperlinks>
    <hyperlink ref="M54" location="'T3.5.9 Guidance Notes'!A1" display="Link to GUIDANCE NOTES for laminated structures" xr:uid="{0D06B6D5-5888-42C6-B10D-C1DBBAA8323A}"/>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E470B-A006-4CDF-BE51-4F72B066C04D}">
  <sheetPr codeName="Sheet5">
    <tabColor rgb="FF9999FF"/>
  </sheetPr>
  <dimension ref="A1:EF118"/>
  <sheetViews>
    <sheetView view="pageBreakPreview" zoomScaleNormal="100" zoomScaleSheetLayoutView="100" workbookViewId="0">
      <selection sqref="A1:Q1"/>
    </sheetView>
  </sheetViews>
  <sheetFormatPr defaultColWidth="9.140625" defaultRowHeight="12.75"/>
  <cols>
    <col min="1" max="135" width="5" customWidth="1"/>
  </cols>
  <sheetData>
    <row r="1" spans="1:136" ht="12.75" customHeight="1">
      <c r="A1" s="561" t="str">
        <f>CONCATENATE(Read_Me!A1," FS ASES ",Read_Me!B1," - Datasheets Fiber")</f>
        <v>2026 FS ASES V1.0 - Datasheets Fiber</v>
      </c>
      <c r="B1" s="561"/>
      <c r="C1" s="561"/>
      <c r="D1" s="561"/>
      <c r="E1" s="561"/>
      <c r="F1" s="561"/>
      <c r="G1" s="561"/>
      <c r="H1" s="561"/>
      <c r="I1" s="561"/>
      <c r="J1" s="561"/>
      <c r="K1" s="561"/>
      <c r="L1" s="561"/>
      <c r="M1" s="561"/>
      <c r="N1" s="561"/>
      <c r="O1" s="561"/>
      <c r="P1" s="561"/>
      <c r="Q1" s="561"/>
      <c r="R1" s="173"/>
      <c r="S1" s="173"/>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4"/>
      <c r="AS1" s="174"/>
      <c r="AT1" s="174"/>
      <c r="AU1" s="174"/>
      <c r="AV1" s="174"/>
      <c r="AW1" s="174"/>
      <c r="AX1" s="174"/>
      <c r="AY1" s="174"/>
      <c r="AZ1" s="174"/>
      <c r="BA1" s="174"/>
      <c r="BB1" s="174"/>
      <c r="BC1" s="174"/>
      <c r="BD1" s="174"/>
      <c r="BE1" s="174"/>
      <c r="BF1" s="174"/>
      <c r="BG1" s="174"/>
      <c r="BH1" s="174"/>
      <c r="BI1" s="174"/>
      <c r="BJ1" s="174"/>
      <c r="BK1" s="174"/>
      <c r="BL1" s="174"/>
      <c r="BM1" s="174"/>
      <c r="BN1" s="174"/>
      <c r="BO1" s="174"/>
      <c r="BP1" s="174"/>
      <c r="BQ1" s="174"/>
      <c r="BR1" s="174"/>
      <c r="BS1" s="174"/>
      <c r="BT1" s="174"/>
      <c r="BU1" s="174"/>
      <c r="BV1" s="174"/>
      <c r="BW1" s="174"/>
      <c r="BX1" s="174"/>
      <c r="BY1" s="174"/>
      <c r="BZ1" s="174"/>
      <c r="CA1" s="174"/>
      <c r="CB1" s="174"/>
      <c r="CC1" s="174"/>
      <c r="CD1" s="174"/>
      <c r="CE1" s="174"/>
      <c r="CF1" s="174"/>
      <c r="CG1" s="174"/>
      <c r="CH1" s="174"/>
      <c r="CI1" s="174"/>
      <c r="CJ1" s="174"/>
      <c r="CK1" s="174"/>
      <c r="CL1" s="174"/>
      <c r="CM1" s="174"/>
      <c r="CN1" s="174"/>
      <c r="CO1" s="174"/>
      <c r="CP1" s="174"/>
      <c r="CQ1" s="174"/>
      <c r="CR1" s="174"/>
      <c r="CS1" s="174"/>
      <c r="CT1" s="174"/>
      <c r="CU1" s="174"/>
      <c r="CV1" s="174"/>
      <c r="CW1" s="174"/>
      <c r="CX1" s="174"/>
      <c r="CY1" s="174"/>
      <c r="CZ1" s="174"/>
      <c r="DA1" s="174"/>
      <c r="DB1" s="174"/>
      <c r="DC1" s="174"/>
      <c r="DD1" s="174"/>
      <c r="DE1" s="174"/>
      <c r="DF1" s="174"/>
      <c r="DG1" s="174"/>
      <c r="DH1" s="174"/>
      <c r="DI1" s="174"/>
      <c r="DJ1" s="174"/>
      <c r="DK1" s="174"/>
      <c r="DL1" s="174"/>
      <c r="DM1" s="174"/>
      <c r="DN1" s="174"/>
      <c r="DO1" s="174"/>
      <c r="DP1" s="174"/>
      <c r="DQ1" s="174"/>
      <c r="DR1" s="174"/>
      <c r="DS1" s="174"/>
      <c r="DT1" s="174"/>
      <c r="DU1" s="174"/>
      <c r="DV1" s="174"/>
      <c r="DW1" s="174"/>
      <c r="DX1" s="174"/>
      <c r="DY1" s="174"/>
      <c r="DZ1" s="174"/>
      <c r="EA1" s="174"/>
      <c r="EB1" s="174"/>
      <c r="EC1" s="174"/>
      <c r="ED1" s="174"/>
      <c r="EE1" s="174"/>
      <c r="EF1" s="174"/>
    </row>
    <row r="2" spans="1:136" ht="12.75" customHeight="1">
      <c r="A2" s="174"/>
      <c r="B2" s="174"/>
      <c r="C2" s="174"/>
      <c r="D2" s="174"/>
      <c r="E2" s="174"/>
      <c r="F2" s="174"/>
      <c r="G2" s="174"/>
      <c r="H2" s="174"/>
      <c r="I2" s="174"/>
      <c r="J2" s="174"/>
      <c r="K2" s="174"/>
      <c r="L2" s="174"/>
      <c r="M2" s="174"/>
      <c r="N2" s="174"/>
      <c r="O2" s="174"/>
      <c r="P2" s="174"/>
      <c r="Q2" s="174"/>
      <c r="R2" s="174"/>
      <c r="S2" s="58" t="s">
        <v>77</v>
      </c>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4"/>
      <c r="CP2" s="174"/>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row>
    <row r="3" spans="1:136">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562"/>
      <c r="R3" s="174"/>
      <c r="S3" s="174"/>
      <c r="T3" s="174"/>
      <c r="U3" s="174"/>
      <c r="V3" s="174"/>
      <c r="W3" s="174"/>
      <c r="X3" s="174"/>
      <c r="Y3" s="174"/>
      <c r="Z3" s="174"/>
      <c r="AA3" s="174"/>
      <c r="AB3" s="174"/>
      <c r="AC3" s="174"/>
      <c r="AD3" s="174"/>
      <c r="AE3" s="174"/>
      <c r="AF3" s="174"/>
      <c r="AG3" s="174"/>
      <c r="AH3" s="174"/>
      <c r="AI3" s="174"/>
      <c r="AJ3" s="174"/>
      <c r="AK3" s="174"/>
      <c r="AL3" s="174"/>
      <c r="AM3" s="174"/>
      <c r="AN3" s="174"/>
      <c r="AO3" s="174"/>
      <c r="AP3" s="174"/>
      <c r="AQ3" s="174"/>
      <c r="AR3" s="174"/>
      <c r="AS3" s="174"/>
      <c r="AT3" s="174"/>
      <c r="AU3" s="174"/>
      <c r="AV3" s="174"/>
      <c r="AW3" s="174"/>
      <c r="AX3" s="174"/>
      <c r="AY3" s="174"/>
      <c r="AZ3" s="174"/>
      <c r="BA3" s="174"/>
      <c r="BB3" s="174"/>
      <c r="BC3" s="174"/>
      <c r="BD3" s="174"/>
      <c r="BE3" s="174"/>
      <c r="BF3" s="174"/>
      <c r="BG3" s="174"/>
      <c r="BH3" s="174"/>
      <c r="BI3" s="174"/>
      <c r="BJ3" s="174"/>
      <c r="BK3" s="174"/>
      <c r="BL3" s="174"/>
      <c r="BM3" s="174"/>
      <c r="BN3" s="174"/>
      <c r="BO3" s="174"/>
      <c r="BP3" s="174"/>
      <c r="BQ3" s="174"/>
      <c r="BR3" s="174"/>
      <c r="BS3" s="174"/>
      <c r="BT3" s="174"/>
      <c r="BU3" s="174"/>
      <c r="BV3" s="174"/>
      <c r="BW3" s="174"/>
      <c r="BX3" s="174"/>
      <c r="BY3" s="174"/>
      <c r="BZ3" s="174"/>
      <c r="CA3" s="174"/>
      <c r="CB3" s="174"/>
      <c r="CC3" s="174"/>
      <c r="CD3" s="174"/>
      <c r="CE3" s="174"/>
      <c r="CF3" s="174"/>
      <c r="CG3" s="174"/>
      <c r="CH3" s="174"/>
      <c r="CI3" s="174"/>
      <c r="CJ3" s="174"/>
      <c r="CK3" s="174"/>
      <c r="CL3" s="174"/>
      <c r="CM3" s="174"/>
      <c r="CN3" s="174"/>
      <c r="CO3" s="174"/>
      <c r="CP3" s="174"/>
      <c r="CQ3" s="174"/>
      <c r="CR3" s="174"/>
      <c r="CS3" s="174"/>
      <c r="CT3" s="174"/>
      <c r="CU3" s="174"/>
      <c r="CV3" s="174"/>
      <c r="CW3" s="174"/>
      <c r="CX3" s="174"/>
      <c r="CY3" s="174"/>
      <c r="CZ3" s="174"/>
      <c r="DA3" s="174"/>
      <c r="DB3" s="174"/>
      <c r="DC3" s="174"/>
      <c r="DD3" s="174"/>
      <c r="DE3" s="174"/>
      <c r="DF3" s="174"/>
      <c r="DG3" s="174"/>
      <c r="DH3" s="174"/>
      <c r="DI3" s="174"/>
      <c r="DJ3" s="174"/>
      <c r="DK3" s="174"/>
      <c r="DL3" s="174"/>
      <c r="DM3" s="174"/>
      <c r="DN3" s="174"/>
      <c r="DO3" s="174"/>
      <c r="DP3" s="174"/>
      <c r="DQ3" s="174"/>
      <c r="DR3" s="174"/>
      <c r="DS3" s="174"/>
      <c r="DT3" s="174"/>
      <c r="DU3" s="174"/>
      <c r="DV3" s="174"/>
      <c r="DW3" s="174"/>
      <c r="DX3" s="174"/>
      <c r="DY3" s="174"/>
      <c r="DZ3" s="174"/>
      <c r="EA3" s="174"/>
      <c r="EB3" s="174"/>
      <c r="EC3" s="174"/>
      <c r="ED3" s="174"/>
      <c r="EE3" s="174"/>
      <c r="EF3" s="174"/>
    </row>
    <row r="4" spans="1:136">
      <c r="A4" s="174"/>
      <c r="B4" s="174"/>
      <c r="C4" s="174"/>
      <c r="D4" s="174"/>
      <c r="E4" s="174"/>
      <c r="F4" s="174"/>
      <c r="G4" s="174"/>
      <c r="H4" s="174"/>
      <c r="I4" s="174"/>
      <c r="J4" s="174"/>
      <c r="K4" s="174"/>
      <c r="L4" s="174"/>
      <c r="M4" s="174"/>
      <c r="N4" s="174"/>
      <c r="O4" s="174"/>
      <c r="P4" s="174"/>
      <c r="Q4" s="174"/>
      <c r="R4" s="174"/>
      <c r="S4" s="174"/>
      <c r="T4" s="174"/>
      <c r="U4" s="174"/>
      <c r="V4" s="174"/>
      <c r="W4" s="174"/>
      <c r="X4" s="174"/>
      <c r="Y4" s="174"/>
      <c r="Z4" s="174"/>
      <c r="AA4" s="174"/>
      <c r="AB4" s="174"/>
      <c r="AC4" s="174"/>
      <c r="AD4" s="174"/>
      <c r="AE4" s="174"/>
      <c r="AF4" s="174"/>
      <c r="AG4" s="174"/>
      <c r="AH4" s="174"/>
      <c r="AI4" s="174"/>
      <c r="AJ4" s="174"/>
      <c r="AK4" s="174"/>
      <c r="AL4" s="174"/>
      <c r="AM4" s="174"/>
      <c r="AN4" s="174"/>
      <c r="AO4" s="174"/>
      <c r="AP4" s="174"/>
      <c r="AQ4" s="174"/>
      <c r="AR4" s="174"/>
      <c r="AS4" s="174"/>
      <c r="AT4" s="174"/>
      <c r="AU4" s="174"/>
      <c r="AV4" s="174"/>
      <c r="AW4" s="174"/>
      <c r="AX4" s="174"/>
      <c r="AY4" s="174"/>
      <c r="AZ4" s="174"/>
      <c r="BA4" s="174"/>
      <c r="BB4" s="174"/>
      <c r="BC4" s="174"/>
      <c r="BD4" s="174"/>
      <c r="BE4" s="174"/>
      <c r="BF4" s="174"/>
      <c r="BG4" s="174"/>
      <c r="BH4" s="174"/>
      <c r="BI4" s="174"/>
      <c r="BJ4" s="174"/>
      <c r="BK4" s="174"/>
      <c r="BL4" s="174"/>
      <c r="BM4" s="174"/>
      <c r="BN4" s="174"/>
      <c r="BO4" s="174"/>
      <c r="BP4" s="174"/>
      <c r="BQ4" s="174"/>
      <c r="BR4" s="174"/>
      <c r="BS4" s="174"/>
      <c r="BT4" s="174"/>
      <c r="BU4" s="174"/>
      <c r="BV4" s="174"/>
      <c r="BW4" s="174"/>
      <c r="BX4" s="174"/>
      <c r="BY4" s="174"/>
      <c r="BZ4" s="174"/>
      <c r="CA4" s="174"/>
      <c r="CB4" s="174"/>
      <c r="CC4" s="174"/>
      <c r="CD4" s="174"/>
      <c r="CE4" s="174"/>
      <c r="CF4" s="174"/>
      <c r="CG4" s="174"/>
      <c r="CH4" s="174"/>
      <c r="CI4" s="174"/>
      <c r="CJ4" s="174"/>
      <c r="CK4" s="174"/>
      <c r="CL4" s="174"/>
      <c r="CM4" s="174"/>
      <c r="CN4" s="174"/>
      <c r="CO4" s="174"/>
      <c r="CP4" s="174"/>
      <c r="CQ4" s="174"/>
      <c r="CR4" s="174"/>
      <c r="CS4" s="174"/>
      <c r="CT4" s="174"/>
      <c r="CU4" s="174"/>
      <c r="CV4" s="174"/>
      <c r="CW4" s="174"/>
      <c r="CX4" s="174"/>
      <c r="CY4" s="174"/>
      <c r="CZ4" s="174"/>
      <c r="DA4" s="174"/>
      <c r="DB4" s="174"/>
      <c r="DC4" s="174"/>
      <c r="DD4" s="174"/>
      <c r="DE4" s="174"/>
      <c r="DF4" s="174"/>
      <c r="DG4" s="174"/>
      <c r="DH4" s="174"/>
      <c r="DI4" s="174"/>
      <c r="DJ4" s="174"/>
      <c r="DK4" s="174"/>
      <c r="DL4" s="174"/>
      <c r="DM4" s="174"/>
      <c r="DN4" s="174"/>
      <c r="DO4" s="174"/>
      <c r="DP4" s="174"/>
      <c r="DQ4" s="174"/>
      <c r="DR4" s="174"/>
      <c r="DS4" s="174"/>
      <c r="DT4" s="174"/>
      <c r="DU4" s="174"/>
      <c r="DV4" s="174"/>
      <c r="DW4" s="174"/>
      <c r="DX4" s="174"/>
      <c r="DY4" s="174"/>
      <c r="DZ4" s="174"/>
      <c r="EA4" s="174"/>
      <c r="EB4" s="174"/>
      <c r="EC4" s="174"/>
      <c r="ED4" s="174"/>
      <c r="EE4" s="174"/>
      <c r="EF4" s="174"/>
    </row>
    <row r="5" spans="1:136" ht="12.75" customHeight="1">
      <c r="A5" s="694" t="s">
        <v>223</v>
      </c>
      <c r="B5" s="695"/>
      <c r="C5" s="695"/>
      <c r="D5" s="695"/>
      <c r="E5" s="695"/>
      <c r="F5" s="695"/>
      <c r="G5" s="695"/>
      <c r="H5" s="695"/>
      <c r="I5" s="695"/>
      <c r="J5" s="695"/>
      <c r="K5" s="695"/>
      <c r="L5" s="695"/>
      <c r="M5" s="695"/>
      <c r="N5" s="695"/>
      <c r="O5" s="695"/>
      <c r="P5" s="696"/>
      <c r="Q5" s="174"/>
      <c r="R5" s="694" t="s">
        <v>224</v>
      </c>
      <c r="S5" s="695"/>
      <c r="T5" s="695"/>
      <c r="U5" s="695"/>
      <c r="V5" s="695"/>
      <c r="W5" s="695"/>
      <c r="X5" s="695"/>
      <c r="Y5" s="695"/>
      <c r="Z5" s="695"/>
      <c r="AA5" s="695"/>
      <c r="AB5" s="695"/>
      <c r="AC5" s="695"/>
      <c r="AD5" s="695"/>
      <c r="AE5" s="695"/>
      <c r="AF5" s="695"/>
      <c r="AG5" s="696"/>
      <c r="AH5" s="174"/>
      <c r="AI5" s="694" t="s">
        <v>225</v>
      </c>
      <c r="AJ5" s="695"/>
      <c r="AK5" s="695"/>
      <c r="AL5" s="695"/>
      <c r="AM5" s="695"/>
      <c r="AN5" s="695"/>
      <c r="AO5" s="695"/>
      <c r="AP5" s="695"/>
      <c r="AQ5" s="695"/>
      <c r="AR5" s="695"/>
      <c r="AS5" s="695"/>
      <c r="AT5" s="695"/>
      <c r="AU5" s="695"/>
      <c r="AV5" s="695"/>
      <c r="AW5" s="695"/>
      <c r="AX5" s="696"/>
      <c r="AY5" s="174"/>
      <c r="AZ5" s="694" t="s">
        <v>226</v>
      </c>
      <c r="BA5" s="695"/>
      <c r="BB5" s="695"/>
      <c r="BC5" s="695"/>
      <c r="BD5" s="695"/>
      <c r="BE5" s="695"/>
      <c r="BF5" s="695"/>
      <c r="BG5" s="695"/>
      <c r="BH5" s="695"/>
      <c r="BI5" s="695"/>
      <c r="BJ5" s="695"/>
      <c r="BK5" s="695"/>
      <c r="BL5" s="695"/>
      <c r="BM5" s="695"/>
      <c r="BN5" s="695"/>
      <c r="BO5" s="696"/>
      <c r="BP5" s="174"/>
      <c r="BQ5" s="694" t="s">
        <v>227</v>
      </c>
      <c r="BR5" s="695"/>
      <c r="BS5" s="695"/>
      <c r="BT5" s="695"/>
      <c r="BU5" s="695"/>
      <c r="BV5" s="695"/>
      <c r="BW5" s="695"/>
      <c r="BX5" s="695"/>
      <c r="BY5" s="695"/>
      <c r="BZ5" s="695"/>
      <c r="CA5" s="695"/>
      <c r="CB5" s="695"/>
      <c r="CC5" s="695"/>
      <c r="CD5" s="695"/>
      <c r="CE5" s="695"/>
      <c r="CF5" s="696"/>
      <c r="CG5" s="174"/>
      <c r="CH5" s="694" t="s">
        <v>228</v>
      </c>
      <c r="CI5" s="695"/>
      <c r="CJ5" s="695"/>
      <c r="CK5" s="695"/>
      <c r="CL5" s="695"/>
      <c r="CM5" s="695"/>
      <c r="CN5" s="695"/>
      <c r="CO5" s="695"/>
      <c r="CP5" s="695"/>
      <c r="CQ5" s="695"/>
      <c r="CR5" s="695"/>
      <c r="CS5" s="695"/>
      <c r="CT5" s="695"/>
      <c r="CU5" s="695"/>
      <c r="CV5" s="695"/>
      <c r="CW5" s="696"/>
      <c r="CX5" s="174"/>
      <c r="CY5" s="694" t="s">
        <v>229</v>
      </c>
      <c r="CZ5" s="695"/>
      <c r="DA5" s="695"/>
      <c r="DB5" s="695"/>
      <c r="DC5" s="695"/>
      <c r="DD5" s="695"/>
      <c r="DE5" s="695"/>
      <c r="DF5" s="695"/>
      <c r="DG5" s="695"/>
      <c r="DH5" s="695"/>
      <c r="DI5" s="695"/>
      <c r="DJ5" s="695"/>
      <c r="DK5" s="695"/>
      <c r="DL5" s="695"/>
      <c r="DM5" s="695"/>
      <c r="DN5" s="696"/>
      <c r="DO5" s="174"/>
      <c r="DP5" s="694" t="s">
        <v>230</v>
      </c>
      <c r="DQ5" s="695"/>
      <c r="DR5" s="695"/>
      <c r="DS5" s="695"/>
      <c r="DT5" s="695"/>
      <c r="DU5" s="695"/>
      <c r="DV5" s="695"/>
      <c r="DW5" s="695"/>
      <c r="DX5" s="695"/>
      <c r="DY5" s="695"/>
      <c r="DZ5" s="695"/>
      <c r="EA5" s="695"/>
      <c r="EB5" s="695"/>
      <c r="EC5" s="695"/>
      <c r="ED5" s="695"/>
      <c r="EE5" s="696"/>
      <c r="EF5" s="174"/>
    </row>
    <row r="6" spans="1:136" ht="12.75" customHeight="1">
      <c r="A6" s="697"/>
      <c r="B6" s="698"/>
      <c r="C6" s="698"/>
      <c r="D6" s="698"/>
      <c r="E6" s="698"/>
      <c r="F6" s="698"/>
      <c r="G6" s="698"/>
      <c r="H6" s="698"/>
      <c r="I6" s="698"/>
      <c r="J6" s="698"/>
      <c r="K6" s="698"/>
      <c r="L6" s="698"/>
      <c r="M6" s="698"/>
      <c r="N6" s="698"/>
      <c r="O6" s="698"/>
      <c r="P6" s="699"/>
      <c r="Q6" s="174"/>
      <c r="R6" s="697"/>
      <c r="S6" s="698"/>
      <c r="T6" s="698"/>
      <c r="U6" s="698"/>
      <c r="V6" s="698"/>
      <c r="W6" s="698"/>
      <c r="X6" s="698"/>
      <c r="Y6" s="698"/>
      <c r="Z6" s="698"/>
      <c r="AA6" s="698"/>
      <c r="AB6" s="698"/>
      <c r="AC6" s="698"/>
      <c r="AD6" s="698"/>
      <c r="AE6" s="698"/>
      <c r="AF6" s="698"/>
      <c r="AG6" s="699"/>
      <c r="AH6" s="174"/>
      <c r="AI6" s="697"/>
      <c r="AJ6" s="698"/>
      <c r="AK6" s="698"/>
      <c r="AL6" s="698"/>
      <c r="AM6" s="698"/>
      <c r="AN6" s="698"/>
      <c r="AO6" s="698"/>
      <c r="AP6" s="698"/>
      <c r="AQ6" s="698"/>
      <c r="AR6" s="698"/>
      <c r="AS6" s="698"/>
      <c r="AT6" s="698"/>
      <c r="AU6" s="698"/>
      <c r="AV6" s="698"/>
      <c r="AW6" s="698"/>
      <c r="AX6" s="699"/>
      <c r="AY6" s="174"/>
      <c r="AZ6" s="697"/>
      <c r="BA6" s="698"/>
      <c r="BB6" s="698"/>
      <c r="BC6" s="698"/>
      <c r="BD6" s="698"/>
      <c r="BE6" s="698"/>
      <c r="BF6" s="698"/>
      <c r="BG6" s="698"/>
      <c r="BH6" s="698"/>
      <c r="BI6" s="698"/>
      <c r="BJ6" s="698"/>
      <c r="BK6" s="698"/>
      <c r="BL6" s="698"/>
      <c r="BM6" s="698"/>
      <c r="BN6" s="698"/>
      <c r="BO6" s="699"/>
      <c r="BP6" s="174"/>
      <c r="BQ6" s="697"/>
      <c r="BR6" s="698"/>
      <c r="BS6" s="698"/>
      <c r="BT6" s="698"/>
      <c r="BU6" s="698"/>
      <c r="BV6" s="698"/>
      <c r="BW6" s="698"/>
      <c r="BX6" s="698"/>
      <c r="BY6" s="698"/>
      <c r="BZ6" s="698"/>
      <c r="CA6" s="698"/>
      <c r="CB6" s="698"/>
      <c r="CC6" s="698"/>
      <c r="CD6" s="698"/>
      <c r="CE6" s="698"/>
      <c r="CF6" s="699"/>
      <c r="CG6" s="174"/>
      <c r="CH6" s="697"/>
      <c r="CI6" s="698"/>
      <c r="CJ6" s="698"/>
      <c r="CK6" s="698"/>
      <c r="CL6" s="698"/>
      <c r="CM6" s="698"/>
      <c r="CN6" s="698"/>
      <c r="CO6" s="698"/>
      <c r="CP6" s="698"/>
      <c r="CQ6" s="698"/>
      <c r="CR6" s="698"/>
      <c r="CS6" s="698"/>
      <c r="CT6" s="698"/>
      <c r="CU6" s="698"/>
      <c r="CV6" s="698"/>
      <c r="CW6" s="699"/>
      <c r="CX6" s="174"/>
      <c r="CY6" s="697"/>
      <c r="CZ6" s="698"/>
      <c r="DA6" s="698"/>
      <c r="DB6" s="698"/>
      <c r="DC6" s="698"/>
      <c r="DD6" s="698"/>
      <c r="DE6" s="698"/>
      <c r="DF6" s="698"/>
      <c r="DG6" s="698"/>
      <c r="DH6" s="698"/>
      <c r="DI6" s="698"/>
      <c r="DJ6" s="698"/>
      <c r="DK6" s="698"/>
      <c r="DL6" s="698"/>
      <c r="DM6" s="698"/>
      <c r="DN6" s="699"/>
      <c r="DO6" s="174"/>
      <c r="DP6" s="697"/>
      <c r="DQ6" s="698"/>
      <c r="DR6" s="698"/>
      <c r="DS6" s="698"/>
      <c r="DT6" s="698"/>
      <c r="DU6" s="698"/>
      <c r="DV6" s="698"/>
      <c r="DW6" s="698"/>
      <c r="DX6" s="698"/>
      <c r="DY6" s="698"/>
      <c r="DZ6" s="698"/>
      <c r="EA6" s="698"/>
      <c r="EB6" s="698"/>
      <c r="EC6" s="698"/>
      <c r="ED6" s="698"/>
      <c r="EE6" s="699"/>
      <c r="EF6" s="174"/>
    </row>
    <row r="7" spans="1:136" ht="12.75" customHeight="1">
      <c r="A7" s="700" t="s">
        <v>231</v>
      </c>
      <c r="B7" s="701"/>
      <c r="C7" s="701"/>
      <c r="D7" s="701"/>
      <c r="E7" s="701"/>
      <c r="F7" s="701"/>
      <c r="G7" s="701"/>
      <c r="H7" s="701"/>
      <c r="I7" s="701"/>
      <c r="J7" s="701"/>
      <c r="K7" s="701"/>
      <c r="L7" s="701"/>
      <c r="M7" s="701"/>
      <c r="N7" s="701"/>
      <c r="O7" s="701"/>
      <c r="P7" s="702"/>
      <c r="Q7" s="174"/>
      <c r="R7" s="700" t="s">
        <v>231</v>
      </c>
      <c r="S7" s="701"/>
      <c r="T7" s="701"/>
      <c r="U7" s="701"/>
      <c r="V7" s="701"/>
      <c r="W7" s="701"/>
      <c r="X7" s="701"/>
      <c r="Y7" s="701"/>
      <c r="Z7" s="701"/>
      <c r="AA7" s="701"/>
      <c r="AB7" s="701"/>
      <c r="AC7" s="701"/>
      <c r="AD7" s="701"/>
      <c r="AE7" s="701"/>
      <c r="AF7" s="701"/>
      <c r="AG7" s="702"/>
      <c r="AH7" s="174"/>
      <c r="AI7" s="700" t="s">
        <v>231</v>
      </c>
      <c r="AJ7" s="701"/>
      <c r="AK7" s="701"/>
      <c r="AL7" s="701"/>
      <c r="AM7" s="701"/>
      <c r="AN7" s="701"/>
      <c r="AO7" s="701"/>
      <c r="AP7" s="701"/>
      <c r="AQ7" s="701"/>
      <c r="AR7" s="701"/>
      <c r="AS7" s="701"/>
      <c r="AT7" s="701"/>
      <c r="AU7" s="701"/>
      <c r="AV7" s="701"/>
      <c r="AW7" s="701"/>
      <c r="AX7" s="702"/>
      <c r="AY7" s="174"/>
      <c r="AZ7" s="700" t="s">
        <v>231</v>
      </c>
      <c r="BA7" s="701"/>
      <c r="BB7" s="701"/>
      <c r="BC7" s="701"/>
      <c r="BD7" s="701"/>
      <c r="BE7" s="701"/>
      <c r="BF7" s="701"/>
      <c r="BG7" s="701"/>
      <c r="BH7" s="701"/>
      <c r="BI7" s="701"/>
      <c r="BJ7" s="701"/>
      <c r="BK7" s="701"/>
      <c r="BL7" s="701"/>
      <c r="BM7" s="701"/>
      <c r="BN7" s="701"/>
      <c r="BO7" s="702"/>
      <c r="BP7" s="174"/>
      <c r="BQ7" s="700" t="s">
        <v>231</v>
      </c>
      <c r="BR7" s="701"/>
      <c r="BS7" s="701"/>
      <c r="BT7" s="701"/>
      <c r="BU7" s="701"/>
      <c r="BV7" s="701"/>
      <c r="BW7" s="701"/>
      <c r="BX7" s="701"/>
      <c r="BY7" s="701"/>
      <c r="BZ7" s="701"/>
      <c r="CA7" s="701"/>
      <c r="CB7" s="701"/>
      <c r="CC7" s="701"/>
      <c r="CD7" s="701"/>
      <c r="CE7" s="701"/>
      <c r="CF7" s="702"/>
      <c r="CG7" s="174"/>
      <c r="CH7" s="700" t="s">
        <v>231</v>
      </c>
      <c r="CI7" s="701"/>
      <c r="CJ7" s="701"/>
      <c r="CK7" s="701"/>
      <c r="CL7" s="701"/>
      <c r="CM7" s="701"/>
      <c r="CN7" s="701"/>
      <c r="CO7" s="701"/>
      <c r="CP7" s="701"/>
      <c r="CQ7" s="701"/>
      <c r="CR7" s="701"/>
      <c r="CS7" s="701"/>
      <c r="CT7" s="701"/>
      <c r="CU7" s="701"/>
      <c r="CV7" s="701"/>
      <c r="CW7" s="702"/>
      <c r="CX7" s="174"/>
      <c r="CY7" s="700" t="s">
        <v>231</v>
      </c>
      <c r="CZ7" s="701"/>
      <c r="DA7" s="701"/>
      <c r="DB7" s="701"/>
      <c r="DC7" s="701"/>
      <c r="DD7" s="701"/>
      <c r="DE7" s="701"/>
      <c r="DF7" s="701"/>
      <c r="DG7" s="701"/>
      <c r="DH7" s="701"/>
      <c r="DI7" s="701"/>
      <c r="DJ7" s="701"/>
      <c r="DK7" s="701"/>
      <c r="DL7" s="701"/>
      <c r="DM7" s="701"/>
      <c r="DN7" s="702"/>
      <c r="DO7" s="174"/>
      <c r="DP7" s="700" t="s">
        <v>231</v>
      </c>
      <c r="DQ7" s="701"/>
      <c r="DR7" s="701"/>
      <c r="DS7" s="701"/>
      <c r="DT7" s="701"/>
      <c r="DU7" s="701"/>
      <c r="DV7" s="701"/>
      <c r="DW7" s="701"/>
      <c r="DX7" s="701"/>
      <c r="DY7" s="701"/>
      <c r="DZ7" s="701"/>
      <c r="EA7" s="701"/>
      <c r="EB7" s="701"/>
      <c r="EC7" s="701"/>
      <c r="ED7" s="701"/>
      <c r="EE7" s="702"/>
      <c r="EF7" s="174"/>
    </row>
    <row r="8" spans="1:136" ht="12.75" customHeight="1">
      <c r="A8" s="703"/>
      <c r="B8" s="704"/>
      <c r="C8" s="704"/>
      <c r="D8" s="704"/>
      <c r="E8" s="704"/>
      <c r="F8" s="704"/>
      <c r="G8" s="704"/>
      <c r="H8" s="704"/>
      <c r="I8" s="704"/>
      <c r="J8" s="704"/>
      <c r="K8" s="704"/>
      <c r="L8" s="704"/>
      <c r="M8" s="704"/>
      <c r="N8" s="704"/>
      <c r="O8" s="704"/>
      <c r="P8" s="705"/>
      <c r="Q8" s="174"/>
      <c r="R8" s="703"/>
      <c r="S8" s="704"/>
      <c r="T8" s="704"/>
      <c r="U8" s="704"/>
      <c r="V8" s="704"/>
      <c r="W8" s="704"/>
      <c r="X8" s="704"/>
      <c r="Y8" s="704"/>
      <c r="Z8" s="704"/>
      <c r="AA8" s="704"/>
      <c r="AB8" s="704"/>
      <c r="AC8" s="704"/>
      <c r="AD8" s="704"/>
      <c r="AE8" s="704"/>
      <c r="AF8" s="704"/>
      <c r="AG8" s="705"/>
      <c r="AH8" s="174"/>
      <c r="AI8" s="703"/>
      <c r="AJ8" s="704"/>
      <c r="AK8" s="704"/>
      <c r="AL8" s="704"/>
      <c r="AM8" s="704"/>
      <c r="AN8" s="704"/>
      <c r="AO8" s="704"/>
      <c r="AP8" s="704"/>
      <c r="AQ8" s="704"/>
      <c r="AR8" s="704"/>
      <c r="AS8" s="704"/>
      <c r="AT8" s="704"/>
      <c r="AU8" s="704"/>
      <c r="AV8" s="704"/>
      <c r="AW8" s="704"/>
      <c r="AX8" s="705"/>
      <c r="AY8" s="174"/>
      <c r="AZ8" s="703"/>
      <c r="BA8" s="704"/>
      <c r="BB8" s="704"/>
      <c r="BC8" s="704"/>
      <c r="BD8" s="704"/>
      <c r="BE8" s="704"/>
      <c r="BF8" s="704"/>
      <c r="BG8" s="704"/>
      <c r="BH8" s="704"/>
      <c r="BI8" s="704"/>
      <c r="BJ8" s="704"/>
      <c r="BK8" s="704"/>
      <c r="BL8" s="704"/>
      <c r="BM8" s="704"/>
      <c r="BN8" s="704"/>
      <c r="BO8" s="705"/>
      <c r="BP8" s="174"/>
      <c r="BQ8" s="703"/>
      <c r="BR8" s="704"/>
      <c r="BS8" s="704"/>
      <c r="BT8" s="704"/>
      <c r="BU8" s="704"/>
      <c r="BV8" s="704"/>
      <c r="BW8" s="704"/>
      <c r="BX8" s="704"/>
      <c r="BY8" s="704"/>
      <c r="BZ8" s="704"/>
      <c r="CA8" s="704"/>
      <c r="CB8" s="704"/>
      <c r="CC8" s="704"/>
      <c r="CD8" s="704"/>
      <c r="CE8" s="704"/>
      <c r="CF8" s="705"/>
      <c r="CG8" s="174"/>
      <c r="CH8" s="703"/>
      <c r="CI8" s="704"/>
      <c r="CJ8" s="704"/>
      <c r="CK8" s="704"/>
      <c r="CL8" s="704"/>
      <c r="CM8" s="704"/>
      <c r="CN8" s="704"/>
      <c r="CO8" s="704"/>
      <c r="CP8" s="704"/>
      <c r="CQ8" s="704"/>
      <c r="CR8" s="704"/>
      <c r="CS8" s="704"/>
      <c r="CT8" s="704"/>
      <c r="CU8" s="704"/>
      <c r="CV8" s="704"/>
      <c r="CW8" s="705"/>
      <c r="CX8" s="174"/>
      <c r="CY8" s="703"/>
      <c r="CZ8" s="704"/>
      <c r="DA8" s="704"/>
      <c r="DB8" s="704"/>
      <c r="DC8" s="704"/>
      <c r="DD8" s="704"/>
      <c r="DE8" s="704"/>
      <c r="DF8" s="704"/>
      <c r="DG8" s="704"/>
      <c r="DH8" s="704"/>
      <c r="DI8" s="704"/>
      <c r="DJ8" s="704"/>
      <c r="DK8" s="704"/>
      <c r="DL8" s="704"/>
      <c r="DM8" s="704"/>
      <c r="DN8" s="705"/>
      <c r="DO8" s="174"/>
      <c r="DP8" s="703"/>
      <c r="DQ8" s="704"/>
      <c r="DR8" s="704"/>
      <c r="DS8" s="704"/>
      <c r="DT8" s="704"/>
      <c r="DU8" s="704"/>
      <c r="DV8" s="704"/>
      <c r="DW8" s="704"/>
      <c r="DX8" s="704"/>
      <c r="DY8" s="704"/>
      <c r="DZ8" s="704"/>
      <c r="EA8" s="704"/>
      <c r="EB8" s="704"/>
      <c r="EC8" s="704"/>
      <c r="ED8" s="704"/>
      <c r="EE8" s="705"/>
      <c r="EF8" s="174"/>
    </row>
    <row r="9" spans="1:136" ht="12.75" customHeight="1">
      <c r="A9" s="678" t="s">
        <v>232</v>
      </c>
      <c r="B9" s="679"/>
      <c r="C9" s="679"/>
      <c r="D9" s="679"/>
      <c r="E9" s="686" t="s">
        <v>35</v>
      </c>
      <c r="F9" s="687"/>
      <c r="G9" s="351"/>
      <c r="H9" s="682" t="s">
        <v>318</v>
      </c>
      <c r="I9" s="683"/>
      <c r="J9" s="683"/>
      <c r="K9" s="683"/>
      <c r="L9" s="690" t="s">
        <v>35</v>
      </c>
      <c r="M9" s="690"/>
      <c r="N9" s="690"/>
      <c r="O9" s="690"/>
      <c r="P9" s="691"/>
      <c r="Q9" s="174"/>
      <c r="R9" s="678" t="s">
        <v>232</v>
      </c>
      <c r="S9" s="679"/>
      <c r="T9" s="679"/>
      <c r="U9" s="679"/>
      <c r="V9" s="690" t="s">
        <v>35</v>
      </c>
      <c r="W9" s="691"/>
      <c r="X9" s="351"/>
      <c r="Y9" s="706" t="s">
        <v>318</v>
      </c>
      <c r="Z9" s="683"/>
      <c r="AA9" s="683"/>
      <c r="AB9" s="683"/>
      <c r="AC9" s="690" t="s">
        <v>35</v>
      </c>
      <c r="AD9" s="690"/>
      <c r="AE9" s="690"/>
      <c r="AF9" s="690"/>
      <c r="AG9" s="691"/>
      <c r="AH9" s="174"/>
      <c r="AI9" s="678" t="s">
        <v>232</v>
      </c>
      <c r="AJ9" s="679"/>
      <c r="AK9" s="679"/>
      <c r="AL9" s="679"/>
      <c r="AM9" s="690" t="s">
        <v>35</v>
      </c>
      <c r="AN9" s="691"/>
      <c r="AO9" s="351"/>
      <c r="AP9" s="706" t="s">
        <v>318</v>
      </c>
      <c r="AQ9" s="683"/>
      <c r="AR9" s="683"/>
      <c r="AS9" s="683"/>
      <c r="AT9" s="690" t="s">
        <v>35</v>
      </c>
      <c r="AU9" s="690"/>
      <c r="AV9" s="690"/>
      <c r="AW9" s="690"/>
      <c r="AX9" s="691"/>
      <c r="AY9" s="174"/>
      <c r="AZ9" s="678" t="s">
        <v>232</v>
      </c>
      <c r="BA9" s="679"/>
      <c r="BB9" s="679"/>
      <c r="BC9" s="679"/>
      <c r="BD9" s="690" t="s">
        <v>35</v>
      </c>
      <c r="BE9" s="691"/>
      <c r="BF9" s="351"/>
      <c r="BG9" s="706" t="s">
        <v>318</v>
      </c>
      <c r="BH9" s="683"/>
      <c r="BI9" s="683"/>
      <c r="BJ9" s="683"/>
      <c r="BK9" s="690" t="s">
        <v>35</v>
      </c>
      <c r="BL9" s="690"/>
      <c r="BM9" s="690"/>
      <c r="BN9" s="690"/>
      <c r="BO9" s="691"/>
      <c r="BP9" s="174"/>
      <c r="BQ9" s="678" t="s">
        <v>232</v>
      </c>
      <c r="BR9" s="679"/>
      <c r="BS9" s="679"/>
      <c r="BT9" s="679"/>
      <c r="BU9" s="690" t="s">
        <v>35</v>
      </c>
      <c r="BV9" s="691"/>
      <c r="BW9" s="351"/>
      <c r="BX9" s="706" t="s">
        <v>318</v>
      </c>
      <c r="BY9" s="683"/>
      <c r="BZ9" s="683"/>
      <c r="CA9" s="683"/>
      <c r="CB9" s="690" t="s">
        <v>35</v>
      </c>
      <c r="CC9" s="690"/>
      <c r="CD9" s="690"/>
      <c r="CE9" s="690"/>
      <c r="CF9" s="691"/>
      <c r="CG9" s="174"/>
      <c r="CH9" s="678" t="s">
        <v>232</v>
      </c>
      <c r="CI9" s="679"/>
      <c r="CJ9" s="679"/>
      <c r="CK9" s="679"/>
      <c r="CL9" s="690" t="s">
        <v>35</v>
      </c>
      <c r="CM9" s="691"/>
      <c r="CN9" s="351"/>
      <c r="CO9" s="706" t="s">
        <v>318</v>
      </c>
      <c r="CP9" s="683"/>
      <c r="CQ9" s="683"/>
      <c r="CR9" s="683"/>
      <c r="CS9" s="690" t="s">
        <v>35</v>
      </c>
      <c r="CT9" s="690"/>
      <c r="CU9" s="690"/>
      <c r="CV9" s="690"/>
      <c r="CW9" s="691"/>
      <c r="CX9" s="174"/>
      <c r="CY9" s="678" t="s">
        <v>232</v>
      </c>
      <c r="CZ9" s="679"/>
      <c r="DA9" s="679"/>
      <c r="DB9" s="679"/>
      <c r="DC9" s="690" t="s">
        <v>35</v>
      </c>
      <c r="DD9" s="691"/>
      <c r="DE9" s="351"/>
      <c r="DF9" s="706" t="s">
        <v>318</v>
      </c>
      <c r="DG9" s="683"/>
      <c r="DH9" s="683"/>
      <c r="DI9" s="683"/>
      <c r="DJ9" s="690" t="s">
        <v>35</v>
      </c>
      <c r="DK9" s="690"/>
      <c r="DL9" s="690"/>
      <c r="DM9" s="690"/>
      <c r="DN9" s="691"/>
      <c r="DO9" s="174"/>
      <c r="DP9" s="678" t="s">
        <v>232</v>
      </c>
      <c r="DQ9" s="679"/>
      <c r="DR9" s="679"/>
      <c r="DS9" s="679"/>
      <c r="DT9" s="690" t="s">
        <v>35</v>
      </c>
      <c r="DU9" s="691"/>
      <c r="DV9" s="351"/>
      <c r="DW9" s="706" t="s">
        <v>318</v>
      </c>
      <c r="DX9" s="683"/>
      <c r="DY9" s="683"/>
      <c r="DZ9" s="683"/>
      <c r="EA9" s="690" t="s">
        <v>35</v>
      </c>
      <c r="EB9" s="690"/>
      <c r="EC9" s="690"/>
      <c r="ED9" s="690"/>
      <c r="EE9" s="691"/>
      <c r="EF9" s="174"/>
    </row>
    <row r="10" spans="1:136" ht="12.75" customHeight="1">
      <c r="A10" s="680"/>
      <c r="B10" s="681"/>
      <c r="C10" s="681"/>
      <c r="D10" s="681"/>
      <c r="E10" s="688"/>
      <c r="F10" s="689"/>
      <c r="G10" s="174"/>
      <c r="H10" s="684"/>
      <c r="I10" s="685"/>
      <c r="J10" s="685"/>
      <c r="K10" s="685"/>
      <c r="L10" s="692"/>
      <c r="M10" s="692"/>
      <c r="N10" s="692"/>
      <c r="O10" s="692"/>
      <c r="P10" s="693"/>
      <c r="Q10" s="174"/>
      <c r="R10" s="680"/>
      <c r="S10" s="681"/>
      <c r="T10" s="681"/>
      <c r="U10" s="681"/>
      <c r="V10" s="692"/>
      <c r="W10" s="693"/>
      <c r="X10" s="174"/>
      <c r="Y10" s="684"/>
      <c r="Z10" s="685"/>
      <c r="AA10" s="685"/>
      <c r="AB10" s="685"/>
      <c r="AC10" s="692"/>
      <c r="AD10" s="692"/>
      <c r="AE10" s="692"/>
      <c r="AF10" s="692"/>
      <c r="AG10" s="693"/>
      <c r="AH10" s="174"/>
      <c r="AI10" s="680"/>
      <c r="AJ10" s="681"/>
      <c r="AK10" s="681"/>
      <c r="AL10" s="681"/>
      <c r="AM10" s="692"/>
      <c r="AN10" s="693"/>
      <c r="AO10" s="174"/>
      <c r="AP10" s="684"/>
      <c r="AQ10" s="685"/>
      <c r="AR10" s="685"/>
      <c r="AS10" s="685"/>
      <c r="AT10" s="692"/>
      <c r="AU10" s="692"/>
      <c r="AV10" s="692"/>
      <c r="AW10" s="692"/>
      <c r="AX10" s="693"/>
      <c r="AY10" s="174"/>
      <c r="AZ10" s="680"/>
      <c r="BA10" s="681"/>
      <c r="BB10" s="681"/>
      <c r="BC10" s="681"/>
      <c r="BD10" s="692"/>
      <c r="BE10" s="693"/>
      <c r="BF10" s="174"/>
      <c r="BG10" s="684"/>
      <c r="BH10" s="685"/>
      <c r="BI10" s="685"/>
      <c r="BJ10" s="685"/>
      <c r="BK10" s="692"/>
      <c r="BL10" s="692"/>
      <c r="BM10" s="692"/>
      <c r="BN10" s="692"/>
      <c r="BO10" s="693"/>
      <c r="BP10" s="174"/>
      <c r="BQ10" s="680"/>
      <c r="BR10" s="681"/>
      <c r="BS10" s="681"/>
      <c r="BT10" s="681"/>
      <c r="BU10" s="692"/>
      <c r="BV10" s="693"/>
      <c r="BW10" s="174"/>
      <c r="BX10" s="684"/>
      <c r="BY10" s="685"/>
      <c r="BZ10" s="685"/>
      <c r="CA10" s="685"/>
      <c r="CB10" s="692"/>
      <c r="CC10" s="692"/>
      <c r="CD10" s="692"/>
      <c r="CE10" s="692"/>
      <c r="CF10" s="693"/>
      <c r="CG10" s="174"/>
      <c r="CH10" s="680"/>
      <c r="CI10" s="681"/>
      <c r="CJ10" s="681"/>
      <c r="CK10" s="681"/>
      <c r="CL10" s="692"/>
      <c r="CM10" s="693"/>
      <c r="CN10" s="174"/>
      <c r="CO10" s="684"/>
      <c r="CP10" s="685"/>
      <c r="CQ10" s="685"/>
      <c r="CR10" s="685"/>
      <c r="CS10" s="692"/>
      <c r="CT10" s="692"/>
      <c r="CU10" s="692"/>
      <c r="CV10" s="692"/>
      <c r="CW10" s="693"/>
      <c r="CX10" s="174"/>
      <c r="CY10" s="680"/>
      <c r="CZ10" s="681"/>
      <c r="DA10" s="681"/>
      <c r="DB10" s="681"/>
      <c r="DC10" s="692"/>
      <c r="DD10" s="693"/>
      <c r="DE10" s="174"/>
      <c r="DF10" s="684"/>
      <c r="DG10" s="685"/>
      <c r="DH10" s="685"/>
      <c r="DI10" s="685"/>
      <c r="DJ10" s="692"/>
      <c r="DK10" s="692"/>
      <c r="DL10" s="692"/>
      <c r="DM10" s="692"/>
      <c r="DN10" s="693"/>
      <c r="DO10" s="174"/>
      <c r="DP10" s="680"/>
      <c r="DQ10" s="681"/>
      <c r="DR10" s="681"/>
      <c r="DS10" s="681"/>
      <c r="DT10" s="692"/>
      <c r="DU10" s="693"/>
      <c r="DV10" s="174"/>
      <c r="DW10" s="684"/>
      <c r="DX10" s="685"/>
      <c r="DY10" s="685"/>
      <c r="DZ10" s="685"/>
      <c r="EA10" s="692"/>
      <c r="EB10" s="692"/>
      <c r="EC10" s="692"/>
      <c r="ED10" s="692"/>
      <c r="EE10" s="693"/>
      <c r="EF10" s="174"/>
    </row>
    <row r="11" spans="1:136" ht="12.75" customHeight="1">
      <c r="A11" s="672" t="str">
        <f>IF(E9="N/A","Please explain why not applicable","" )</f>
        <v/>
      </c>
      <c r="B11" s="673"/>
      <c r="C11" s="673"/>
      <c r="D11" s="673"/>
      <c r="E11" s="673"/>
      <c r="F11" s="674"/>
      <c r="G11" s="174"/>
      <c r="H11" s="660" t="str">
        <f>IF(L9="Performed own test","Please add pictures of test piece below and bring video to technical inspection","" )</f>
        <v/>
      </c>
      <c r="I11" s="661"/>
      <c r="J11" s="661"/>
      <c r="K11" s="661"/>
      <c r="L11" s="661"/>
      <c r="M11" s="661"/>
      <c r="N11" s="661"/>
      <c r="O11" s="661"/>
      <c r="P11" s="662"/>
      <c r="Q11" s="352"/>
      <c r="R11" s="672" t="str">
        <f>IF(V9="N/A","Please explain why not applicable","" )</f>
        <v/>
      </c>
      <c r="S11" s="673"/>
      <c r="T11" s="673"/>
      <c r="U11" s="673"/>
      <c r="V11" s="673"/>
      <c r="W11" s="674"/>
      <c r="X11" s="174"/>
      <c r="Y11" s="660" t="str">
        <f>IF(AC9="Performed own test","Please add pictures of test piece below and bring video to technical inspection","" )</f>
        <v/>
      </c>
      <c r="Z11" s="661"/>
      <c r="AA11" s="661"/>
      <c r="AB11" s="661"/>
      <c r="AC11" s="661"/>
      <c r="AD11" s="661"/>
      <c r="AE11" s="661"/>
      <c r="AF11" s="661"/>
      <c r="AG11" s="662"/>
      <c r="AH11" s="174"/>
      <c r="AI11" s="672" t="str">
        <f>IF(AM9="N/A","Please explain why not applicable","" )</f>
        <v/>
      </c>
      <c r="AJ11" s="673"/>
      <c r="AK11" s="673"/>
      <c r="AL11" s="673"/>
      <c r="AM11" s="673"/>
      <c r="AN11" s="674"/>
      <c r="AO11" s="174"/>
      <c r="AP11" s="660" t="str">
        <f>IF(AT9="Performed own test","Please add pictures of test piece below and bring video to technical inspection","" )</f>
        <v/>
      </c>
      <c r="AQ11" s="661"/>
      <c r="AR11" s="661"/>
      <c r="AS11" s="661"/>
      <c r="AT11" s="661"/>
      <c r="AU11" s="661"/>
      <c r="AV11" s="661"/>
      <c r="AW11" s="661"/>
      <c r="AX11" s="662"/>
      <c r="AY11" s="174"/>
      <c r="AZ11" s="672" t="str">
        <f>IF(BD9="N/A","Please explain why not applicable","" )</f>
        <v/>
      </c>
      <c r="BA11" s="673"/>
      <c r="BB11" s="673"/>
      <c r="BC11" s="673"/>
      <c r="BD11" s="673"/>
      <c r="BE11" s="674"/>
      <c r="BF11" s="174"/>
      <c r="BG11" s="660" t="str">
        <f>IF(BK9="Performed own test","Please add pictures of test piece below and bring video to technical inspection","" )</f>
        <v/>
      </c>
      <c r="BH11" s="661"/>
      <c r="BI11" s="661"/>
      <c r="BJ11" s="661"/>
      <c r="BK11" s="661"/>
      <c r="BL11" s="661"/>
      <c r="BM11" s="661"/>
      <c r="BN11" s="661"/>
      <c r="BO11" s="662"/>
      <c r="BP11" s="174"/>
      <c r="BQ11" s="672" t="str">
        <f>IF(BU9="N/A","Please explain why not applicable","" )</f>
        <v/>
      </c>
      <c r="BR11" s="673"/>
      <c r="BS11" s="673"/>
      <c r="BT11" s="673"/>
      <c r="BU11" s="673"/>
      <c r="BV11" s="674"/>
      <c r="BW11" s="174"/>
      <c r="BX11" s="660" t="str">
        <f>IF(CB9="Performed own test","Please add pictures of test piece below and bring video to technical inspection","" )</f>
        <v/>
      </c>
      <c r="BY11" s="661"/>
      <c r="BZ11" s="661"/>
      <c r="CA11" s="661"/>
      <c r="CB11" s="661"/>
      <c r="CC11" s="661"/>
      <c r="CD11" s="661"/>
      <c r="CE11" s="661"/>
      <c r="CF11" s="662"/>
      <c r="CG11" s="174"/>
      <c r="CH11" s="672" t="str">
        <f>IF(CL9="N/A","Please explain why not applicable","" )</f>
        <v/>
      </c>
      <c r="CI11" s="673"/>
      <c r="CJ11" s="673"/>
      <c r="CK11" s="673"/>
      <c r="CL11" s="673"/>
      <c r="CM11" s="674"/>
      <c r="CN11" s="174"/>
      <c r="CO11" s="660" t="str">
        <f>IF(CS9="Performed own test","Please add pictures of test piece below and bring video to technical inspection","" )</f>
        <v/>
      </c>
      <c r="CP11" s="661"/>
      <c r="CQ11" s="661"/>
      <c r="CR11" s="661"/>
      <c r="CS11" s="661"/>
      <c r="CT11" s="661"/>
      <c r="CU11" s="661"/>
      <c r="CV11" s="661"/>
      <c r="CW11" s="662"/>
      <c r="CX11" s="174"/>
      <c r="CY11" s="672" t="str">
        <f>IF(DC9="N/A","Please explain why not applicable","" )</f>
        <v/>
      </c>
      <c r="CZ11" s="673"/>
      <c r="DA11" s="673"/>
      <c r="DB11" s="673"/>
      <c r="DC11" s="673"/>
      <c r="DD11" s="674"/>
      <c r="DE11" s="174"/>
      <c r="DF11" s="660" t="str">
        <f>IF(DJ9="Performed own test","Please add pictures of test piece below and bring video to technical inspection","" )</f>
        <v/>
      </c>
      <c r="DG11" s="661"/>
      <c r="DH11" s="661"/>
      <c r="DI11" s="661"/>
      <c r="DJ11" s="661"/>
      <c r="DK11" s="661"/>
      <c r="DL11" s="661"/>
      <c r="DM11" s="661"/>
      <c r="DN11" s="662"/>
      <c r="DO11" s="174"/>
      <c r="DP11" s="672" t="str">
        <f>IF(DT9="N/A","Please explain why not applicable","" )</f>
        <v/>
      </c>
      <c r="DQ11" s="673"/>
      <c r="DR11" s="673"/>
      <c r="DS11" s="673"/>
      <c r="DT11" s="673"/>
      <c r="DU11" s="674"/>
      <c r="DV11" s="174"/>
      <c r="DW11" s="660" t="str">
        <f>IF(EA9="Performed own test","Please add pictures of test piece below and bring video to technical inspection","" )</f>
        <v/>
      </c>
      <c r="DX11" s="661"/>
      <c r="DY11" s="661"/>
      <c r="DZ11" s="661"/>
      <c r="EA11" s="661"/>
      <c r="EB11" s="661"/>
      <c r="EC11" s="661"/>
      <c r="ED11" s="661"/>
      <c r="EE11" s="662"/>
      <c r="EF11" s="174"/>
    </row>
    <row r="12" spans="1:136">
      <c r="A12" s="675"/>
      <c r="B12" s="676"/>
      <c r="C12" s="676"/>
      <c r="D12" s="676"/>
      <c r="E12" s="676"/>
      <c r="F12" s="677"/>
      <c r="G12" s="174"/>
      <c r="H12" s="663"/>
      <c r="I12" s="664"/>
      <c r="J12" s="664"/>
      <c r="K12" s="664"/>
      <c r="L12" s="664"/>
      <c r="M12" s="664"/>
      <c r="N12" s="664"/>
      <c r="O12" s="664"/>
      <c r="P12" s="665"/>
      <c r="Q12" s="352"/>
      <c r="R12" s="675"/>
      <c r="S12" s="676"/>
      <c r="T12" s="676"/>
      <c r="U12" s="676"/>
      <c r="V12" s="676"/>
      <c r="W12" s="677"/>
      <c r="X12" s="174"/>
      <c r="Y12" s="663"/>
      <c r="Z12" s="664"/>
      <c r="AA12" s="664"/>
      <c r="AB12" s="664"/>
      <c r="AC12" s="664"/>
      <c r="AD12" s="664"/>
      <c r="AE12" s="664"/>
      <c r="AF12" s="664"/>
      <c r="AG12" s="665"/>
      <c r="AH12" s="174"/>
      <c r="AI12" s="675"/>
      <c r="AJ12" s="676"/>
      <c r="AK12" s="676"/>
      <c r="AL12" s="676"/>
      <c r="AM12" s="676"/>
      <c r="AN12" s="677"/>
      <c r="AO12" s="174"/>
      <c r="AP12" s="663"/>
      <c r="AQ12" s="664"/>
      <c r="AR12" s="664"/>
      <c r="AS12" s="664"/>
      <c r="AT12" s="664"/>
      <c r="AU12" s="664"/>
      <c r="AV12" s="664"/>
      <c r="AW12" s="664"/>
      <c r="AX12" s="665"/>
      <c r="AY12" s="174"/>
      <c r="AZ12" s="675"/>
      <c r="BA12" s="676"/>
      <c r="BB12" s="676"/>
      <c r="BC12" s="676"/>
      <c r="BD12" s="676"/>
      <c r="BE12" s="677"/>
      <c r="BF12" s="174"/>
      <c r="BG12" s="663"/>
      <c r="BH12" s="664"/>
      <c r="BI12" s="664"/>
      <c r="BJ12" s="664"/>
      <c r="BK12" s="664"/>
      <c r="BL12" s="664"/>
      <c r="BM12" s="664"/>
      <c r="BN12" s="664"/>
      <c r="BO12" s="665"/>
      <c r="BP12" s="174"/>
      <c r="BQ12" s="675"/>
      <c r="BR12" s="676"/>
      <c r="BS12" s="676"/>
      <c r="BT12" s="676"/>
      <c r="BU12" s="676"/>
      <c r="BV12" s="677"/>
      <c r="BW12" s="174"/>
      <c r="BX12" s="663"/>
      <c r="BY12" s="664"/>
      <c r="BZ12" s="664"/>
      <c r="CA12" s="664"/>
      <c r="CB12" s="664"/>
      <c r="CC12" s="664"/>
      <c r="CD12" s="664"/>
      <c r="CE12" s="664"/>
      <c r="CF12" s="665"/>
      <c r="CG12" s="174"/>
      <c r="CH12" s="675"/>
      <c r="CI12" s="676"/>
      <c r="CJ12" s="676"/>
      <c r="CK12" s="676"/>
      <c r="CL12" s="676"/>
      <c r="CM12" s="677"/>
      <c r="CN12" s="174"/>
      <c r="CO12" s="663"/>
      <c r="CP12" s="664"/>
      <c r="CQ12" s="664"/>
      <c r="CR12" s="664"/>
      <c r="CS12" s="664"/>
      <c r="CT12" s="664"/>
      <c r="CU12" s="664"/>
      <c r="CV12" s="664"/>
      <c r="CW12" s="665"/>
      <c r="CX12" s="174"/>
      <c r="CY12" s="675"/>
      <c r="CZ12" s="676"/>
      <c r="DA12" s="676"/>
      <c r="DB12" s="676"/>
      <c r="DC12" s="676"/>
      <c r="DD12" s="677"/>
      <c r="DE12" s="174"/>
      <c r="DF12" s="663"/>
      <c r="DG12" s="664"/>
      <c r="DH12" s="664"/>
      <c r="DI12" s="664"/>
      <c r="DJ12" s="664"/>
      <c r="DK12" s="664"/>
      <c r="DL12" s="664"/>
      <c r="DM12" s="664"/>
      <c r="DN12" s="665"/>
      <c r="DO12" s="174"/>
      <c r="DP12" s="675"/>
      <c r="DQ12" s="676"/>
      <c r="DR12" s="676"/>
      <c r="DS12" s="676"/>
      <c r="DT12" s="676"/>
      <c r="DU12" s="677"/>
      <c r="DV12" s="174"/>
      <c r="DW12" s="663"/>
      <c r="DX12" s="664"/>
      <c r="DY12" s="664"/>
      <c r="DZ12" s="664"/>
      <c r="EA12" s="664"/>
      <c r="EB12" s="664"/>
      <c r="EC12" s="664"/>
      <c r="ED12" s="664"/>
      <c r="EE12" s="665"/>
      <c r="EF12" s="174"/>
    </row>
    <row r="13" spans="1:136">
      <c r="A13" s="666" t="s">
        <v>233</v>
      </c>
      <c r="B13" s="667"/>
      <c r="C13" s="667"/>
      <c r="D13" s="667"/>
      <c r="E13" s="667"/>
      <c r="F13" s="667"/>
      <c r="G13" s="667"/>
      <c r="H13" s="667"/>
      <c r="I13" s="667"/>
      <c r="J13" s="667"/>
      <c r="K13" s="667"/>
      <c r="L13" s="667"/>
      <c r="M13" s="667"/>
      <c r="N13" s="667"/>
      <c r="O13" s="667"/>
      <c r="P13" s="668"/>
      <c r="Q13" s="174"/>
      <c r="R13" s="666" t="s">
        <v>233</v>
      </c>
      <c r="S13" s="667"/>
      <c r="T13" s="667"/>
      <c r="U13" s="667"/>
      <c r="V13" s="667"/>
      <c r="W13" s="667"/>
      <c r="X13" s="667"/>
      <c r="Y13" s="667"/>
      <c r="Z13" s="667"/>
      <c r="AA13" s="667"/>
      <c r="AB13" s="667"/>
      <c r="AC13" s="667"/>
      <c r="AD13" s="667"/>
      <c r="AE13" s="667"/>
      <c r="AF13" s="667"/>
      <c r="AG13" s="668"/>
      <c r="AH13" s="174"/>
      <c r="AI13" s="666" t="s">
        <v>233</v>
      </c>
      <c r="AJ13" s="667"/>
      <c r="AK13" s="667"/>
      <c r="AL13" s="667"/>
      <c r="AM13" s="667"/>
      <c r="AN13" s="667"/>
      <c r="AO13" s="667"/>
      <c r="AP13" s="667"/>
      <c r="AQ13" s="667"/>
      <c r="AR13" s="667"/>
      <c r="AS13" s="667"/>
      <c r="AT13" s="667"/>
      <c r="AU13" s="667"/>
      <c r="AV13" s="667"/>
      <c r="AW13" s="667"/>
      <c r="AX13" s="668"/>
      <c r="AY13" s="174"/>
      <c r="AZ13" s="666" t="s">
        <v>233</v>
      </c>
      <c r="BA13" s="667"/>
      <c r="BB13" s="667"/>
      <c r="BC13" s="667"/>
      <c r="BD13" s="667"/>
      <c r="BE13" s="667"/>
      <c r="BF13" s="667"/>
      <c r="BG13" s="667"/>
      <c r="BH13" s="667"/>
      <c r="BI13" s="667"/>
      <c r="BJ13" s="667"/>
      <c r="BK13" s="667"/>
      <c r="BL13" s="667"/>
      <c r="BM13" s="667"/>
      <c r="BN13" s="667"/>
      <c r="BO13" s="668"/>
      <c r="BP13" s="174"/>
      <c r="BQ13" s="666" t="s">
        <v>233</v>
      </c>
      <c r="BR13" s="667"/>
      <c r="BS13" s="667"/>
      <c r="BT13" s="667"/>
      <c r="BU13" s="667"/>
      <c r="BV13" s="667"/>
      <c r="BW13" s="667"/>
      <c r="BX13" s="667"/>
      <c r="BY13" s="667"/>
      <c r="BZ13" s="667"/>
      <c r="CA13" s="667"/>
      <c r="CB13" s="667"/>
      <c r="CC13" s="667"/>
      <c r="CD13" s="667"/>
      <c r="CE13" s="667"/>
      <c r="CF13" s="668"/>
      <c r="CG13" s="174"/>
      <c r="CH13" s="666" t="s">
        <v>233</v>
      </c>
      <c r="CI13" s="667"/>
      <c r="CJ13" s="667"/>
      <c r="CK13" s="667"/>
      <c r="CL13" s="667"/>
      <c r="CM13" s="667"/>
      <c r="CN13" s="667"/>
      <c r="CO13" s="667"/>
      <c r="CP13" s="667"/>
      <c r="CQ13" s="667"/>
      <c r="CR13" s="667"/>
      <c r="CS13" s="667"/>
      <c r="CT13" s="667"/>
      <c r="CU13" s="667"/>
      <c r="CV13" s="667"/>
      <c r="CW13" s="668"/>
      <c r="CX13" s="174"/>
      <c r="CY13" s="666" t="s">
        <v>233</v>
      </c>
      <c r="CZ13" s="667"/>
      <c r="DA13" s="667"/>
      <c r="DB13" s="667"/>
      <c r="DC13" s="667"/>
      <c r="DD13" s="667"/>
      <c r="DE13" s="667"/>
      <c r="DF13" s="667"/>
      <c r="DG13" s="667"/>
      <c r="DH13" s="667"/>
      <c r="DI13" s="667"/>
      <c r="DJ13" s="667"/>
      <c r="DK13" s="667"/>
      <c r="DL13" s="667"/>
      <c r="DM13" s="667"/>
      <c r="DN13" s="668"/>
      <c r="DO13" s="174"/>
      <c r="DP13" s="666" t="s">
        <v>233</v>
      </c>
      <c r="DQ13" s="667"/>
      <c r="DR13" s="667"/>
      <c r="DS13" s="667"/>
      <c r="DT13" s="667"/>
      <c r="DU13" s="667"/>
      <c r="DV13" s="667"/>
      <c r="DW13" s="667"/>
      <c r="DX13" s="667"/>
      <c r="DY13" s="667"/>
      <c r="DZ13" s="667"/>
      <c r="EA13" s="667"/>
      <c r="EB13" s="667"/>
      <c r="EC13" s="667"/>
      <c r="ED13" s="667"/>
      <c r="EE13" s="668"/>
      <c r="EF13" s="174"/>
    </row>
    <row r="14" spans="1:136">
      <c r="A14" s="669"/>
      <c r="B14" s="670"/>
      <c r="C14" s="670"/>
      <c r="D14" s="670"/>
      <c r="E14" s="670"/>
      <c r="F14" s="670"/>
      <c r="G14" s="670"/>
      <c r="H14" s="670"/>
      <c r="I14" s="670"/>
      <c r="J14" s="670"/>
      <c r="K14" s="670"/>
      <c r="L14" s="670"/>
      <c r="M14" s="670"/>
      <c r="N14" s="670"/>
      <c r="O14" s="670"/>
      <c r="P14" s="671"/>
      <c r="Q14" s="174"/>
      <c r="R14" s="669"/>
      <c r="S14" s="670"/>
      <c r="T14" s="670"/>
      <c r="U14" s="670"/>
      <c r="V14" s="670"/>
      <c r="W14" s="670"/>
      <c r="X14" s="670"/>
      <c r="Y14" s="670"/>
      <c r="Z14" s="670"/>
      <c r="AA14" s="670"/>
      <c r="AB14" s="670"/>
      <c r="AC14" s="670"/>
      <c r="AD14" s="670"/>
      <c r="AE14" s="670"/>
      <c r="AF14" s="670"/>
      <c r="AG14" s="671"/>
      <c r="AH14" s="174"/>
      <c r="AI14" s="669"/>
      <c r="AJ14" s="670"/>
      <c r="AK14" s="670"/>
      <c r="AL14" s="670"/>
      <c r="AM14" s="670"/>
      <c r="AN14" s="670"/>
      <c r="AO14" s="670"/>
      <c r="AP14" s="670"/>
      <c r="AQ14" s="670"/>
      <c r="AR14" s="670"/>
      <c r="AS14" s="670"/>
      <c r="AT14" s="670"/>
      <c r="AU14" s="670"/>
      <c r="AV14" s="670"/>
      <c r="AW14" s="670"/>
      <c r="AX14" s="671"/>
      <c r="AY14" s="174"/>
      <c r="AZ14" s="669"/>
      <c r="BA14" s="670"/>
      <c r="BB14" s="670"/>
      <c r="BC14" s="670"/>
      <c r="BD14" s="670"/>
      <c r="BE14" s="670"/>
      <c r="BF14" s="670"/>
      <c r="BG14" s="670"/>
      <c r="BH14" s="670"/>
      <c r="BI14" s="670"/>
      <c r="BJ14" s="670"/>
      <c r="BK14" s="670"/>
      <c r="BL14" s="670"/>
      <c r="BM14" s="670"/>
      <c r="BN14" s="670"/>
      <c r="BO14" s="671"/>
      <c r="BP14" s="174"/>
      <c r="BQ14" s="669"/>
      <c r="BR14" s="670"/>
      <c r="BS14" s="670"/>
      <c r="BT14" s="670"/>
      <c r="BU14" s="670"/>
      <c r="BV14" s="670"/>
      <c r="BW14" s="670"/>
      <c r="BX14" s="670"/>
      <c r="BY14" s="670"/>
      <c r="BZ14" s="670"/>
      <c r="CA14" s="670"/>
      <c r="CB14" s="670"/>
      <c r="CC14" s="670"/>
      <c r="CD14" s="670"/>
      <c r="CE14" s="670"/>
      <c r="CF14" s="671"/>
      <c r="CG14" s="174"/>
      <c r="CH14" s="669"/>
      <c r="CI14" s="670"/>
      <c r="CJ14" s="670"/>
      <c r="CK14" s="670"/>
      <c r="CL14" s="670"/>
      <c r="CM14" s="670"/>
      <c r="CN14" s="670"/>
      <c r="CO14" s="670"/>
      <c r="CP14" s="670"/>
      <c r="CQ14" s="670"/>
      <c r="CR14" s="670"/>
      <c r="CS14" s="670"/>
      <c r="CT14" s="670"/>
      <c r="CU14" s="670"/>
      <c r="CV14" s="670"/>
      <c r="CW14" s="671"/>
      <c r="CX14" s="174"/>
      <c r="CY14" s="669"/>
      <c r="CZ14" s="670"/>
      <c r="DA14" s="670"/>
      <c r="DB14" s="670"/>
      <c r="DC14" s="670"/>
      <c r="DD14" s="670"/>
      <c r="DE14" s="670"/>
      <c r="DF14" s="670"/>
      <c r="DG14" s="670"/>
      <c r="DH14" s="670"/>
      <c r="DI14" s="670"/>
      <c r="DJ14" s="670"/>
      <c r="DK14" s="670"/>
      <c r="DL14" s="670"/>
      <c r="DM14" s="670"/>
      <c r="DN14" s="671"/>
      <c r="DO14" s="174"/>
      <c r="DP14" s="669"/>
      <c r="DQ14" s="670"/>
      <c r="DR14" s="670"/>
      <c r="DS14" s="670"/>
      <c r="DT14" s="670"/>
      <c r="DU14" s="670"/>
      <c r="DV14" s="670"/>
      <c r="DW14" s="670"/>
      <c r="DX14" s="670"/>
      <c r="DY14" s="670"/>
      <c r="DZ14" s="670"/>
      <c r="EA14" s="670"/>
      <c r="EB14" s="670"/>
      <c r="EC14" s="670"/>
      <c r="ED14" s="670"/>
      <c r="EE14" s="671"/>
      <c r="EF14" s="174"/>
    </row>
    <row r="15" spans="1:136">
      <c r="A15" s="135"/>
      <c r="B15" s="81"/>
      <c r="C15" s="81"/>
      <c r="D15" s="81"/>
      <c r="E15" s="81"/>
      <c r="F15" s="81"/>
      <c r="G15" s="81"/>
      <c r="H15" s="81"/>
      <c r="I15" s="81"/>
      <c r="J15" s="81"/>
      <c r="K15" s="81"/>
      <c r="L15" s="81"/>
      <c r="M15" s="81"/>
      <c r="N15" s="81"/>
      <c r="O15" s="81"/>
      <c r="P15" s="136"/>
      <c r="Q15" s="174"/>
      <c r="R15" s="135"/>
      <c r="S15" s="81"/>
      <c r="T15" s="81"/>
      <c r="U15" s="81"/>
      <c r="V15" s="81"/>
      <c r="W15" s="81"/>
      <c r="X15" s="81"/>
      <c r="Y15" s="81"/>
      <c r="Z15" s="81"/>
      <c r="AA15" s="81"/>
      <c r="AB15" s="81"/>
      <c r="AC15" s="81"/>
      <c r="AD15" s="81"/>
      <c r="AE15" s="81"/>
      <c r="AF15" s="81"/>
      <c r="AG15" s="136"/>
      <c r="AH15" s="174"/>
      <c r="AI15" s="135"/>
      <c r="AJ15" s="81"/>
      <c r="AK15" s="81"/>
      <c r="AL15" s="81"/>
      <c r="AM15" s="81"/>
      <c r="AN15" s="81"/>
      <c r="AO15" s="81"/>
      <c r="AP15" s="81"/>
      <c r="AQ15" s="81"/>
      <c r="AR15" s="81"/>
      <c r="AS15" s="81"/>
      <c r="AT15" s="81"/>
      <c r="AU15" s="81"/>
      <c r="AV15" s="81"/>
      <c r="AW15" s="81"/>
      <c r="AX15" s="136"/>
      <c r="AY15" s="174"/>
      <c r="AZ15" s="135"/>
      <c r="BA15" s="81"/>
      <c r="BB15" s="81"/>
      <c r="BC15" s="81"/>
      <c r="BD15" s="81"/>
      <c r="BE15" s="81"/>
      <c r="BF15" s="81"/>
      <c r="BG15" s="81"/>
      <c r="BH15" s="81"/>
      <c r="BI15" s="81"/>
      <c r="BJ15" s="81"/>
      <c r="BK15" s="81"/>
      <c r="BL15" s="81"/>
      <c r="BM15" s="81"/>
      <c r="BN15" s="81"/>
      <c r="BO15" s="136"/>
      <c r="BP15" s="174"/>
      <c r="BQ15" s="135"/>
      <c r="BR15" s="81"/>
      <c r="BS15" s="81"/>
      <c r="BT15" s="81"/>
      <c r="BU15" s="81"/>
      <c r="BV15" s="81"/>
      <c r="BW15" s="81"/>
      <c r="BX15" s="81"/>
      <c r="BY15" s="81"/>
      <c r="BZ15" s="81"/>
      <c r="CA15" s="81"/>
      <c r="CB15" s="81"/>
      <c r="CC15" s="81"/>
      <c r="CD15" s="81"/>
      <c r="CE15" s="81"/>
      <c r="CF15" s="136"/>
      <c r="CG15" s="174"/>
      <c r="CH15" s="135"/>
      <c r="CI15" s="81"/>
      <c r="CJ15" s="81"/>
      <c r="CK15" s="81"/>
      <c r="CL15" s="81"/>
      <c r="CM15" s="81"/>
      <c r="CN15" s="81"/>
      <c r="CO15" s="81"/>
      <c r="CP15" s="81"/>
      <c r="CQ15" s="81"/>
      <c r="CR15" s="81"/>
      <c r="CS15" s="81"/>
      <c r="CT15" s="81"/>
      <c r="CU15" s="81"/>
      <c r="CV15" s="81"/>
      <c r="CW15" s="136"/>
      <c r="CX15" s="174"/>
      <c r="CY15" s="135"/>
      <c r="CZ15" s="81"/>
      <c r="DA15" s="81"/>
      <c r="DB15" s="81"/>
      <c r="DC15" s="81"/>
      <c r="DD15" s="81"/>
      <c r="DE15" s="81"/>
      <c r="DF15" s="81"/>
      <c r="DG15" s="81"/>
      <c r="DH15" s="81"/>
      <c r="DI15" s="81"/>
      <c r="DJ15" s="81"/>
      <c r="DK15" s="81"/>
      <c r="DL15" s="81"/>
      <c r="DM15" s="81"/>
      <c r="DN15" s="136"/>
      <c r="DO15" s="174"/>
      <c r="DP15" s="135"/>
      <c r="DQ15" s="81"/>
      <c r="DR15" s="81"/>
      <c r="DS15" s="81"/>
      <c r="DT15" s="81"/>
      <c r="DU15" s="81"/>
      <c r="DV15" s="81"/>
      <c r="DW15" s="81"/>
      <c r="DX15" s="81"/>
      <c r="DY15" s="81"/>
      <c r="DZ15" s="81"/>
      <c r="EA15" s="81"/>
      <c r="EB15" s="81"/>
      <c r="EC15" s="81"/>
      <c r="ED15" s="81"/>
      <c r="EE15" s="136"/>
      <c r="EF15" s="174"/>
    </row>
    <row r="16" spans="1:136">
      <c r="A16" s="135"/>
      <c r="B16" s="81"/>
      <c r="C16" s="81"/>
      <c r="D16" s="81"/>
      <c r="E16" s="81"/>
      <c r="F16" s="81"/>
      <c r="G16" s="81"/>
      <c r="H16" s="81"/>
      <c r="I16" s="81"/>
      <c r="J16" s="81"/>
      <c r="K16" s="81"/>
      <c r="L16" s="81"/>
      <c r="M16" s="81"/>
      <c r="N16" s="81"/>
      <c r="O16" s="81"/>
      <c r="P16" s="136"/>
      <c r="Q16" s="174"/>
      <c r="R16" s="135"/>
      <c r="S16" s="81"/>
      <c r="T16" s="81"/>
      <c r="U16" s="81"/>
      <c r="V16" s="81"/>
      <c r="W16" s="81"/>
      <c r="X16" s="81"/>
      <c r="Y16" s="81"/>
      <c r="Z16" s="81"/>
      <c r="AA16" s="81"/>
      <c r="AB16" s="81"/>
      <c r="AC16" s="81"/>
      <c r="AD16" s="81"/>
      <c r="AE16" s="81"/>
      <c r="AF16" s="81"/>
      <c r="AG16" s="136"/>
      <c r="AH16" s="174"/>
      <c r="AI16" s="135"/>
      <c r="AJ16" s="81"/>
      <c r="AK16" s="81"/>
      <c r="AL16" s="81"/>
      <c r="AM16" s="81"/>
      <c r="AN16" s="81"/>
      <c r="AO16" s="81"/>
      <c r="AP16" s="81"/>
      <c r="AQ16" s="81"/>
      <c r="AR16" s="81"/>
      <c r="AS16" s="81"/>
      <c r="AT16" s="81"/>
      <c r="AU16" s="81"/>
      <c r="AV16" s="81"/>
      <c r="AW16" s="81"/>
      <c r="AX16" s="136"/>
      <c r="AY16" s="174"/>
      <c r="AZ16" s="135"/>
      <c r="BA16" s="81"/>
      <c r="BB16" s="81"/>
      <c r="BC16" s="81"/>
      <c r="BD16" s="81"/>
      <c r="BE16" s="81"/>
      <c r="BF16" s="81"/>
      <c r="BG16" s="81"/>
      <c r="BH16" s="81"/>
      <c r="BI16" s="81"/>
      <c r="BJ16" s="81"/>
      <c r="BK16" s="81"/>
      <c r="BL16" s="81"/>
      <c r="BM16" s="81"/>
      <c r="BN16" s="81"/>
      <c r="BO16" s="136"/>
      <c r="BP16" s="174"/>
      <c r="BQ16" s="135"/>
      <c r="BR16" s="81"/>
      <c r="BS16" s="81"/>
      <c r="BT16" s="81"/>
      <c r="BU16" s="81"/>
      <c r="BV16" s="81"/>
      <c r="BW16" s="81"/>
      <c r="BX16" s="81"/>
      <c r="BY16" s="81"/>
      <c r="BZ16" s="81"/>
      <c r="CA16" s="81"/>
      <c r="CB16" s="81"/>
      <c r="CC16" s="81"/>
      <c r="CD16" s="81"/>
      <c r="CE16" s="81"/>
      <c r="CF16" s="136"/>
      <c r="CG16" s="174"/>
      <c r="CH16" s="135"/>
      <c r="CI16" s="81"/>
      <c r="CJ16" s="81"/>
      <c r="CK16" s="81"/>
      <c r="CL16" s="81"/>
      <c r="CM16" s="81"/>
      <c r="CN16" s="81"/>
      <c r="CO16" s="81"/>
      <c r="CP16" s="81"/>
      <c r="CQ16" s="81"/>
      <c r="CR16" s="81"/>
      <c r="CS16" s="81"/>
      <c r="CT16" s="81"/>
      <c r="CU16" s="81"/>
      <c r="CV16" s="81"/>
      <c r="CW16" s="136"/>
      <c r="CX16" s="174"/>
      <c r="CY16" s="135"/>
      <c r="CZ16" s="81"/>
      <c r="DA16" s="81"/>
      <c r="DB16" s="81"/>
      <c r="DC16" s="81"/>
      <c r="DD16" s="81"/>
      <c r="DE16" s="81"/>
      <c r="DF16" s="81"/>
      <c r="DG16" s="81"/>
      <c r="DH16" s="81"/>
      <c r="DI16" s="81"/>
      <c r="DJ16" s="81"/>
      <c r="DK16" s="81"/>
      <c r="DL16" s="81"/>
      <c r="DM16" s="81"/>
      <c r="DN16" s="136"/>
      <c r="DO16" s="174"/>
      <c r="DP16" s="135"/>
      <c r="DQ16" s="81"/>
      <c r="DR16" s="81"/>
      <c r="DS16" s="81"/>
      <c r="DT16" s="81"/>
      <c r="DU16" s="81"/>
      <c r="DV16" s="81"/>
      <c r="DW16" s="81"/>
      <c r="DX16" s="81"/>
      <c r="DY16" s="81"/>
      <c r="DZ16" s="81"/>
      <c r="EA16" s="81"/>
      <c r="EB16" s="81"/>
      <c r="EC16" s="81"/>
      <c r="ED16" s="81"/>
      <c r="EE16" s="136"/>
      <c r="EF16" s="174"/>
    </row>
    <row r="17" spans="1:136">
      <c r="A17" s="354" t="s">
        <v>389</v>
      </c>
      <c r="B17" s="81"/>
      <c r="C17" s="81"/>
      <c r="D17" s="81"/>
      <c r="E17" s="81"/>
      <c r="F17" s="81"/>
      <c r="G17" s="81"/>
      <c r="H17" s="81"/>
      <c r="I17" s="81"/>
      <c r="J17" s="81"/>
      <c r="K17" s="81"/>
      <c r="L17" s="81"/>
      <c r="M17" s="81"/>
      <c r="N17" s="81"/>
      <c r="O17" s="81"/>
      <c r="P17" s="136"/>
      <c r="Q17" s="174"/>
      <c r="R17" s="354" t="s">
        <v>389</v>
      </c>
      <c r="S17" s="81"/>
      <c r="T17" s="81"/>
      <c r="U17" s="81"/>
      <c r="V17" s="81"/>
      <c r="W17" s="81"/>
      <c r="X17" s="81"/>
      <c r="Y17" s="81"/>
      <c r="Z17" s="81"/>
      <c r="AA17" s="81"/>
      <c r="AB17" s="81"/>
      <c r="AC17" s="81"/>
      <c r="AD17" s="81"/>
      <c r="AE17" s="81"/>
      <c r="AF17" s="81"/>
      <c r="AG17" s="136"/>
      <c r="AH17" s="174"/>
      <c r="AI17" s="354" t="s">
        <v>389</v>
      </c>
      <c r="AJ17" s="81"/>
      <c r="AK17" s="81"/>
      <c r="AL17" s="81"/>
      <c r="AM17" s="81"/>
      <c r="AN17" s="81"/>
      <c r="AO17" s="81"/>
      <c r="AP17" s="81"/>
      <c r="AQ17" s="81"/>
      <c r="AR17" s="81"/>
      <c r="AS17" s="81"/>
      <c r="AT17" s="81"/>
      <c r="AU17" s="81"/>
      <c r="AV17" s="81"/>
      <c r="AW17" s="81"/>
      <c r="AX17" s="136"/>
      <c r="AY17" s="174"/>
      <c r="AZ17" s="354" t="s">
        <v>389</v>
      </c>
      <c r="BA17" s="81"/>
      <c r="BB17" s="81"/>
      <c r="BC17" s="81"/>
      <c r="BD17" s="81"/>
      <c r="BE17" s="81"/>
      <c r="BF17" s="81"/>
      <c r="BG17" s="81"/>
      <c r="BH17" s="81"/>
      <c r="BI17" s="81"/>
      <c r="BJ17" s="81"/>
      <c r="BK17" s="81"/>
      <c r="BL17" s="81"/>
      <c r="BM17" s="81"/>
      <c r="BN17" s="81"/>
      <c r="BO17" s="136"/>
      <c r="BP17" s="174"/>
      <c r="BQ17" s="354" t="s">
        <v>389</v>
      </c>
      <c r="BR17" s="81"/>
      <c r="BS17" s="81"/>
      <c r="BT17" s="81"/>
      <c r="BU17" s="81"/>
      <c r="BV17" s="81"/>
      <c r="BW17" s="81"/>
      <c r="BX17" s="81"/>
      <c r="BY17" s="81"/>
      <c r="BZ17" s="81"/>
      <c r="CA17" s="81"/>
      <c r="CB17" s="81"/>
      <c r="CC17" s="81"/>
      <c r="CD17" s="81"/>
      <c r="CE17" s="81"/>
      <c r="CF17" s="136"/>
      <c r="CG17" s="174"/>
      <c r="CH17" s="354" t="s">
        <v>389</v>
      </c>
      <c r="CI17" s="81"/>
      <c r="CJ17" s="81"/>
      <c r="CK17" s="81"/>
      <c r="CL17" s="81"/>
      <c r="CM17" s="81"/>
      <c r="CN17" s="81"/>
      <c r="CO17" s="81"/>
      <c r="CP17" s="81"/>
      <c r="CQ17" s="81"/>
      <c r="CR17" s="81"/>
      <c r="CS17" s="81"/>
      <c r="CT17" s="81"/>
      <c r="CU17" s="81"/>
      <c r="CV17" s="81"/>
      <c r="CW17" s="136"/>
      <c r="CX17" s="174"/>
      <c r="CY17" s="354" t="s">
        <v>389</v>
      </c>
      <c r="CZ17" s="81"/>
      <c r="DA17" s="81"/>
      <c r="DB17" s="81"/>
      <c r="DC17" s="81"/>
      <c r="DD17" s="81"/>
      <c r="DE17" s="81"/>
      <c r="DF17" s="81"/>
      <c r="DG17" s="81"/>
      <c r="DH17" s="81"/>
      <c r="DI17" s="81"/>
      <c r="DJ17" s="81"/>
      <c r="DK17" s="81"/>
      <c r="DL17" s="81"/>
      <c r="DM17" s="81"/>
      <c r="DN17" s="136"/>
      <c r="DO17" s="174"/>
      <c r="DP17" s="354" t="s">
        <v>389</v>
      </c>
      <c r="DQ17" s="81"/>
      <c r="DR17" s="81"/>
      <c r="DS17" s="81"/>
      <c r="DT17" s="81"/>
      <c r="DU17" s="81"/>
      <c r="DV17" s="81"/>
      <c r="DW17" s="81"/>
      <c r="DX17" s="81"/>
      <c r="DY17" s="81"/>
      <c r="DZ17" s="81"/>
      <c r="EA17" s="81"/>
      <c r="EB17" s="81"/>
      <c r="EC17" s="81"/>
      <c r="ED17" s="81"/>
      <c r="EE17" s="136"/>
      <c r="EF17" s="174"/>
    </row>
    <row r="18" spans="1:136">
      <c r="A18" s="354" t="s">
        <v>386</v>
      </c>
      <c r="B18" s="81"/>
      <c r="C18" s="81"/>
      <c r="D18" s="81"/>
      <c r="E18" s="81"/>
      <c r="F18" s="81"/>
      <c r="G18" s="81"/>
      <c r="H18" s="81"/>
      <c r="I18" s="81"/>
      <c r="J18" s="81"/>
      <c r="K18" s="81"/>
      <c r="L18" s="81"/>
      <c r="M18" s="81"/>
      <c r="N18" s="81"/>
      <c r="O18" s="81"/>
      <c r="P18" s="136"/>
      <c r="Q18" s="174"/>
      <c r="R18" s="354" t="s">
        <v>386</v>
      </c>
      <c r="S18" s="81"/>
      <c r="T18" s="81"/>
      <c r="U18" s="81"/>
      <c r="V18" s="81"/>
      <c r="W18" s="81"/>
      <c r="X18" s="81"/>
      <c r="Y18" s="81"/>
      <c r="Z18" s="81"/>
      <c r="AA18" s="81"/>
      <c r="AB18" s="81"/>
      <c r="AC18" s="81"/>
      <c r="AD18" s="81"/>
      <c r="AE18" s="81"/>
      <c r="AF18" s="81"/>
      <c r="AG18" s="136"/>
      <c r="AH18" s="174"/>
      <c r="AI18" s="354" t="s">
        <v>386</v>
      </c>
      <c r="AJ18" s="81"/>
      <c r="AK18" s="81"/>
      <c r="AL18" s="81"/>
      <c r="AM18" s="81"/>
      <c r="AN18" s="81"/>
      <c r="AO18" s="81"/>
      <c r="AP18" s="81"/>
      <c r="AQ18" s="81"/>
      <c r="AR18" s="81"/>
      <c r="AS18" s="81"/>
      <c r="AT18" s="81"/>
      <c r="AU18" s="81"/>
      <c r="AV18" s="81"/>
      <c r="AW18" s="81"/>
      <c r="AX18" s="136"/>
      <c r="AY18" s="174"/>
      <c r="AZ18" s="354" t="s">
        <v>386</v>
      </c>
      <c r="BA18" s="81"/>
      <c r="BB18" s="81"/>
      <c r="BC18" s="81"/>
      <c r="BD18" s="81"/>
      <c r="BE18" s="81"/>
      <c r="BF18" s="81"/>
      <c r="BG18" s="81"/>
      <c r="BH18" s="81"/>
      <c r="BI18" s="81"/>
      <c r="BJ18" s="81"/>
      <c r="BK18" s="81"/>
      <c r="BL18" s="81"/>
      <c r="BM18" s="81"/>
      <c r="BN18" s="81"/>
      <c r="BO18" s="136"/>
      <c r="BP18" s="174"/>
      <c r="BQ18" s="354" t="s">
        <v>386</v>
      </c>
      <c r="BR18" s="81"/>
      <c r="BS18" s="81"/>
      <c r="BT18" s="81"/>
      <c r="BU18" s="81"/>
      <c r="BV18" s="81"/>
      <c r="BW18" s="81"/>
      <c r="BX18" s="81"/>
      <c r="BY18" s="81"/>
      <c r="BZ18" s="81"/>
      <c r="CA18" s="81"/>
      <c r="CB18" s="81"/>
      <c r="CC18" s="81"/>
      <c r="CD18" s="81"/>
      <c r="CE18" s="81"/>
      <c r="CF18" s="136"/>
      <c r="CG18" s="174"/>
      <c r="CH18" s="354" t="s">
        <v>386</v>
      </c>
      <c r="CI18" s="81"/>
      <c r="CJ18" s="81"/>
      <c r="CK18" s="81"/>
      <c r="CL18" s="81"/>
      <c r="CM18" s="81"/>
      <c r="CN18" s="81"/>
      <c r="CO18" s="81"/>
      <c r="CP18" s="81"/>
      <c r="CQ18" s="81"/>
      <c r="CR18" s="81"/>
      <c r="CS18" s="81"/>
      <c r="CT18" s="81"/>
      <c r="CU18" s="81"/>
      <c r="CV18" s="81"/>
      <c r="CW18" s="136"/>
      <c r="CX18" s="174"/>
      <c r="CY18" s="354" t="s">
        <v>386</v>
      </c>
      <c r="CZ18" s="81"/>
      <c r="DA18" s="81"/>
      <c r="DB18" s="81"/>
      <c r="DC18" s="81"/>
      <c r="DD18" s="81"/>
      <c r="DE18" s="81"/>
      <c r="DF18" s="81"/>
      <c r="DG18" s="81"/>
      <c r="DH18" s="81"/>
      <c r="DI18" s="81"/>
      <c r="DJ18" s="81"/>
      <c r="DK18" s="81"/>
      <c r="DL18" s="81"/>
      <c r="DM18" s="81"/>
      <c r="DN18" s="136"/>
      <c r="DO18" s="174"/>
      <c r="DP18" s="354" t="s">
        <v>386</v>
      </c>
      <c r="DQ18" s="81"/>
      <c r="DR18" s="81"/>
      <c r="DS18" s="81"/>
      <c r="DT18" s="81"/>
      <c r="DU18" s="81"/>
      <c r="DV18" s="81"/>
      <c r="DW18" s="81"/>
      <c r="DX18" s="81"/>
      <c r="DY18" s="81"/>
      <c r="DZ18" s="81"/>
      <c r="EA18" s="81"/>
      <c r="EB18" s="81"/>
      <c r="EC18" s="81"/>
      <c r="ED18" s="81"/>
      <c r="EE18" s="136"/>
      <c r="EF18" s="174"/>
    </row>
    <row r="19" spans="1:136">
      <c r="A19" s="354" t="s">
        <v>390</v>
      </c>
      <c r="B19" s="81"/>
      <c r="C19" s="81"/>
      <c r="D19" s="81"/>
      <c r="E19" s="81"/>
      <c r="F19" s="81"/>
      <c r="G19" s="81"/>
      <c r="H19" s="81"/>
      <c r="I19" s="81"/>
      <c r="J19" s="81"/>
      <c r="K19" s="81"/>
      <c r="L19" s="81"/>
      <c r="M19" s="81"/>
      <c r="N19" s="81"/>
      <c r="O19" s="81"/>
      <c r="P19" s="136"/>
      <c r="Q19" s="174"/>
      <c r="R19" s="354" t="s">
        <v>390</v>
      </c>
      <c r="S19" s="81"/>
      <c r="T19" s="81"/>
      <c r="U19" s="81"/>
      <c r="V19" s="81"/>
      <c r="W19" s="81"/>
      <c r="X19" s="81"/>
      <c r="Y19" s="81"/>
      <c r="Z19" s="81"/>
      <c r="AA19" s="81"/>
      <c r="AB19" s="81"/>
      <c r="AC19" s="81"/>
      <c r="AD19" s="81"/>
      <c r="AE19" s="81"/>
      <c r="AF19" s="81"/>
      <c r="AG19" s="136"/>
      <c r="AH19" s="174"/>
      <c r="AI19" s="354" t="s">
        <v>390</v>
      </c>
      <c r="AJ19" s="81"/>
      <c r="AK19" s="81"/>
      <c r="AL19" s="81"/>
      <c r="AM19" s="81"/>
      <c r="AN19" s="81"/>
      <c r="AO19" s="81"/>
      <c r="AP19" s="81"/>
      <c r="AQ19" s="81"/>
      <c r="AR19" s="81"/>
      <c r="AS19" s="81"/>
      <c r="AT19" s="81"/>
      <c r="AU19" s="81"/>
      <c r="AV19" s="81"/>
      <c r="AW19" s="81"/>
      <c r="AX19" s="136"/>
      <c r="AY19" s="174"/>
      <c r="AZ19" s="354" t="s">
        <v>390</v>
      </c>
      <c r="BA19" s="81"/>
      <c r="BB19" s="81"/>
      <c r="BC19" s="81"/>
      <c r="BD19" s="81"/>
      <c r="BE19" s="81"/>
      <c r="BF19" s="81"/>
      <c r="BG19" s="81"/>
      <c r="BH19" s="81"/>
      <c r="BI19" s="81"/>
      <c r="BJ19" s="81"/>
      <c r="BK19" s="81"/>
      <c r="BL19" s="81"/>
      <c r="BM19" s="81"/>
      <c r="BN19" s="81"/>
      <c r="BO19" s="136"/>
      <c r="BP19" s="174"/>
      <c r="BQ19" s="354" t="s">
        <v>390</v>
      </c>
      <c r="BR19" s="81"/>
      <c r="BS19" s="81"/>
      <c r="BT19" s="81"/>
      <c r="BU19" s="81"/>
      <c r="BV19" s="81"/>
      <c r="BW19" s="81"/>
      <c r="BX19" s="81"/>
      <c r="BY19" s="81"/>
      <c r="BZ19" s="81"/>
      <c r="CA19" s="81"/>
      <c r="CB19" s="81"/>
      <c r="CC19" s="81"/>
      <c r="CD19" s="81"/>
      <c r="CE19" s="81"/>
      <c r="CF19" s="136"/>
      <c r="CG19" s="174"/>
      <c r="CH19" s="354" t="s">
        <v>390</v>
      </c>
      <c r="CI19" s="81"/>
      <c r="CJ19" s="81"/>
      <c r="CK19" s="81"/>
      <c r="CL19" s="81"/>
      <c r="CM19" s="81"/>
      <c r="CN19" s="81"/>
      <c r="CO19" s="81"/>
      <c r="CP19" s="81"/>
      <c r="CQ19" s="81"/>
      <c r="CR19" s="81"/>
      <c r="CS19" s="81"/>
      <c r="CT19" s="81"/>
      <c r="CU19" s="81"/>
      <c r="CV19" s="81"/>
      <c r="CW19" s="136"/>
      <c r="CX19" s="174"/>
      <c r="CY19" s="354" t="s">
        <v>390</v>
      </c>
      <c r="CZ19" s="81"/>
      <c r="DA19" s="81"/>
      <c r="DB19" s="81"/>
      <c r="DC19" s="81"/>
      <c r="DD19" s="81"/>
      <c r="DE19" s="81"/>
      <c r="DF19" s="81"/>
      <c r="DG19" s="81"/>
      <c r="DH19" s="81"/>
      <c r="DI19" s="81"/>
      <c r="DJ19" s="81"/>
      <c r="DK19" s="81"/>
      <c r="DL19" s="81"/>
      <c r="DM19" s="81"/>
      <c r="DN19" s="136"/>
      <c r="DO19" s="174"/>
      <c r="DP19" s="354" t="s">
        <v>390</v>
      </c>
      <c r="DQ19" s="81"/>
      <c r="DR19" s="81"/>
      <c r="DS19" s="81"/>
      <c r="DT19" s="81"/>
      <c r="DU19" s="81"/>
      <c r="DV19" s="81"/>
      <c r="DW19" s="81"/>
      <c r="DX19" s="81"/>
      <c r="DY19" s="81"/>
      <c r="DZ19" s="81"/>
      <c r="EA19" s="81"/>
      <c r="EB19" s="81"/>
      <c r="EC19" s="81"/>
      <c r="ED19" s="81"/>
      <c r="EE19" s="136"/>
      <c r="EF19" s="174"/>
    </row>
    <row r="20" spans="1:136">
      <c r="A20" s="135"/>
      <c r="B20" s="81"/>
      <c r="C20" s="81"/>
      <c r="D20" s="81"/>
      <c r="E20" s="81"/>
      <c r="F20" s="81"/>
      <c r="G20" s="81"/>
      <c r="H20" s="81"/>
      <c r="I20" s="81"/>
      <c r="J20" s="81"/>
      <c r="K20" s="81"/>
      <c r="L20" s="81"/>
      <c r="M20" s="81"/>
      <c r="N20" s="81"/>
      <c r="O20" s="81"/>
      <c r="P20" s="136"/>
      <c r="Q20" s="174"/>
      <c r="R20" s="135"/>
      <c r="S20" s="81"/>
      <c r="T20" s="81"/>
      <c r="U20" s="81"/>
      <c r="V20" s="81"/>
      <c r="W20" s="81"/>
      <c r="X20" s="81"/>
      <c r="Y20" s="81"/>
      <c r="Z20" s="81"/>
      <c r="AA20" s="81"/>
      <c r="AB20" s="81"/>
      <c r="AC20" s="81"/>
      <c r="AD20" s="81"/>
      <c r="AE20" s="81"/>
      <c r="AF20" s="81"/>
      <c r="AG20" s="136"/>
      <c r="AH20" s="174"/>
      <c r="AI20" s="135"/>
      <c r="AJ20" s="81"/>
      <c r="AK20" s="81"/>
      <c r="AL20" s="81"/>
      <c r="AM20" s="81"/>
      <c r="AN20" s="81"/>
      <c r="AO20" s="81"/>
      <c r="AP20" s="81"/>
      <c r="AQ20" s="81"/>
      <c r="AR20" s="81"/>
      <c r="AS20" s="81"/>
      <c r="AT20" s="81"/>
      <c r="AU20" s="81"/>
      <c r="AV20" s="81"/>
      <c r="AW20" s="81"/>
      <c r="AX20" s="136"/>
      <c r="AY20" s="174"/>
      <c r="AZ20" s="135"/>
      <c r="BA20" s="81"/>
      <c r="BB20" s="81"/>
      <c r="BC20" s="81"/>
      <c r="BD20" s="81"/>
      <c r="BE20" s="81"/>
      <c r="BF20" s="81"/>
      <c r="BG20" s="81"/>
      <c r="BH20" s="81"/>
      <c r="BI20" s="81"/>
      <c r="BJ20" s="81"/>
      <c r="BK20" s="81"/>
      <c r="BL20" s="81"/>
      <c r="BM20" s="81"/>
      <c r="BN20" s="81"/>
      <c r="BO20" s="136"/>
      <c r="BP20" s="174"/>
      <c r="BQ20" s="135"/>
      <c r="BR20" s="81"/>
      <c r="BS20" s="81"/>
      <c r="BT20" s="81"/>
      <c r="BU20" s="81"/>
      <c r="BV20" s="81"/>
      <c r="BW20" s="81"/>
      <c r="BX20" s="81"/>
      <c r="BY20" s="81"/>
      <c r="BZ20" s="81"/>
      <c r="CA20" s="81"/>
      <c r="CB20" s="81"/>
      <c r="CC20" s="81"/>
      <c r="CD20" s="81"/>
      <c r="CE20" s="81"/>
      <c r="CF20" s="136"/>
      <c r="CG20" s="174"/>
      <c r="CH20" s="135"/>
      <c r="CI20" s="81"/>
      <c r="CJ20" s="81"/>
      <c r="CK20" s="81"/>
      <c r="CL20" s="81"/>
      <c r="CM20" s="81"/>
      <c r="CN20" s="81"/>
      <c r="CO20" s="81"/>
      <c r="CP20" s="81"/>
      <c r="CQ20" s="81"/>
      <c r="CR20" s="81"/>
      <c r="CS20" s="81"/>
      <c r="CT20" s="81"/>
      <c r="CU20" s="81"/>
      <c r="CV20" s="81"/>
      <c r="CW20" s="136"/>
      <c r="CX20" s="174"/>
      <c r="CY20" s="135"/>
      <c r="CZ20" s="81"/>
      <c r="DA20" s="81"/>
      <c r="DB20" s="81"/>
      <c r="DC20" s="81"/>
      <c r="DD20" s="81"/>
      <c r="DE20" s="81"/>
      <c r="DF20" s="81"/>
      <c r="DG20" s="81"/>
      <c r="DH20" s="81"/>
      <c r="DI20" s="81"/>
      <c r="DJ20" s="81"/>
      <c r="DK20" s="81"/>
      <c r="DL20" s="81"/>
      <c r="DM20" s="81"/>
      <c r="DN20" s="136"/>
      <c r="DO20" s="174"/>
      <c r="DP20" s="135"/>
      <c r="DQ20" s="81"/>
      <c r="DR20" s="81"/>
      <c r="DS20" s="81"/>
      <c r="DT20" s="81"/>
      <c r="DU20" s="81"/>
      <c r="DV20" s="81"/>
      <c r="DW20" s="81"/>
      <c r="DX20" s="81"/>
      <c r="DY20" s="81"/>
      <c r="DZ20" s="81"/>
      <c r="EA20" s="81"/>
      <c r="EB20" s="81"/>
      <c r="EC20" s="81"/>
      <c r="ED20" s="81"/>
      <c r="EE20" s="136"/>
      <c r="EF20" s="174"/>
    </row>
    <row r="21" spans="1:136">
      <c r="A21" s="135"/>
      <c r="B21" s="81"/>
      <c r="C21" s="81"/>
      <c r="D21" s="81"/>
      <c r="E21" s="81"/>
      <c r="F21" s="81"/>
      <c r="G21" s="81"/>
      <c r="H21" s="81"/>
      <c r="I21" s="81"/>
      <c r="J21" s="81"/>
      <c r="K21" s="81"/>
      <c r="L21" s="81"/>
      <c r="M21" s="81"/>
      <c r="N21" s="81"/>
      <c r="O21" s="81"/>
      <c r="P21" s="136"/>
      <c r="Q21" s="174"/>
      <c r="R21" s="135"/>
      <c r="S21" s="81"/>
      <c r="T21" s="81"/>
      <c r="U21" s="81"/>
      <c r="V21" s="81"/>
      <c r="W21" s="81"/>
      <c r="X21" s="81"/>
      <c r="Y21" s="81"/>
      <c r="Z21" s="81"/>
      <c r="AA21" s="81"/>
      <c r="AB21" s="81"/>
      <c r="AC21" s="81"/>
      <c r="AD21" s="81"/>
      <c r="AE21" s="81"/>
      <c r="AF21" s="81"/>
      <c r="AG21" s="136"/>
      <c r="AH21" s="174"/>
      <c r="AI21" s="135"/>
      <c r="AJ21" s="81"/>
      <c r="AK21" s="81"/>
      <c r="AL21" s="81"/>
      <c r="AM21" s="81"/>
      <c r="AN21" s="81"/>
      <c r="AO21" s="81"/>
      <c r="AP21" s="81"/>
      <c r="AQ21" s="81"/>
      <c r="AR21" s="81"/>
      <c r="AS21" s="81"/>
      <c r="AT21" s="81"/>
      <c r="AU21" s="81"/>
      <c r="AV21" s="81"/>
      <c r="AW21" s="81"/>
      <c r="AX21" s="136"/>
      <c r="AY21" s="174"/>
      <c r="AZ21" s="135"/>
      <c r="BA21" s="81"/>
      <c r="BB21" s="81"/>
      <c r="BC21" s="81"/>
      <c r="BD21" s="81"/>
      <c r="BE21" s="81"/>
      <c r="BF21" s="81"/>
      <c r="BG21" s="81"/>
      <c r="BH21" s="81"/>
      <c r="BI21" s="81"/>
      <c r="BJ21" s="81"/>
      <c r="BK21" s="81"/>
      <c r="BL21" s="81"/>
      <c r="BM21" s="81"/>
      <c r="BN21" s="81"/>
      <c r="BO21" s="136"/>
      <c r="BP21" s="174"/>
      <c r="BQ21" s="135"/>
      <c r="BR21" s="81"/>
      <c r="BS21" s="81"/>
      <c r="BT21" s="81"/>
      <c r="BU21" s="81"/>
      <c r="BV21" s="81"/>
      <c r="BW21" s="81"/>
      <c r="BX21" s="81"/>
      <c r="BY21" s="81"/>
      <c r="BZ21" s="81"/>
      <c r="CA21" s="81"/>
      <c r="CB21" s="81"/>
      <c r="CC21" s="81"/>
      <c r="CD21" s="81"/>
      <c r="CE21" s="81"/>
      <c r="CF21" s="136"/>
      <c r="CG21" s="174"/>
      <c r="CH21" s="135"/>
      <c r="CI21" s="81"/>
      <c r="CJ21" s="81"/>
      <c r="CK21" s="81"/>
      <c r="CL21" s="81"/>
      <c r="CM21" s="81"/>
      <c r="CN21" s="81"/>
      <c r="CO21" s="81"/>
      <c r="CP21" s="81"/>
      <c r="CQ21" s="81"/>
      <c r="CR21" s="81"/>
      <c r="CS21" s="81"/>
      <c r="CT21" s="81"/>
      <c r="CU21" s="81"/>
      <c r="CV21" s="81"/>
      <c r="CW21" s="136"/>
      <c r="CX21" s="174"/>
      <c r="CY21" s="135"/>
      <c r="CZ21" s="81"/>
      <c r="DA21" s="81"/>
      <c r="DB21" s="81"/>
      <c r="DC21" s="81"/>
      <c r="DD21" s="81"/>
      <c r="DE21" s="81"/>
      <c r="DF21" s="81"/>
      <c r="DG21" s="81"/>
      <c r="DH21" s="81"/>
      <c r="DI21" s="81"/>
      <c r="DJ21" s="81"/>
      <c r="DK21" s="81"/>
      <c r="DL21" s="81"/>
      <c r="DM21" s="81"/>
      <c r="DN21" s="136"/>
      <c r="DO21" s="174"/>
      <c r="DP21" s="135"/>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135"/>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135"/>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135"/>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8"/>
      <c r="B118" s="139"/>
      <c r="C118" s="139"/>
      <c r="D118" s="139"/>
      <c r="E118" s="139"/>
      <c r="F118" s="139"/>
      <c r="G118" s="139"/>
      <c r="H118" s="139"/>
      <c r="I118" s="139"/>
      <c r="J118" s="139"/>
      <c r="K118" s="139"/>
      <c r="L118" s="139"/>
      <c r="M118" s="139"/>
      <c r="N118" s="139"/>
      <c r="O118" s="139"/>
      <c r="P118" s="140"/>
      <c r="Q118" s="174"/>
      <c r="R118" s="138"/>
      <c r="S118" s="139"/>
      <c r="T118" s="139"/>
      <c r="U118" s="139"/>
      <c r="V118" s="139"/>
      <c r="W118" s="139"/>
      <c r="X118" s="139"/>
      <c r="Y118" s="139"/>
      <c r="Z118" s="139"/>
      <c r="AA118" s="139"/>
      <c r="AB118" s="139"/>
      <c r="AC118" s="139"/>
      <c r="AD118" s="139"/>
      <c r="AE118" s="139"/>
      <c r="AF118" s="139"/>
      <c r="AG118" s="140"/>
      <c r="AH118" s="174"/>
      <c r="AI118" s="138"/>
      <c r="AJ118" s="139"/>
      <c r="AK118" s="139"/>
      <c r="AL118" s="139"/>
      <c r="AM118" s="139"/>
      <c r="AN118" s="139"/>
      <c r="AO118" s="139"/>
      <c r="AP118" s="139"/>
      <c r="AQ118" s="139"/>
      <c r="AR118" s="139"/>
      <c r="AS118" s="139"/>
      <c r="AT118" s="139"/>
      <c r="AU118" s="139"/>
      <c r="AV118" s="139"/>
      <c r="AW118" s="139"/>
      <c r="AX118" s="140"/>
      <c r="AY118" s="174"/>
      <c r="AZ118" s="138"/>
      <c r="BA118" s="139"/>
      <c r="BB118" s="139"/>
      <c r="BC118" s="139"/>
      <c r="BD118" s="139"/>
      <c r="BE118" s="139"/>
      <c r="BF118" s="139"/>
      <c r="BG118" s="139"/>
      <c r="BH118" s="139"/>
      <c r="BI118" s="139"/>
      <c r="BJ118" s="139"/>
      <c r="BK118" s="139"/>
      <c r="BL118" s="139"/>
      <c r="BM118" s="139"/>
      <c r="BN118" s="139"/>
      <c r="BO118" s="140"/>
      <c r="BP118" s="174"/>
      <c r="BQ118" s="138"/>
      <c r="BR118" s="139"/>
      <c r="BS118" s="139"/>
      <c r="BT118" s="139"/>
      <c r="BU118" s="139"/>
      <c r="BV118" s="139"/>
      <c r="BW118" s="139"/>
      <c r="BX118" s="139"/>
      <c r="BY118" s="139"/>
      <c r="BZ118" s="139"/>
      <c r="CA118" s="139"/>
      <c r="CB118" s="139"/>
      <c r="CC118" s="139"/>
      <c r="CD118" s="139"/>
      <c r="CE118" s="139"/>
      <c r="CF118" s="140"/>
      <c r="CG118" s="174"/>
      <c r="CH118" s="138"/>
      <c r="CI118" s="139"/>
      <c r="CJ118" s="139"/>
      <c r="CK118" s="139"/>
      <c r="CL118" s="139"/>
      <c r="CM118" s="139"/>
      <c r="CN118" s="139"/>
      <c r="CO118" s="139"/>
      <c r="CP118" s="139"/>
      <c r="CQ118" s="139"/>
      <c r="CR118" s="139"/>
      <c r="CS118" s="139"/>
      <c r="CT118" s="139"/>
      <c r="CU118" s="139"/>
      <c r="CV118" s="139"/>
      <c r="CW118" s="140"/>
      <c r="CX118" s="174"/>
      <c r="CY118" s="138"/>
      <c r="CZ118" s="139"/>
      <c r="DA118" s="139"/>
      <c r="DB118" s="139"/>
      <c r="DC118" s="139"/>
      <c r="DD118" s="139"/>
      <c r="DE118" s="139"/>
      <c r="DF118" s="139"/>
      <c r="DG118" s="139"/>
      <c r="DH118" s="139"/>
      <c r="DI118" s="139"/>
      <c r="DJ118" s="139"/>
      <c r="DK118" s="139"/>
      <c r="DL118" s="139"/>
      <c r="DM118" s="139"/>
      <c r="DN118" s="140"/>
      <c r="DO118" s="174"/>
      <c r="DP118" s="138"/>
      <c r="DQ118" s="139"/>
      <c r="DR118" s="139"/>
      <c r="DS118" s="139"/>
      <c r="DT118" s="139"/>
      <c r="DU118" s="139"/>
      <c r="DV118" s="139"/>
      <c r="DW118" s="139"/>
      <c r="DX118" s="139"/>
      <c r="DY118" s="139"/>
      <c r="DZ118" s="139"/>
      <c r="EA118" s="139"/>
      <c r="EB118" s="139"/>
      <c r="EC118" s="139"/>
      <c r="ED118" s="139"/>
      <c r="EE118" s="140"/>
      <c r="EF118" s="174"/>
    </row>
  </sheetData>
  <sheetProtection algorithmName="SHA-512" hashValue="gEwTEdwX9y+Hqrloi0w/8u+9JsuKU4dd6av04eFkJ0KjH0jorWUt5LF1gXtApwlxViDevvx/AZDb7lnH8LSRpA==" saltValue="q64hTVDDrB3Z4b6SQfeLyw==" spinCount="100000" sheet="1" scenarios="1"/>
  <mergeCells count="75">
    <mergeCell ref="DW11:EE12"/>
    <mergeCell ref="DP13:EE14"/>
    <mergeCell ref="CY11:DD12"/>
    <mergeCell ref="DF11:DN12"/>
    <mergeCell ref="CY13:DN14"/>
    <mergeCell ref="DP11:DU12"/>
    <mergeCell ref="DP5:EE6"/>
    <mergeCell ref="DP7:EE8"/>
    <mergeCell ref="DP9:DS10"/>
    <mergeCell ref="DT9:DU10"/>
    <mergeCell ref="DW9:DZ10"/>
    <mergeCell ref="EA9:EE10"/>
    <mergeCell ref="CY5:DN6"/>
    <mergeCell ref="CY7:DN8"/>
    <mergeCell ref="CY9:DB10"/>
    <mergeCell ref="DC9:DD10"/>
    <mergeCell ref="DF9:DI10"/>
    <mergeCell ref="DJ9:DN10"/>
    <mergeCell ref="CH11:CM12"/>
    <mergeCell ref="CO11:CW12"/>
    <mergeCell ref="CH13:CW14"/>
    <mergeCell ref="BQ5:CF6"/>
    <mergeCell ref="BQ7:CF8"/>
    <mergeCell ref="BQ9:BT10"/>
    <mergeCell ref="BU9:BV10"/>
    <mergeCell ref="CH5:CW6"/>
    <mergeCell ref="CH7:CW8"/>
    <mergeCell ref="CH9:CK10"/>
    <mergeCell ref="CL9:CM10"/>
    <mergeCell ref="CO9:CR10"/>
    <mergeCell ref="CS9:CW10"/>
    <mergeCell ref="BX9:CA10"/>
    <mergeCell ref="CB9:CF10"/>
    <mergeCell ref="BQ11:BV12"/>
    <mergeCell ref="BX11:CF12"/>
    <mergeCell ref="BQ13:CF14"/>
    <mergeCell ref="AZ5:BO6"/>
    <mergeCell ref="AZ7:BO8"/>
    <mergeCell ref="AZ9:BC10"/>
    <mergeCell ref="BD9:BE10"/>
    <mergeCell ref="BG9:BJ10"/>
    <mergeCell ref="BK9:BO10"/>
    <mergeCell ref="AZ11:BE12"/>
    <mergeCell ref="BG11:BO12"/>
    <mergeCell ref="AZ13:BO14"/>
    <mergeCell ref="AI11:AN12"/>
    <mergeCell ref="AP11:AX12"/>
    <mergeCell ref="AI13:AX14"/>
    <mergeCell ref="R5:AG6"/>
    <mergeCell ref="R7:AG8"/>
    <mergeCell ref="R9:U10"/>
    <mergeCell ref="V9:W10"/>
    <mergeCell ref="Y9:AB10"/>
    <mergeCell ref="AC9:AG10"/>
    <mergeCell ref="AI5:AX6"/>
    <mergeCell ref="AI7:AX8"/>
    <mergeCell ref="AI9:AL10"/>
    <mergeCell ref="AM9:AN10"/>
    <mergeCell ref="AP9:AS10"/>
    <mergeCell ref="AT9:AX10"/>
    <mergeCell ref="R11:W12"/>
    <mergeCell ref="A1:Q1"/>
    <mergeCell ref="H11:P12"/>
    <mergeCell ref="A5:P6"/>
    <mergeCell ref="A7:P8"/>
    <mergeCell ref="D3:I3"/>
    <mergeCell ref="N3:Q3"/>
    <mergeCell ref="Y11:AG12"/>
    <mergeCell ref="A13:P14"/>
    <mergeCell ref="A11:F12"/>
    <mergeCell ref="A9:D10"/>
    <mergeCell ref="H9:K10"/>
    <mergeCell ref="E9:F10"/>
    <mergeCell ref="L9:P10"/>
    <mergeCell ref="R13:AG14"/>
  </mergeCells>
  <conditionalFormatting sqref="E9:F10">
    <cfRule type="cellIs" dxfId="228" priority="46" operator="equal">
      <formula>"N/A"</formula>
    </cfRule>
    <cfRule type="cellIs" dxfId="227" priority="47" operator="equal">
      <formula>"No"</formula>
    </cfRule>
    <cfRule type="cellIs" dxfId="226" priority="48" operator="equal">
      <formula>"YES"</formula>
    </cfRule>
  </conditionalFormatting>
  <conditionalFormatting sqref="L9">
    <cfRule type="cellIs" dxfId="225" priority="43" operator="equal">
      <formula>"Performed own test"</formula>
    </cfRule>
    <cfRule type="cellIs" dxfId="224" priority="44" operator="equal">
      <formula>"No"</formula>
    </cfRule>
    <cfRule type="cellIs" dxfId="223" priority="45" operator="equal">
      <formula>"YES"</formula>
    </cfRule>
  </conditionalFormatting>
  <conditionalFormatting sqref="V9:W10">
    <cfRule type="cellIs" dxfId="222" priority="40" operator="equal">
      <formula>"N/A"</formula>
    </cfRule>
    <cfRule type="cellIs" dxfId="221" priority="41" operator="equal">
      <formula>"No"</formula>
    </cfRule>
    <cfRule type="cellIs" dxfId="220" priority="42" operator="equal">
      <formula>"YES"</formula>
    </cfRule>
  </conditionalFormatting>
  <conditionalFormatting sqref="AC9">
    <cfRule type="cellIs" dxfId="219" priority="37" operator="equal">
      <formula>"Performed own test"</formula>
    </cfRule>
    <cfRule type="cellIs" dxfId="218" priority="38" operator="equal">
      <formula>"No"</formula>
    </cfRule>
    <cfRule type="cellIs" dxfId="217" priority="39" operator="equal">
      <formula>"YES"</formula>
    </cfRule>
  </conditionalFormatting>
  <conditionalFormatting sqref="AM9:AN10">
    <cfRule type="cellIs" dxfId="216" priority="34" operator="equal">
      <formula>"N/A"</formula>
    </cfRule>
    <cfRule type="cellIs" dxfId="215" priority="35" operator="equal">
      <formula>"No"</formula>
    </cfRule>
    <cfRule type="cellIs" dxfId="214" priority="36" operator="equal">
      <formula>"YES"</formula>
    </cfRule>
  </conditionalFormatting>
  <conditionalFormatting sqref="AT9">
    <cfRule type="cellIs" dxfId="213" priority="31" operator="equal">
      <formula>"Performed own test"</formula>
    </cfRule>
    <cfRule type="cellIs" dxfId="212" priority="32" operator="equal">
      <formula>"No"</formula>
    </cfRule>
    <cfRule type="cellIs" dxfId="211" priority="33" operator="equal">
      <formula>"YES"</formula>
    </cfRule>
  </conditionalFormatting>
  <conditionalFormatting sqref="BD9:BE10">
    <cfRule type="cellIs" dxfId="210" priority="28" operator="equal">
      <formula>"N/A"</formula>
    </cfRule>
    <cfRule type="cellIs" dxfId="209" priority="29" operator="equal">
      <formula>"No"</formula>
    </cfRule>
    <cfRule type="cellIs" dxfId="208" priority="30" operator="equal">
      <formula>"YES"</formula>
    </cfRule>
  </conditionalFormatting>
  <conditionalFormatting sqref="BK9">
    <cfRule type="cellIs" dxfId="207" priority="25" operator="equal">
      <formula>"Performed own test"</formula>
    </cfRule>
    <cfRule type="cellIs" dxfId="206" priority="26" operator="equal">
      <formula>"No"</formula>
    </cfRule>
    <cfRule type="cellIs" dxfId="205" priority="27" operator="equal">
      <formula>"YES"</formula>
    </cfRule>
  </conditionalFormatting>
  <conditionalFormatting sqref="BU9:BV10">
    <cfRule type="cellIs" dxfId="204" priority="22" operator="equal">
      <formula>"N/A"</formula>
    </cfRule>
    <cfRule type="cellIs" dxfId="203" priority="23" operator="equal">
      <formula>"No"</formula>
    </cfRule>
    <cfRule type="cellIs" dxfId="202" priority="24" operator="equal">
      <formula>"YES"</formula>
    </cfRule>
  </conditionalFormatting>
  <conditionalFormatting sqref="CB9">
    <cfRule type="cellIs" dxfId="201" priority="19" operator="equal">
      <formula>"Performed own test"</formula>
    </cfRule>
    <cfRule type="cellIs" dxfId="200" priority="20" operator="equal">
      <formula>"No"</formula>
    </cfRule>
    <cfRule type="cellIs" dxfId="199" priority="21" operator="equal">
      <formula>"YES"</formula>
    </cfRule>
  </conditionalFormatting>
  <conditionalFormatting sqref="CL9:CM10">
    <cfRule type="cellIs" dxfId="198" priority="16" operator="equal">
      <formula>"N/A"</formula>
    </cfRule>
    <cfRule type="cellIs" dxfId="197" priority="17" operator="equal">
      <formula>"No"</formula>
    </cfRule>
    <cfRule type="cellIs" dxfId="196" priority="18" operator="equal">
      <formula>"YES"</formula>
    </cfRule>
  </conditionalFormatting>
  <conditionalFormatting sqref="CS9">
    <cfRule type="cellIs" dxfId="195" priority="13" operator="equal">
      <formula>"Performed own test"</formula>
    </cfRule>
    <cfRule type="cellIs" dxfId="194" priority="14" operator="equal">
      <formula>"No"</formula>
    </cfRule>
    <cfRule type="cellIs" dxfId="193" priority="15" operator="equal">
      <formula>"YES"</formula>
    </cfRule>
  </conditionalFormatting>
  <conditionalFormatting sqref="DC9:DD10">
    <cfRule type="cellIs" dxfId="192" priority="10" operator="equal">
      <formula>"N/A"</formula>
    </cfRule>
    <cfRule type="cellIs" dxfId="191" priority="11" operator="equal">
      <formula>"No"</formula>
    </cfRule>
    <cfRule type="cellIs" dxfId="190" priority="12" operator="equal">
      <formula>"YES"</formula>
    </cfRule>
  </conditionalFormatting>
  <conditionalFormatting sqref="DJ9">
    <cfRule type="cellIs" dxfId="189" priority="7" operator="equal">
      <formula>"Performed own test"</formula>
    </cfRule>
    <cfRule type="cellIs" dxfId="188" priority="8" operator="equal">
      <formula>"No"</formula>
    </cfRule>
    <cfRule type="cellIs" dxfId="187" priority="9" operator="equal">
      <formula>"YES"</formula>
    </cfRule>
  </conditionalFormatting>
  <conditionalFormatting sqref="DT9:DU10">
    <cfRule type="cellIs" dxfId="186" priority="4" operator="equal">
      <formula>"N/A"</formula>
    </cfRule>
    <cfRule type="cellIs" dxfId="185" priority="5" operator="equal">
      <formula>"No"</formula>
    </cfRule>
    <cfRule type="cellIs" dxfId="184" priority="6" operator="equal">
      <formula>"YES"</formula>
    </cfRule>
  </conditionalFormatting>
  <conditionalFormatting sqref="EA9">
    <cfRule type="cellIs" dxfId="183" priority="1" operator="equal">
      <formula>"Performed own test"</formula>
    </cfRule>
    <cfRule type="cellIs" dxfId="182" priority="2" operator="equal">
      <formula>"No"</formula>
    </cfRule>
    <cfRule type="cellIs" dxfId="181" priority="3" operator="equal">
      <formula>"YES"</formula>
    </cfRule>
  </conditionalFormatting>
  <dataValidations count="4">
    <dataValidation type="list" allowBlank="1" showInputMessage="1" showErrorMessage="1" sqref="E9:F10 V9:W10 AM9:AN10 BD9:BE10 BU9:BV10 CL9:CM10 DC9:DD10 DT9:DU10" xr:uid="{A2DD8A4A-B0EB-4356-AA2B-88236695BA92}">
      <formula1>"YES,NO,N/A"</formula1>
    </dataValidation>
    <dataValidation type="list" allowBlank="1" showInputMessage="1" showErrorMessage="1" sqref="L9 AC9 AT9 BK9 CB9 CS9 DJ9 EA9" xr:uid="{952E82B1-5886-4827-8E71-E87BB11BD3F6}">
      <formula1>"Performed own test,YES,NO"</formula1>
    </dataValidation>
    <dataValidation allowBlank="1" showInputMessage="1" showErrorMessage="1" sqref="Q7:Q8" xr:uid="{94F17206-2170-4E3D-B8BE-1CF9D1E02BE1}"/>
    <dataValidation type="list" allowBlank="1" showInputMessage="1" showErrorMessage="1" sqref="DP7:EE8 A7:P8 R7:AG8 AI7:AX8 AZ7:BO8 BQ7:CF8 CH7:CW8 CY7:DN8" xr:uid="{F5F2993D-CB2F-4552-B1E0-09717A00C34A}">
      <formula1>"Carbon Fiber,Aramid Fiber,Glass Fiber,Aramid-honeycomb, Aluminium-honeycomb,Foam,Other"</formula1>
    </dataValidation>
  </dataValidations>
  <hyperlinks>
    <hyperlink ref="S2" location="'Cover Sheet'!A1" display="BACK to COVER SHEET" xr:uid="{B20A2F14-615E-4349-808D-8D1FB56C272D}"/>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90AA-0ACA-4D63-A4A7-91EA9139C27A}">
  <sheetPr codeName="Sheet6">
    <tabColor rgb="FF9999FF"/>
  </sheetPr>
  <dimension ref="A1:EF118"/>
  <sheetViews>
    <sheetView view="pageBreakPreview" zoomScaleNormal="55" zoomScaleSheetLayoutView="100" workbookViewId="0">
      <selection sqref="A1:Q1"/>
    </sheetView>
  </sheetViews>
  <sheetFormatPr defaultColWidth="9.140625" defaultRowHeight="12.75"/>
  <cols>
    <col min="1" max="135" width="5" customWidth="1"/>
  </cols>
  <sheetData>
    <row r="1" spans="1:136" s="174" customFormat="1" ht="12.75" customHeight="1">
      <c r="A1" s="561" t="str">
        <f>CONCATENATE(Read_Me!A1," FS ASES ",Read_Me!B1," - Datasheets Other Matl'")</f>
        <v>2026 FS ASES V1.0 - Datasheets Other Matl'</v>
      </c>
      <c r="B1" s="561"/>
      <c r="C1" s="561"/>
      <c r="D1" s="561"/>
      <c r="E1" s="561"/>
      <c r="F1" s="561"/>
      <c r="G1" s="561"/>
      <c r="H1" s="561"/>
      <c r="I1" s="561"/>
      <c r="J1" s="561"/>
      <c r="K1" s="561"/>
      <c r="L1" s="561"/>
      <c r="M1" s="561"/>
      <c r="N1" s="561"/>
      <c r="O1" s="561"/>
      <c r="P1" s="561"/>
      <c r="Q1" s="561"/>
      <c r="R1" s="173"/>
      <c r="S1" s="173"/>
    </row>
    <row r="2" spans="1:136" s="174" customFormat="1" ht="12.75" customHeight="1">
      <c r="S2" s="58" t="s">
        <v>77</v>
      </c>
    </row>
    <row r="3" spans="1:136" s="174" customFormat="1">
      <c r="A3" s="224" t="s">
        <v>17</v>
      </c>
      <c r="D3" s="562" t="str">
        <f>IF('Cover Sheet'!D15:J15&gt;0,'Cover Sheet'!D15:J15,"")</f>
        <v/>
      </c>
      <c r="E3" s="562"/>
      <c r="F3" s="562"/>
      <c r="G3" s="562"/>
      <c r="H3" s="562"/>
      <c r="I3" s="562"/>
      <c r="J3" s="174" t="s">
        <v>18</v>
      </c>
      <c r="N3" s="562" t="str">
        <f>IF('Cover Sheet'!O15&gt;0,'Cover Sheet'!O15,"")</f>
        <v/>
      </c>
      <c r="O3" s="562"/>
      <c r="P3" s="562"/>
      <c r="Q3" s="562"/>
    </row>
    <row r="4" spans="1:136" s="174" customFormat="1" ht="13.5" thickBot="1"/>
    <row r="5" spans="1:136" ht="12.75" customHeight="1">
      <c r="A5" s="713" t="s">
        <v>234</v>
      </c>
      <c r="B5" s="695"/>
      <c r="C5" s="695"/>
      <c r="D5" s="695"/>
      <c r="E5" s="695"/>
      <c r="F5" s="695"/>
      <c r="G5" s="695"/>
      <c r="H5" s="695"/>
      <c r="I5" s="695"/>
      <c r="J5" s="695"/>
      <c r="K5" s="695"/>
      <c r="L5" s="695"/>
      <c r="M5" s="695"/>
      <c r="N5" s="695"/>
      <c r="O5" s="695"/>
      <c r="P5" s="696"/>
      <c r="Q5" s="174"/>
      <c r="R5" s="694" t="s">
        <v>224</v>
      </c>
      <c r="S5" s="695"/>
      <c r="T5" s="695"/>
      <c r="U5" s="695"/>
      <c r="V5" s="695"/>
      <c r="W5" s="695"/>
      <c r="X5" s="695"/>
      <c r="Y5" s="695"/>
      <c r="Z5" s="695"/>
      <c r="AA5" s="695"/>
      <c r="AB5" s="695"/>
      <c r="AC5" s="695"/>
      <c r="AD5" s="695"/>
      <c r="AE5" s="695"/>
      <c r="AF5" s="695"/>
      <c r="AG5" s="696"/>
      <c r="AH5" s="174"/>
      <c r="AI5" s="713" t="s">
        <v>225</v>
      </c>
      <c r="AJ5" s="695"/>
      <c r="AK5" s="695"/>
      <c r="AL5" s="695"/>
      <c r="AM5" s="695"/>
      <c r="AN5" s="695"/>
      <c r="AO5" s="695"/>
      <c r="AP5" s="695"/>
      <c r="AQ5" s="695"/>
      <c r="AR5" s="695"/>
      <c r="AS5" s="695"/>
      <c r="AT5" s="695"/>
      <c r="AU5" s="695"/>
      <c r="AV5" s="695"/>
      <c r="AW5" s="695"/>
      <c r="AX5" s="696"/>
      <c r="AY5" s="174"/>
      <c r="AZ5" s="694" t="s">
        <v>226</v>
      </c>
      <c r="BA5" s="695"/>
      <c r="BB5" s="695"/>
      <c r="BC5" s="695"/>
      <c r="BD5" s="695"/>
      <c r="BE5" s="695"/>
      <c r="BF5" s="695"/>
      <c r="BG5" s="695"/>
      <c r="BH5" s="695"/>
      <c r="BI5" s="695"/>
      <c r="BJ5" s="695"/>
      <c r="BK5" s="695"/>
      <c r="BL5" s="695"/>
      <c r="BM5" s="695"/>
      <c r="BN5" s="695"/>
      <c r="BO5" s="696"/>
      <c r="BP5" s="174"/>
      <c r="BQ5" s="694" t="s">
        <v>227</v>
      </c>
      <c r="BR5" s="695"/>
      <c r="BS5" s="695"/>
      <c r="BT5" s="695"/>
      <c r="BU5" s="695"/>
      <c r="BV5" s="695"/>
      <c r="BW5" s="695"/>
      <c r="BX5" s="695"/>
      <c r="BY5" s="695"/>
      <c r="BZ5" s="695"/>
      <c r="CA5" s="695"/>
      <c r="CB5" s="695"/>
      <c r="CC5" s="695"/>
      <c r="CD5" s="695"/>
      <c r="CE5" s="695"/>
      <c r="CF5" s="696"/>
      <c r="CG5" s="174"/>
      <c r="CH5" s="694" t="s">
        <v>228</v>
      </c>
      <c r="CI5" s="695"/>
      <c r="CJ5" s="695"/>
      <c r="CK5" s="695"/>
      <c r="CL5" s="695"/>
      <c r="CM5" s="695"/>
      <c r="CN5" s="695"/>
      <c r="CO5" s="695"/>
      <c r="CP5" s="695"/>
      <c r="CQ5" s="695"/>
      <c r="CR5" s="695"/>
      <c r="CS5" s="695"/>
      <c r="CT5" s="695"/>
      <c r="CU5" s="695"/>
      <c r="CV5" s="695"/>
      <c r="CW5" s="696"/>
      <c r="CX5" s="174"/>
      <c r="CY5" s="694" t="s">
        <v>229</v>
      </c>
      <c r="CZ5" s="695"/>
      <c r="DA5" s="695"/>
      <c r="DB5" s="695"/>
      <c r="DC5" s="695"/>
      <c r="DD5" s="695"/>
      <c r="DE5" s="695"/>
      <c r="DF5" s="695"/>
      <c r="DG5" s="695"/>
      <c r="DH5" s="695"/>
      <c r="DI5" s="695"/>
      <c r="DJ5" s="695"/>
      <c r="DK5" s="695"/>
      <c r="DL5" s="695"/>
      <c r="DM5" s="695"/>
      <c r="DN5" s="696"/>
      <c r="DO5" s="174"/>
      <c r="DP5" s="694" t="s">
        <v>230</v>
      </c>
      <c r="DQ5" s="695"/>
      <c r="DR5" s="695"/>
      <c r="DS5" s="695"/>
      <c r="DT5" s="695"/>
      <c r="DU5" s="695"/>
      <c r="DV5" s="695"/>
      <c r="DW5" s="695"/>
      <c r="DX5" s="695"/>
      <c r="DY5" s="695"/>
      <c r="DZ5" s="695"/>
      <c r="EA5" s="695"/>
      <c r="EB5" s="695"/>
      <c r="EC5" s="695"/>
      <c r="ED5" s="695"/>
      <c r="EE5" s="696"/>
      <c r="EF5" s="174"/>
    </row>
    <row r="6" spans="1:136" ht="12.75" customHeight="1" thickBot="1">
      <c r="A6" s="697"/>
      <c r="B6" s="698"/>
      <c r="C6" s="698"/>
      <c r="D6" s="698"/>
      <c r="E6" s="698"/>
      <c r="F6" s="698"/>
      <c r="G6" s="698"/>
      <c r="H6" s="698"/>
      <c r="I6" s="698"/>
      <c r="J6" s="698"/>
      <c r="K6" s="698"/>
      <c r="L6" s="698"/>
      <c r="M6" s="698"/>
      <c r="N6" s="698"/>
      <c r="O6" s="698"/>
      <c r="P6" s="699"/>
      <c r="Q6" s="174"/>
      <c r="R6" s="697"/>
      <c r="S6" s="698"/>
      <c r="T6" s="698"/>
      <c r="U6" s="698"/>
      <c r="V6" s="698"/>
      <c r="W6" s="698"/>
      <c r="X6" s="698"/>
      <c r="Y6" s="698"/>
      <c r="Z6" s="698"/>
      <c r="AA6" s="698"/>
      <c r="AB6" s="698"/>
      <c r="AC6" s="698"/>
      <c r="AD6" s="698"/>
      <c r="AE6" s="698"/>
      <c r="AF6" s="698"/>
      <c r="AG6" s="699"/>
      <c r="AH6" s="174"/>
      <c r="AI6" s="697"/>
      <c r="AJ6" s="698"/>
      <c r="AK6" s="698"/>
      <c r="AL6" s="698"/>
      <c r="AM6" s="698"/>
      <c r="AN6" s="698"/>
      <c r="AO6" s="698"/>
      <c r="AP6" s="698"/>
      <c r="AQ6" s="698"/>
      <c r="AR6" s="698"/>
      <c r="AS6" s="698"/>
      <c r="AT6" s="698"/>
      <c r="AU6" s="698"/>
      <c r="AV6" s="698"/>
      <c r="AW6" s="698"/>
      <c r="AX6" s="699"/>
      <c r="AY6" s="174"/>
      <c r="AZ6" s="697"/>
      <c r="BA6" s="698"/>
      <c r="BB6" s="698"/>
      <c r="BC6" s="698"/>
      <c r="BD6" s="698"/>
      <c r="BE6" s="698"/>
      <c r="BF6" s="698"/>
      <c r="BG6" s="698"/>
      <c r="BH6" s="698"/>
      <c r="BI6" s="698"/>
      <c r="BJ6" s="698"/>
      <c r="BK6" s="698"/>
      <c r="BL6" s="698"/>
      <c r="BM6" s="698"/>
      <c r="BN6" s="698"/>
      <c r="BO6" s="699"/>
      <c r="BP6" s="174"/>
      <c r="BQ6" s="697"/>
      <c r="BR6" s="698"/>
      <c r="BS6" s="698"/>
      <c r="BT6" s="698"/>
      <c r="BU6" s="698"/>
      <c r="BV6" s="698"/>
      <c r="BW6" s="698"/>
      <c r="BX6" s="698"/>
      <c r="BY6" s="698"/>
      <c r="BZ6" s="698"/>
      <c r="CA6" s="698"/>
      <c r="CB6" s="698"/>
      <c r="CC6" s="698"/>
      <c r="CD6" s="698"/>
      <c r="CE6" s="698"/>
      <c r="CF6" s="699"/>
      <c r="CG6" s="174"/>
      <c r="CH6" s="697"/>
      <c r="CI6" s="698"/>
      <c r="CJ6" s="698"/>
      <c r="CK6" s="698"/>
      <c r="CL6" s="698"/>
      <c r="CM6" s="698"/>
      <c r="CN6" s="698"/>
      <c r="CO6" s="698"/>
      <c r="CP6" s="698"/>
      <c r="CQ6" s="698"/>
      <c r="CR6" s="698"/>
      <c r="CS6" s="698"/>
      <c r="CT6" s="698"/>
      <c r="CU6" s="698"/>
      <c r="CV6" s="698"/>
      <c r="CW6" s="699"/>
      <c r="CX6" s="174"/>
      <c r="CY6" s="697"/>
      <c r="CZ6" s="698"/>
      <c r="DA6" s="698"/>
      <c r="DB6" s="698"/>
      <c r="DC6" s="698"/>
      <c r="DD6" s="698"/>
      <c r="DE6" s="698"/>
      <c r="DF6" s="698"/>
      <c r="DG6" s="698"/>
      <c r="DH6" s="698"/>
      <c r="DI6" s="698"/>
      <c r="DJ6" s="698"/>
      <c r="DK6" s="698"/>
      <c r="DL6" s="698"/>
      <c r="DM6" s="698"/>
      <c r="DN6" s="699"/>
      <c r="DO6" s="174"/>
      <c r="DP6" s="697"/>
      <c r="DQ6" s="698"/>
      <c r="DR6" s="698"/>
      <c r="DS6" s="698"/>
      <c r="DT6" s="698"/>
      <c r="DU6" s="698"/>
      <c r="DV6" s="698"/>
      <c r="DW6" s="698"/>
      <c r="DX6" s="698"/>
      <c r="DY6" s="698"/>
      <c r="DZ6" s="698"/>
      <c r="EA6" s="698"/>
      <c r="EB6" s="698"/>
      <c r="EC6" s="698"/>
      <c r="ED6" s="698"/>
      <c r="EE6" s="699"/>
      <c r="EF6" s="174"/>
    </row>
    <row r="7" spans="1:136" ht="12.75" customHeight="1">
      <c r="A7" s="700" t="s">
        <v>89</v>
      </c>
      <c r="B7" s="701"/>
      <c r="C7" s="701"/>
      <c r="D7" s="701"/>
      <c r="E7" s="701"/>
      <c r="F7" s="701"/>
      <c r="G7" s="701"/>
      <c r="H7" s="701"/>
      <c r="I7" s="701"/>
      <c r="J7" s="701"/>
      <c r="K7" s="701"/>
      <c r="L7" s="701"/>
      <c r="M7" s="701"/>
      <c r="N7" s="701"/>
      <c r="O7" s="701"/>
      <c r="P7" s="702"/>
      <c r="Q7" s="174"/>
      <c r="R7" s="700" t="s">
        <v>55</v>
      </c>
      <c r="S7" s="701"/>
      <c r="T7" s="701"/>
      <c r="U7" s="701"/>
      <c r="V7" s="701"/>
      <c r="W7" s="701"/>
      <c r="X7" s="701"/>
      <c r="Y7" s="701"/>
      <c r="Z7" s="701"/>
      <c r="AA7" s="701"/>
      <c r="AB7" s="701"/>
      <c r="AC7" s="701"/>
      <c r="AD7" s="701"/>
      <c r="AE7" s="701"/>
      <c r="AF7" s="701"/>
      <c r="AG7" s="702"/>
      <c r="AH7" s="174"/>
      <c r="AI7" s="700" t="s">
        <v>55</v>
      </c>
      <c r="AJ7" s="701"/>
      <c r="AK7" s="701"/>
      <c r="AL7" s="701"/>
      <c r="AM7" s="701"/>
      <c r="AN7" s="701"/>
      <c r="AO7" s="701"/>
      <c r="AP7" s="701"/>
      <c r="AQ7" s="701"/>
      <c r="AR7" s="701"/>
      <c r="AS7" s="701"/>
      <c r="AT7" s="701"/>
      <c r="AU7" s="701"/>
      <c r="AV7" s="701"/>
      <c r="AW7" s="701"/>
      <c r="AX7" s="702"/>
      <c r="AY7" s="174"/>
      <c r="AZ7" s="700" t="s">
        <v>55</v>
      </c>
      <c r="BA7" s="701"/>
      <c r="BB7" s="701"/>
      <c r="BC7" s="701"/>
      <c r="BD7" s="701"/>
      <c r="BE7" s="701"/>
      <c r="BF7" s="701"/>
      <c r="BG7" s="701"/>
      <c r="BH7" s="701"/>
      <c r="BI7" s="701"/>
      <c r="BJ7" s="701"/>
      <c r="BK7" s="701"/>
      <c r="BL7" s="701"/>
      <c r="BM7" s="701"/>
      <c r="BN7" s="701"/>
      <c r="BO7" s="702"/>
      <c r="BP7" s="174"/>
      <c r="BQ7" s="700" t="s">
        <v>55</v>
      </c>
      <c r="BR7" s="701"/>
      <c r="BS7" s="701"/>
      <c r="BT7" s="701"/>
      <c r="BU7" s="701"/>
      <c r="BV7" s="701"/>
      <c r="BW7" s="701"/>
      <c r="BX7" s="701"/>
      <c r="BY7" s="701"/>
      <c r="BZ7" s="701"/>
      <c r="CA7" s="701"/>
      <c r="CB7" s="701"/>
      <c r="CC7" s="701"/>
      <c r="CD7" s="701"/>
      <c r="CE7" s="701"/>
      <c r="CF7" s="702"/>
      <c r="CG7" s="174"/>
      <c r="CH7" s="700" t="s">
        <v>55</v>
      </c>
      <c r="CI7" s="701"/>
      <c r="CJ7" s="701"/>
      <c r="CK7" s="701"/>
      <c r="CL7" s="701"/>
      <c r="CM7" s="701"/>
      <c r="CN7" s="701"/>
      <c r="CO7" s="701"/>
      <c r="CP7" s="701"/>
      <c r="CQ7" s="701"/>
      <c r="CR7" s="701"/>
      <c r="CS7" s="701"/>
      <c r="CT7" s="701"/>
      <c r="CU7" s="701"/>
      <c r="CV7" s="701"/>
      <c r="CW7" s="702"/>
      <c r="CX7" s="174"/>
      <c r="CY7" s="700" t="s">
        <v>55</v>
      </c>
      <c r="CZ7" s="701"/>
      <c r="DA7" s="701"/>
      <c r="DB7" s="701"/>
      <c r="DC7" s="701"/>
      <c r="DD7" s="701"/>
      <c r="DE7" s="701"/>
      <c r="DF7" s="701"/>
      <c r="DG7" s="701"/>
      <c r="DH7" s="701"/>
      <c r="DI7" s="701"/>
      <c r="DJ7" s="701"/>
      <c r="DK7" s="701"/>
      <c r="DL7" s="701"/>
      <c r="DM7" s="701"/>
      <c r="DN7" s="702"/>
      <c r="DO7" s="174"/>
      <c r="DP7" s="700" t="s">
        <v>55</v>
      </c>
      <c r="DQ7" s="701"/>
      <c r="DR7" s="701"/>
      <c r="DS7" s="701"/>
      <c r="DT7" s="701"/>
      <c r="DU7" s="701"/>
      <c r="DV7" s="701"/>
      <c r="DW7" s="701"/>
      <c r="DX7" s="701"/>
      <c r="DY7" s="701"/>
      <c r="DZ7" s="701"/>
      <c r="EA7" s="701"/>
      <c r="EB7" s="701"/>
      <c r="EC7" s="701"/>
      <c r="ED7" s="701"/>
      <c r="EE7" s="702"/>
      <c r="EF7" s="174"/>
    </row>
    <row r="8" spans="1:136" ht="12.75" customHeight="1">
      <c r="A8" s="703"/>
      <c r="B8" s="704"/>
      <c r="C8" s="704"/>
      <c r="D8" s="704"/>
      <c r="E8" s="704"/>
      <c r="F8" s="704"/>
      <c r="G8" s="704"/>
      <c r="H8" s="704"/>
      <c r="I8" s="704"/>
      <c r="J8" s="704"/>
      <c r="K8" s="704"/>
      <c r="L8" s="704"/>
      <c r="M8" s="704"/>
      <c r="N8" s="704"/>
      <c r="O8" s="704"/>
      <c r="P8" s="705"/>
      <c r="Q8" s="174"/>
      <c r="R8" s="703"/>
      <c r="S8" s="704"/>
      <c r="T8" s="704"/>
      <c r="U8" s="704"/>
      <c r="V8" s="704"/>
      <c r="W8" s="704"/>
      <c r="X8" s="704"/>
      <c r="Y8" s="704"/>
      <c r="Z8" s="704"/>
      <c r="AA8" s="704"/>
      <c r="AB8" s="704"/>
      <c r="AC8" s="704"/>
      <c r="AD8" s="704"/>
      <c r="AE8" s="704"/>
      <c r="AF8" s="704"/>
      <c r="AG8" s="705"/>
      <c r="AH8" s="174"/>
      <c r="AI8" s="703"/>
      <c r="AJ8" s="704"/>
      <c r="AK8" s="704"/>
      <c r="AL8" s="704"/>
      <c r="AM8" s="704"/>
      <c r="AN8" s="704"/>
      <c r="AO8" s="704"/>
      <c r="AP8" s="704"/>
      <c r="AQ8" s="704"/>
      <c r="AR8" s="704"/>
      <c r="AS8" s="704"/>
      <c r="AT8" s="704"/>
      <c r="AU8" s="704"/>
      <c r="AV8" s="704"/>
      <c r="AW8" s="704"/>
      <c r="AX8" s="705"/>
      <c r="AY8" s="174"/>
      <c r="AZ8" s="703"/>
      <c r="BA8" s="704"/>
      <c r="BB8" s="704"/>
      <c r="BC8" s="704"/>
      <c r="BD8" s="704"/>
      <c r="BE8" s="704"/>
      <c r="BF8" s="704"/>
      <c r="BG8" s="704"/>
      <c r="BH8" s="704"/>
      <c r="BI8" s="704"/>
      <c r="BJ8" s="704"/>
      <c r="BK8" s="704"/>
      <c r="BL8" s="704"/>
      <c r="BM8" s="704"/>
      <c r="BN8" s="704"/>
      <c r="BO8" s="705"/>
      <c r="BP8" s="174"/>
      <c r="BQ8" s="703"/>
      <c r="BR8" s="704"/>
      <c r="BS8" s="704"/>
      <c r="BT8" s="704"/>
      <c r="BU8" s="704"/>
      <c r="BV8" s="704"/>
      <c r="BW8" s="704"/>
      <c r="BX8" s="704"/>
      <c r="BY8" s="704"/>
      <c r="BZ8" s="704"/>
      <c r="CA8" s="704"/>
      <c r="CB8" s="704"/>
      <c r="CC8" s="704"/>
      <c r="CD8" s="704"/>
      <c r="CE8" s="704"/>
      <c r="CF8" s="705"/>
      <c r="CG8" s="174"/>
      <c r="CH8" s="703"/>
      <c r="CI8" s="704"/>
      <c r="CJ8" s="704"/>
      <c r="CK8" s="704"/>
      <c r="CL8" s="704"/>
      <c r="CM8" s="704"/>
      <c r="CN8" s="704"/>
      <c r="CO8" s="704"/>
      <c r="CP8" s="704"/>
      <c r="CQ8" s="704"/>
      <c r="CR8" s="704"/>
      <c r="CS8" s="704"/>
      <c r="CT8" s="704"/>
      <c r="CU8" s="704"/>
      <c r="CV8" s="704"/>
      <c r="CW8" s="705"/>
      <c r="CX8" s="174"/>
      <c r="CY8" s="703"/>
      <c r="CZ8" s="704"/>
      <c r="DA8" s="704"/>
      <c r="DB8" s="704"/>
      <c r="DC8" s="704"/>
      <c r="DD8" s="704"/>
      <c r="DE8" s="704"/>
      <c r="DF8" s="704"/>
      <c r="DG8" s="704"/>
      <c r="DH8" s="704"/>
      <c r="DI8" s="704"/>
      <c r="DJ8" s="704"/>
      <c r="DK8" s="704"/>
      <c r="DL8" s="704"/>
      <c r="DM8" s="704"/>
      <c r="DN8" s="705"/>
      <c r="DO8" s="174"/>
      <c r="DP8" s="703"/>
      <c r="DQ8" s="704"/>
      <c r="DR8" s="704"/>
      <c r="DS8" s="704"/>
      <c r="DT8" s="704"/>
      <c r="DU8" s="704"/>
      <c r="DV8" s="704"/>
      <c r="DW8" s="704"/>
      <c r="DX8" s="704"/>
      <c r="DY8" s="704"/>
      <c r="DZ8" s="704"/>
      <c r="EA8" s="704"/>
      <c r="EB8" s="704"/>
      <c r="EC8" s="704"/>
      <c r="ED8" s="704"/>
      <c r="EE8" s="705"/>
      <c r="EF8" s="174"/>
    </row>
    <row r="9" spans="1:136" ht="12.75" customHeight="1">
      <c r="A9" s="678" t="s">
        <v>391</v>
      </c>
      <c r="B9" s="679"/>
      <c r="C9" s="679"/>
      <c r="D9" s="679"/>
      <c r="E9" s="686" t="s">
        <v>35</v>
      </c>
      <c r="F9" s="687"/>
      <c r="G9" s="351"/>
      <c r="H9" s="706" t="s">
        <v>318</v>
      </c>
      <c r="I9" s="683"/>
      <c r="J9" s="683"/>
      <c r="K9" s="683"/>
      <c r="L9" s="690" t="s">
        <v>35</v>
      </c>
      <c r="M9" s="690"/>
      <c r="N9" s="690"/>
      <c r="O9" s="690"/>
      <c r="P9" s="691"/>
      <c r="Q9" s="174"/>
      <c r="R9" s="678" t="s">
        <v>391</v>
      </c>
      <c r="S9" s="679"/>
      <c r="T9" s="679"/>
      <c r="U9" s="679"/>
      <c r="V9" s="690" t="s">
        <v>35</v>
      </c>
      <c r="W9" s="691"/>
      <c r="X9" s="351"/>
      <c r="Y9" s="706" t="s">
        <v>318</v>
      </c>
      <c r="Z9" s="683"/>
      <c r="AA9" s="683"/>
      <c r="AB9" s="683"/>
      <c r="AC9" s="690" t="s">
        <v>35</v>
      </c>
      <c r="AD9" s="690"/>
      <c r="AE9" s="690"/>
      <c r="AF9" s="690"/>
      <c r="AG9" s="691"/>
      <c r="AH9" s="174"/>
      <c r="AI9" s="678" t="s">
        <v>391</v>
      </c>
      <c r="AJ9" s="679"/>
      <c r="AK9" s="679"/>
      <c r="AL9" s="679"/>
      <c r="AM9" s="690" t="s">
        <v>35</v>
      </c>
      <c r="AN9" s="691"/>
      <c r="AO9" s="351"/>
      <c r="AP9" s="706" t="s">
        <v>318</v>
      </c>
      <c r="AQ9" s="683"/>
      <c r="AR9" s="683"/>
      <c r="AS9" s="683"/>
      <c r="AT9" s="690" t="s">
        <v>35</v>
      </c>
      <c r="AU9" s="690"/>
      <c r="AV9" s="690"/>
      <c r="AW9" s="690"/>
      <c r="AX9" s="691"/>
      <c r="AY9" s="174"/>
      <c r="AZ9" s="678" t="s">
        <v>391</v>
      </c>
      <c r="BA9" s="679"/>
      <c r="BB9" s="679"/>
      <c r="BC9" s="679"/>
      <c r="BD9" s="690" t="s">
        <v>35</v>
      </c>
      <c r="BE9" s="691"/>
      <c r="BF9" s="351"/>
      <c r="BG9" s="706" t="s">
        <v>318</v>
      </c>
      <c r="BH9" s="683"/>
      <c r="BI9" s="683"/>
      <c r="BJ9" s="683"/>
      <c r="BK9" s="690" t="s">
        <v>35</v>
      </c>
      <c r="BL9" s="690"/>
      <c r="BM9" s="690"/>
      <c r="BN9" s="690"/>
      <c r="BO9" s="691"/>
      <c r="BP9" s="174"/>
      <c r="BQ9" s="678" t="s">
        <v>391</v>
      </c>
      <c r="BR9" s="679"/>
      <c r="BS9" s="679"/>
      <c r="BT9" s="679"/>
      <c r="BU9" s="690" t="s">
        <v>35</v>
      </c>
      <c r="BV9" s="691"/>
      <c r="BW9" s="351"/>
      <c r="BX9" s="706" t="s">
        <v>318</v>
      </c>
      <c r="BY9" s="683"/>
      <c r="BZ9" s="683"/>
      <c r="CA9" s="683"/>
      <c r="CB9" s="690" t="s">
        <v>35</v>
      </c>
      <c r="CC9" s="690"/>
      <c r="CD9" s="690"/>
      <c r="CE9" s="690"/>
      <c r="CF9" s="691"/>
      <c r="CG9" s="174"/>
      <c r="CH9" s="678" t="s">
        <v>391</v>
      </c>
      <c r="CI9" s="679"/>
      <c r="CJ9" s="679"/>
      <c r="CK9" s="679"/>
      <c r="CL9" s="690" t="s">
        <v>35</v>
      </c>
      <c r="CM9" s="691"/>
      <c r="CN9" s="351"/>
      <c r="CO9" s="706" t="s">
        <v>318</v>
      </c>
      <c r="CP9" s="683"/>
      <c r="CQ9" s="683"/>
      <c r="CR9" s="683"/>
      <c r="CS9" s="690" t="s">
        <v>35</v>
      </c>
      <c r="CT9" s="690"/>
      <c r="CU9" s="690"/>
      <c r="CV9" s="690"/>
      <c r="CW9" s="691"/>
      <c r="CX9" s="174"/>
      <c r="CY9" s="678" t="s">
        <v>391</v>
      </c>
      <c r="CZ9" s="679"/>
      <c r="DA9" s="679"/>
      <c r="DB9" s="679"/>
      <c r="DC9" s="690" t="s">
        <v>35</v>
      </c>
      <c r="DD9" s="691"/>
      <c r="DE9" s="351"/>
      <c r="DF9" s="706" t="s">
        <v>318</v>
      </c>
      <c r="DG9" s="683"/>
      <c r="DH9" s="683"/>
      <c r="DI9" s="683"/>
      <c r="DJ9" s="690" t="s">
        <v>35</v>
      </c>
      <c r="DK9" s="690"/>
      <c r="DL9" s="690"/>
      <c r="DM9" s="690"/>
      <c r="DN9" s="691"/>
      <c r="DO9" s="174"/>
      <c r="DP9" s="678" t="s">
        <v>391</v>
      </c>
      <c r="DQ9" s="679"/>
      <c r="DR9" s="679"/>
      <c r="DS9" s="679"/>
      <c r="DT9" s="690" t="s">
        <v>35</v>
      </c>
      <c r="DU9" s="691"/>
      <c r="DV9" s="353"/>
      <c r="DW9" s="706" t="s">
        <v>318</v>
      </c>
      <c r="DX9" s="683"/>
      <c r="DY9" s="683"/>
      <c r="DZ9" s="683"/>
      <c r="EA9" s="690" t="s">
        <v>35</v>
      </c>
      <c r="EB9" s="690"/>
      <c r="EC9" s="690"/>
      <c r="ED9" s="690"/>
      <c r="EE9" s="691"/>
      <c r="EF9" s="174"/>
    </row>
    <row r="10" spans="1:136" ht="12.75" customHeight="1" thickBot="1">
      <c r="A10" s="680"/>
      <c r="B10" s="681"/>
      <c r="C10" s="681"/>
      <c r="D10" s="681"/>
      <c r="E10" s="688"/>
      <c r="F10" s="689"/>
      <c r="G10" s="174"/>
      <c r="H10" s="684"/>
      <c r="I10" s="685"/>
      <c r="J10" s="685"/>
      <c r="K10" s="685"/>
      <c r="L10" s="692"/>
      <c r="M10" s="692"/>
      <c r="N10" s="692"/>
      <c r="O10" s="692"/>
      <c r="P10" s="693"/>
      <c r="Q10" s="174"/>
      <c r="R10" s="680"/>
      <c r="S10" s="681"/>
      <c r="T10" s="681"/>
      <c r="U10" s="681"/>
      <c r="V10" s="692"/>
      <c r="W10" s="693"/>
      <c r="X10" s="174"/>
      <c r="Y10" s="684"/>
      <c r="Z10" s="685"/>
      <c r="AA10" s="685"/>
      <c r="AB10" s="685"/>
      <c r="AC10" s="692"/>
      <c r="AD10" s="692"/>
      <c r="AE10" s="692"/>
      <c r="AF10" s="692"/>
      <c r="AG10" s="693"/>
      <c r="AH10" s="174"/>
      <c r="AI10" s="680"/>
      <c r="AJ10" s="681"/>
      <c r="AK10" s="681"/>
      <c r="AL10" s="681"/>
      <c r="AM10" s="692"/>
      <c r="AN10" s="693"/>
      <c r="AO10" s="174"/>
      <c r="AP10" s="684"/>
      <c r="AQ10" s="685"/>
      <c r="AR10" s="685"/>
      <c r="AS10" s="685"/>
      <c r="AT10" s="692"/>
      <c r="AU10" s="692"/>
      <c r="AV10" s="692"/>
      <c r="AW10" s="692"/>
      <c r="AX10" s="693"/>
      <c r="AY10" s="174"/>
      <c r="AZ10" s="680"/>
      <c r="BA10" s="681"/>
      <c r="BB10" s="681"/>
      <c r="BC10" s="681"/>
      <c r="BD10" s="692"/>
      <c r="BE10" s="693"/>
      <c r="BF10" s="174"/>
      <c r="BG10" s="684"/>
      <c r="BH10" s="685"/>
      <c r="BI10" s="685"/>
      <c r="BJ10" s="685"/>
      <c r="BK10" s="692"/>
      <c r="BL10" s="692"/>
      <c r="BM10" s="692"/>
      <c r="BN10" s="692"/>
      <c r="BO10" s="693"/>
      <c r="BP10" s="174"/>
      <c r="BQ10" s="680"/>
      <c r="BR10" s="681"/>
      <c r="BS10" s="681"/>
      <c r="BT10" s="681"/>
      <c r="BU10" s="692"/>
      <c r="BV10" s="693"/>
      <c r="BW10" s="174"/>
      <c r="BX10" s="684"/>
      <c r="BY10" s="685"/>
      <c r="BZ10" s="685"/>
      <c r="CA10" s="685"/>
      <c r="CB10" s="692"/>
      <c r="CC10" s="692"/>
      <c r="CD10" s="692"/>
      <c r="CE10" s="692"/>
      <c r="CF10" s="693"/>
      <c r="CG10" s="174"/>
      <c r="CH10" s="680"/>
      <c r="CI10" s="681"/>
      <c r="CJ10" s="681"/>
      <c r="CK10" s="681"/>
      <c r="CL10" s="692"/>
      <c r="CM10" s="693"/>
      <c r="CN10" s="174"/>
      <c r="CO10" s="684"/>
      <c r="CP10" s="685"/>
      <c r="CQ10" s="685"/>
      <c r="CR10" s="685"/>
      <c r="CS10" s="692"/>
      <c r="CT10" s="692"/>
      <c r="CU10" s="692"/>
      <c r="CV10" s="692"/>
      <c r="CW10" s="693"/>
      <c r="CX10" s="174"/>
      <c r="CY10" s="680"/>
      <c r="CZ10" s="681"/>
      <c r="DA10" s="681"/>
      <c r="DB10" s="681"/>
      <c r="DC10" s="692"/>
      <c r="DD10" s="693"/>
      <c r="DE10" s="174"/>
      <c r="DF10" s="684"/>
      <c r="DG10" s="685"/>
      <c r="DH10" s="685"/>
      <c r="DI10" s="685"/>
      <c r="DJ10" s="692"/>
      <c r="DK10" s="692"/>
      <c r="DL10" s="692"/>
      <c r="DM10" s="692"/>
      <c r="DN10" s="693"/>
      <c r="DO10" s="174"/>
      <c r="DP10" s="680"/>
      <c r="DQ10" s="681"/>
      <c r="DR10" s="681"/>
      <c r="DS10" s="681"/>
      <c r="DT10" s="692"/>
      <c r="DU10" s="693"/>
      <c r="DW10" s="684"/>
      <c r="DX10" s="685"/>
      <c r="DY10" s="685"/>
      <c r="DZ10" s="685"/>
      <c r="EA10" s="692"/>
      <c r="EB10" s="692"/>
      <c r="EC10" s="692"/>
      <c r="ED10" s="692"/>
      <c r="EE10" s="693"/>
      <c r="EF10" s="174"/>
    </row>
    <row r="11" spans="1:136" ht="12.75" customHeight="1">
      <c r="A11" s="722" t="s">
        <v>373</v>
      </c>
      <c r="B11" s="679"/>
      <c r="C11" s="679"/>
      <c r="D11" s="679"/>
      <c r="E11" s="686" t="s">
        <v>35</v>
      </c>
      <c r="F11" s="714"/>
      <c r="G11" s="357"/>
      <c r="H11" s="716" t="s">
        <v>235</v>
      </c>
      <c r="I11" s="679"/>
      <c r="J11" s="679"/>
      <c r="K11" s="679"/>
      <c r="L11" s="718"/>
      <c r="M11" s="718"/>
      <c r="N11" s="718"/>
      <c r="O11" s="718"/>
      <c r="P11" s="719"/>
      <c r="Q11" s="174"/>
      <c r="R11" s="678" t="s">
        <v>373</v>
      </c>
      <c r="S11" s="679"/>
      <c r="T11" s="679"/>
      <c r="U11" s="679"/>
      <c r="V11" s="686" t="s">
        <v>35</v>
      </c>
      <c r="W11" s="714"/>
      <c r="X11" s="357"/>
      <c r="Y11" s="716" t="s">
        <v>235</v>
      </c>
      <c r="Z11" s="679"/>
      <c r="AA11" s="679"/>
      <c r="AB11" s="679"/>
      <c r="AC11" s="718"/>
      <c r="AD11" s="718"/>
      <c r="AE11" s="718"/>
      <c r="AF11" s="718"/>
      <c r="AG11" s="719"/>
      <c r="AH11" s="174"/>
      <c r="AI11" s="678" t="s">
        <v>373</v>
      </c>
      <c r="AJ11" s="679"/>
      <c r="AK11" s="679"/>
      <c r="AL11" s="679"/>
      <c r="AM11" s="686" t="s">
        <v>35</v>
      </c>
      <c r="AN11" s="714"/>
      <c r="AO11" s="357"/>
      <c r="AP11" s="716" t="s">
        <v>235</v>
      </c>
      <c r="AQ11" s="679"/>
      <c r="AR11" s="679"/>
      <c r="AS11" s="679"/>
      <c r="AT11" s="718"/>
      <c r="AU11" s="718"/>
      <c r="AV11" s="718"/>
      <c r="AW11" s="718"/>
      <c r="AX11" s="719"/>
      <c r="AY11" s="174"/>
      <c r="AZ11" s="678" t="s">
        <v>373</v>
      </c>
      <c r="BA11" s="679"/>
      <c r="BB11" s="679"/>
      <c r="BC11" s="679"/>
      <c r="BD11" s="686" t="s">
        <v>35</v>
      </c>
      <c r="BE11" s="714"/>
      <c r="BF11" s="357"/>
      <c r="BG11" s="716" t="s">
        <v>235</v>
      </c>
      <c r="BH11" s="679"/>
      <c r="BI11" s="679"/>
      <c r="BJ11" s="679"/>
      <c r="BK11" s="718"/>
      <c r="BL11" s="718"/>
      <c r="BM11" s="718"/>
      <c r="BN11" s="718"/>
      <c r="BO11" s="719"/>
      <c r="BP11" s="174"/>
      <c r="BQ11" s="678" t="s">
        <v>373</v>
      </c>
      <c r="BR11" s="679"/>
      <c r="BS11" s="679"/>
      <c r="BT11" s="679"/>
      <c r="BU11" s="686" t="s">
        <v>35</v>
      </c>
      <c r="BV11" s="714"/>
      <c r="BW11" s="357"/>
      <c r="BX11" s="716" t="s">
        <v>235</v>
      </c>
      <c r="BY11" s="679"/>
      <c r="BZ11" s="679"/>
      <c r="CA11" s="679"/>
      <c r="CB11" s="718"/>
      <c r="CC11" s="718"/>
      <c r="CD11" s="718"/>
      <c r="CE11" s="718"/>
      <c r="CF11" s="719"/>
      <c r="CG11" s="174"/>
      <c r="CH11" s="678" t="s">
        <v>373</v>
      </c>
      <c r="CI11" s="679"/>
      <c r="CJ11" s="679"/>
      <c r="CK11" s="679"/>
      <c r="CL11" s="686" t="s">
        <v>35</v>
      </c>
      <c r="CM11" s="714"/>
      <c r="CN11" s="357"/>
      <c r="CO11" s="716" t="s">
        <v>235</v>
      </c>
      <c r="CP11" s="679"/>
      <c r="CQ11" s="679"/>
      <c r="CR11" s="679"/>
      <c r="CS11" s="718"/>
      <c r="CT11" s="718"/>
      <c r="CU11" s="718"/>
      <c r="CV11" s="718"/>
      <c r="CW11" s="719"/>
      <c r="CX11" s="174"/>
      <c r="CY11" s="678" t="s">
        <v>373</v>
      </c>
      <c r="CZ11" s="679"/>
      <c r="DA11" s="679"/>
      <c r="DB11" s="679"/>
      <c r="DC11" s="686" t="s">
        <v>35</v>
      </c>
      <c r="DD11" s="714"/>
      <c r="DE11" s="357"/>
      <c r="DF11" s="716" t="s">
        <v>235</v>
      </c>
      <c r="DG11" s="679"/>
      <c r="DH11" s="679"/>
      <c r="DI11" s="679"/>
      <c r="DJ11" s="718"/>
      <c r="DK11" s="718"/>
      <c r="DL11" s="718"/>
      <c r="DM11" s="718"/>
      <c r="DN11" s="719"/>
      <c r="DO11" s="174"/>
      <c r="DP11" s="678" t="s">
        <v>373</v>
      </c>
      <c r="DQ11" s="679"/>
      <c r="DR11" s="679"/>
      <c r="DS11" s="679"/>
      <c r="DT11" s="686" t="s">
        <v>35</v>
      </c>
      <c r="DU11" s="714"/>
      <c r="DV11" s="357"/>
      <c r="DW11" s="716" t="s">
        <v>235</v>
      </c>
      <c r="DX11" s="679"/>
      <c r="DY11" s="679"/>
      <c r="DZ11" s="679"/>
      <c r="EA11" s="718"/>
      <c r="EB11" s="718"/>
      <c r="EC11" s="718"/>
      <c r="ED11" s="718"/>
      <c r="EE11" s="719"/>
      <c r="EF11" s="174"/>
    </row>
    <row r="12" spans="1:136" ht="12.75" customHeight="1">
      <c r="A12" s="680"/>
      <c r="B12" s="681"/>
      <c r="C12" s="681"/>
      <c r="D12" s="681"/>
      <c r="E12" s="688"/>
      <c r="F12" s="715"/>
      <c r="G12" s="357"/>
      <c r="H12" s="717"/>
      <c r="I12" s="681"/>
      <c r="J12" s="681"/>
      <c r="K12" s="681"/>
      <c r="L12" s="720"/>
      <c r="M12" s="720"/>
      <c r="N12" s="720"/>
      <c r="O12" s="720"/>
      <c r="P12" s="721"/>
      <c r="Q12" s="174"/>
      <c r="R12" s="680"/>
      <c r="S12" s="681"/>
      <c r="T12" s="681"/>
      <c r="U12" s="681"/>
      <c r="V12" s="688"/>
      <c r="W12" s="715"/>
      <c r="X12" s="357"/>
      <c r="Y12" s="717"/>
      <c r="Z12" s="681"/>
      <c r="AA12" s="681"/>
      <c r="AB12" s="681"/>
      <c r="AC12" s="720"/>
      <c r="AD12" s="720"/>
      <c r="AE12" s="720"/>
      <c r="AF12" s="720"/>
      <c r="AG12" s="721"/>
      <c r="AH12" s="174"/>
      <c r="AI12" s="680"/>
      <c r="AJ12" s="681"/>
      <c r="AK12" s="681"/>
      <c r="AL12" s="681"/>
      <c r="AM12" s="688"/>
      <c r="AN12" s="715"/>
      <c r="AO12" s="357"/>
      <c r="AP12" s="717"/>
      <c r="AQ12" s="681"/>
      <c r="AR12" s="681"/>
      <c r="AS12" s="681"/>
      <c r="AT12" s="720"/>
      <c r="AU12" s="720"/>
      <c r="AV12" s="720"/>
      <c r="AW12" s="720"/>
      <c r="AX12" s="721"/>
      <c r="AY12" s="174"/>
      <c r="AZ12" s="680"/>
      <c r="BA12" s="681"/>
      <c r="BB12" s="681"/>
      <c r="BC12" s="681"/>
      <c r="BD12" s="688"/>
      <c r="BE12" s="715"/>
      <c r="BF12" s="357"/>
      <c r="BG12" s="717"/>
      <c r="BH12" s="681"/>
      <c r="BI12" s="681"/>
      <c r="BJ12" s="681"/>
      <c r="BK12" s="720"/>
      <c r="BL12" s="720"/>
      <c r="BM12" s="720"/>
      <c r="BN12" s="720"/>
      <c r="BO12" s="721"/>
      <c r="BP12" s="174"/>
      <c r="BQ12" s="680"/>
      <c r="BR12" s="681"/>
      <c r="BS12" s="681"/>
      <c r="BT12" s="681"/>
      <c r="BU12" s="688"/>
      <c r="BV12" s="715"/>
      <c r="BW12" s="357"/>
      <c r="BX12" s="717"/>
      <c r="BY12" s="681"/>
      <c r="BZ12" s="681"/>
      <c r="CA12" s="681"/>
      <c r="CB12" s="720"/>
      <c r="CC12" s="720"/>
      <c r="CD12" s="720"/>
      <c r="CE12" s="720"/>
      <c r="CF12" s="721"/>
      <c r="CG12" s="174"/>
      <c r="CH12" s="680"/>
      <c r="CI12" s="681"/>
      <c r="CJ12" s="681"/>
      <c r="CK12" s="681"/>
      <c r="CL12" s="688"/>
      <c r="CM12" s="715"/>
      <c r="CN12" s="357"/>
      <c r="CO12" s="717"/>
      <c r="CP12" s="681"/>
      <c r="CQ12" s="681"/>
      <c r="CR12" s="681"/>
      <c r="CS12" s="720"/>
      <c r="CT12" s="720"/>
      <c r="CU12" s="720"/>
      <c r="CV12" s="720"/>
      <c r="CW12" s="721"/>
      <c r="CX12" s="174"/>
      <c r="CY12" s="680"/>
      <c r="CZ12" s="681"/>
      <c r="DA12" s="681"/>
      <c r="DB12" s="681"/>
      <c r="DC12" s="688"/>
      <c r="DD12" s="715"/>
      <c r="DE12" s="357"/>
      <c r="DF12" s="717"/>
      <c r="DG12" s="681"/>
      <c r="DH12" s="681"/>
      <c r="DI12" s="681"/>
      <c r="DJ12" s="720"/>
      <c r="DK12" s="720"/>
      <c r="DL12" s="720"/>
      <c r="DM12" s="720"/>
      <c r="DN12" s="721"/>
      <c r="DO12" s="174"/>
      <c r="DP12" s="680"/>
      <c r="DQ12" s="681"/>
      <c r="DR12" s="681"/>
      <c r="DS12" s="681"/>
      <c r="DT12" s="688"/>
      <c r="DU12" s="715"/>
      <c r="DV12" s="357"/>
      <c r="DW12" s="717"/>
      <c r="DX12" s="681"/>
      <c r="DY12" s="681"/>
      <c r="DZ12" s="681"/>
      <c r="EA12" s="720"/>
      <c r="EB12" s="720"/>
      <c r="EC12" s="720"/>
      <c r="ED12" s="720"/>
      <c r="EE12" s="721"/>
      <c r="EF12" s="174"/>
    </row>
    <row r="13" spans="1:136" ht="12.75" customHeight="1">
      <c r="A13" s="707" t="str">
        <f>IF(OR(E9="N/A",E11="N/A"),"Please explain why not applicable","" )</f>
        <v/>
      </c>
      <c r="B13" s="708"/>
      <c r="C13" s="708"/>
      <c r="D13" s="708"/>
      <c r="E13" s="708"/>
      <c r="F13" s="709"/>
      <c r="G13" s="174"/>
      <c r="H13" s="660" t="str">
        <f>IF(L9="Performed own test","Please add pictures of test piece below and bring video to technical inspection","" )</f>
        <v/>
      </c>
      <c r="I13" s="661"/>
      <c r="J13" s="661"/>
      <c r="K13" s="661"/>
      <c r="L13" s="661"/>
      <c r="M13" s="661"/>
      <c r="N13" s="661"/>
      <c r="O13" s="661"/>
      <c r="P13" s="662"/>
      <c r="Q13" s="352"/>
      <c r="R13" s="707" t="str">
        <f>IF(OR(V9="N/A",V11="N/A"),"Please explain why not applicable","" )</f>
        <v/>
      </c>
      <c r="S13" s="708"/>
      <c r="T13" s="708"/>
      <c r="U13" s="708"/>
      <c r="V13" s="708"/>
      <c r="W13" s="709"/>
      <c r="X13" s="174"/>
      <c r="Y13" s="660" t="str">
        <f>IF(AC9="Performed own test","Please add pictures of test piece below and bring video to technical inspection","" )</f>
        <v/>
      </c>
      <c r="Z13" s="661"/>
      <c r="AA13" s="661"/>
      <c r="AB13" s="661"/>
      <c r="AC13" s="661"/>
      <c r="AD13" s="661"/>
      <c r="AE13" s="661"/>
      <c r="AF13" s="661"/>
      <c r="AG13" s="662"/>
      <c r="AH13" s="174"/>
      <c r="AI13" s="707" t="str">
        <f>IF(OR(AM9="N/A",AM11="N/A"),"Please explain why not applicable","" )</f>
        <v/>
      </c>
      <c r="AJ13" s="708"/>
      <c r="AK13" s="708"/>
      <c r="AL13" s="708"/>
      <c r="AM13" s="708"/>
      <c r="AN13" s="709"/>
      <c r="AO13" s="174"/>
      <c r="AP13" s="660" t="str">
        <f>IF(AT9="Performed own test","Please add pictures of test piece below and bring video to technical inspection","" )</f>
        <v/>
      </c>
      <c r="AQ13" s="661"/>
      <c r="AR13" s="661"/>
      <c r="AS13" s="661"/>
      <c r="AT13" s="661"/>
      <c r="AU13" s="661"/>
      <c r="AV13" s="661"/>
      <c r="AW13" s="661"/>
      <c r="AX13" s="662"/>
      <c r="AY13" s="174"/>
      <c r="AZ13" s="707" t="str">
        <f>IF(OR(BD9="N/A",BD11="N/A"),"Please explain why not applicable","" )</f>
        <v/>
      </c>
      <c r="BA13" s="708"/>
      <c r="BB13" s="708"/>
      <c r="BC13" s="708"/>
      <c r="BD13" s="708"/>
      <c r="BE13" s="709"/>
      <c r="BF13" s="174"/>
      <c r="BG13" s="660" t="str">
        <f>IF(BK9="Performed own test","Please add pictures of test piece below and bring video to technical inspection","" )</f>
        <v/>
      </c>
      <c r="BH13" s="661"/>
      <c r="BI13" s="661"/>
      <c r="BJ13" s="661"/>
      <c r="BK13" s="661"/>
      <c r="BL13" s="661"/>
      <c r="BM13" s="661"/>
      <c r="BN13" s="661"/>
      <c r="BO13" s="662"/>
      <c r="BP13" s="174"/>
      <c r="BQ13" s="707" t="str">
        <f>IF(OR(BU9="N/A",BU11="N/A"),"Please explain why not applicable","" )</f>
        <v/>
      </c>
      <c r="BR13" s="708"/>
      <c r="BS13" s="708"/>
      <c r="BT13" s="708"/>
      <c r="BU13" s="708"/>
      <c r="BV13" s="709"/>
      <c r="BW13" s="174"/>
      <c r="BX13" s="660" t="str">
        <f>IF(CB9="Performed own test","Please add pictures of test piece below and bring video to technical inspection","" )</f>
        <v/>
      </c>
      <c r="BY13" s="661"/>
      <c r="BZ13" s="661"/>
      <c r="CA13" s="661"/>
      <c r="CB13" s="661"/>
      <c r="CC13" s="661"/>
      <c r="CD13" s="661"/>
      <c r="CE13" s="661"/>
      <c r="CF13" s="662"/>
      <c r="CG13" s="174"/>
      <c r="CH13" s="707" t="str">
        <f>IF(OR(CL9="N/A",CL11="N/A"),"Please explain why not applicable","" )</f>
        <v/>
      </c>
      <c r="CI13" s="708"/>
      <c r="CJ13" s="708"/>
      <c r="CK13" s="708"/>
      <c r="CL13" s="708"/>
      <c r="CM13" s="709"/>
      <c r="CN13" s="174"/>
      <c r="CO13" s="660" t="str">
        <f>IF(CS9="Performed own test","Please add pictures of test piece below and bring video to technical inspection","" )</f>
        <v/>
      </c>
      <c r="CP13" s="661"/>
      <c r="CQ13" s="661"/>
      <c r="CR13" s="661"/>
      <c r="CS13" s="661"/>
      <c r="CT13" s="661"/>
      <c r="CU13" s="661"/>
      <c r="CV13" s="661"/>
      <c r="CW13" s="662"/>
      <c r="CX13" s="174"/>
      <c r="CY13" s="707" t="str">
        <f>IF(OR(DC9="N/A",DC11="N/A"),"Please explain why not applicable","" )</f>
        <v/>
      </c>
      <c r="CZ13" s="708"/>
      <c r="DA13" s="708"/>
      <c r="DB13" s="708"/>
      <c r="DC13" s="708"/>
      <c r="DD13" s="709"/>
      <c r="DE13" s="174"/>
      <c r="DF13" s="660" t="str">
        <f>IF(DJ9="Performed own test","Please add pictures of test piece below and bring video to technical inspection","" )</f>
        <v/>
      </c>
      <c r="DG13" s="661"/>
      <c r="DH13" s="661"/>
      <c r="DI13" s="661"/>
      <c r="DJ13" s="661"/>
      <c r="DK13" s="661"/>
      <c r="DL13" s="661"/>
      <c r="DM13" s="661"/>
      <c r="DN13" s="662"/>
      <c r="DO13" s="174"/>
      <c r="DP13" s="707" t="str">
        <f>IF(OR(DT9="N/A",DT11="N/A"),"Please explain why not applicable","" )</f>
        <v/>
      </c>
      <c r="DQ13" s="708"/>
      <c r="DR13" s="708"/>
      <c r="DS13" s="708"/>
      <c r="DT13" s="708"/>
      <c r="DU13" s="709"/>
      <c r="DW13" s="660" t="str">
        <f>IF(EA9="Performed own test","Please add pictures of test piece below and bring video to technical inspection","" )</f>
        <v/>
      </c>
      <c r="DX13" s="661"/>
      <c r="DY13" s="661"/>
      <c r="DZ13" s="661"/>
      <c r="EA13" s="661"/>
      <c r="EB13" s="661"/>
      <c r="EC13" s="661"/>
      <c r="ED13" s="661"/>
      <c r="EE13" s="662"/>
      <c r="EF13" s="174"/>
    </row>
    <row r="14" spans="1:136" ht="13.5" thickBot="1">
      <c r="A14" s="710"/>
      <c r="B14" s="711"/>
      <c r="C14" s="711"/>
      <c r="D14" s="711"/>
      <c r="E14" s="711"/>
      <c r="F14" s="712"/>
      <c r="G14" s="174"/>
      <c r="H14" s="663"/>
      <c r="I14" s="664"/>
      <c r="J14" s="664"/>
      <c r="K14" s="664"/>
      <c r="L14" s="664"/>
      <c r="M14" s="664"/>
      <c r="N14" s="664"/>
      <c r="O14" s="664"/>
      <c r="P14" s="665"/>
      <c r="Q14" s="352"/>
      <c r="R14" s="710"/>
      <c r="S14" s="711"/>
      <c r="T14" s="711"/>
      <c r="U14" s="711"/>
      <c r="V14" s="711"/>
      <c r="W14" s="712"/>
      <c r="X14" s="174"/>
      <c r="Y14" s="663"/>
      <c r="Z14" s="664"/>
      <c r="AA14" s="664"/>
      <c r="AB14" s="664"/>
      <c r="AC14" s="664"/>
      <c r="AD14" s="664"/>
      <c r="AE14" s="664"/>
      <c r="AF14" s="664"/>
      <c r="AG14" s="665"/>
      <c r="AH14" s="174"/>
      <c r="AI14" s="710"/>
      <c r="AJ14" s="711"/>
      <c r="AK14" s="711"/>
      <c r="AL14" s="711"/>
      <c r="AM14" s="711"/>
      <c r="AN14" s="712"/>
      <c r="AO14" s="174"/>
      <c r="AP14" s="663"/>
      <c r="AQ14" s="664"/>
      <c r="AR14" s="664"/>
      <c r="AS14" s="664"/>
      <c r="AT14" s="664"/>
      <c r="AU14" s="664"/>
      <c r="AV14" s="664"/>
      <c r="AW14" s="664"/>
      <c r="AX14" s="665"/>
      <c r="AY14" s="174"/>
      <c r="AZ14" s="710"/>
      <c r="BA14" s="711"/>
      <c r="BB14" s="711"/>
      <c r="BC14" s="711"/>
      <c r="BD14" s="711"/>
      <c r="BE14" s="712"/>
      <c r="BF14" s="174"/>
      <c r="BG14" s="663"/>
      <c r="BH14" s="664"/>
      <c r="BI14" s="664"/>
      <c r="BJ14" s="664"/>
      <c r="BK14" s="664"/>
      <c r="BL14" s="664"/>
      <c r="BM14" s="664"/>
      <c r="BN14" s="664"/>
      <c r="BO14" s="665"/>
      <c r="BP14" s="174"/>
      <c r="BQ14" s="710"/>
      <c r="BR14" s="711"/>
      <c r="BS14" s="711"/>
      <c r="BT14" s="711"/>
      <c r="BU14" s="711"/>
      <c r="BV14" s="712"/>
      <c r="BW14" s="174"/>
      <c r="BX14" s="663"/>
      <c r="BY14" s="664"/>
      <c r="BZ14" s="664"/>
      <c r="CA14" s="664"/>
      <c r="CB14" s="664"/>
      <c r="CC14" s="664"/>
      <c r="CD14" s="664"/>
      <c r="CE14" s="664"/>
      <c r="CF14" s="665"/>
      <c r="CG14" s="174"/>
      <c r="CH14" s="710"/>
      <c r="CI14" s="711"/>
      <c r="CJ14" s="711"/>
      <c r="CK14" s="711"/>
      <c r="CL14" s="711"/>
      <c r="CM14" s="712"/>
      <c r="CN14" s="174"/>
      <c r="CO14" s="663"/>
      <c r="CP14" s="664"/>
      <c r="CQ14" s="664"/>
      <c r="CR14" s="664"/>
      <c r="CS14" s="664"/>
      <c r="CT14" s="664"/>
      <c r="CU14" s="664"/>
      <c r="CV14" s="664"/>
      <c r="CW14" s="665"/>
      <c r="CX14" s="174"/>
      <c r="CY14" s="710"/>
      <c r="CZ14" s="711"/>
      <c r="DA14" s="711"/>
      <c r="DB14" s="711"/>
      <c r="DC14" s="711"/>
      <c r="DD14" s="712"/>
      <c r="DE14" s="174"/>
      <c r="DF14" s="663"/>
      <c r="DG14" s="664"/>
      <c r="DH14" s="664"/>
      <c r="DI14" s="664"/>
      <c r="DJ14" s="664"/>
      <c r="DK14" s="664"/>
      <c r="DL14" s="664"/>
      <c r="DM14" s="664"/>
      <c r="DN14" s="665"/>
      <c r="DO14" s="174"/>
      <c r="DP14" s="710"/>
      <c r="DQ14" s="711"/>
      <c r="DR14" s="711"/>
      <c r="DS14" s="711"/>
      <c r="DT14" s="711"/>
      <c r="DU14" s="712"/>
      <c r="DW14" s="663"/>
      <c r="DX14" s="664"/>
      <c r="DY14" s="664"/>
      <c r="DZ14" s="664"/>
      <c r="EA14" s="664"/>
      <c r="EB14" s="664"/>
      <c r="EC14" s="664"/>
      <c r="ED14" s="664"/>
      <c r="EE14" s="665"/>
      <c r="EF14" s="174"/>
    </row>
    <row r="15" spans="1:136">
      <c r="A15" s="666" t="s">
        <v>233</v>
      </c>
      <c r="B15" s="667"/>
      <c r="C15" s="667"/>
      <c r="D15" s="667"/>
      <c r="E15" s="667"/>
      <c r="F15" s="667"/>
      <c r="G15" s="667"/>
      <c r="H15" s="667"/>
      <c r="I15" s="667"/>
      <c r="J15" s="667"/>
      <c r="K15" s="667"/>
      <c r="L15" s="667"/>
      <c r="M15" s="667"/>
      <c r="N15" s="667"/>
      <c r="O15" s="667"/>
      <c r="P15" s="668"/>
      <c r="Q15" s="174"/>
      <c r="R15" s="666" t="s">
        <v>233</v>
      </c>
      <c r="S15" s="667"/>
      <c r="T15" s="667"/>
      <c r="U15" s="667"/>
      <c r="V15" s="667"/>
      <c r="W15" s="667"/>
      <c r="X15" s="667"/>
      <c r="Y15" s="667"/>
      <c r="Z15" s="667"/>
      <c r="AA15" s="667"/>
      <c r="AB15" s="667"/>
      <c r="AC15" s="667"/>
      <c r="AD15" s="667"/>
      <c r="AE15" s="667"/>
      <c r="AF15" s="667"/>
      <c r="AG15" s="668"/>
      <c r="AH15" s="174"/>
      <c r="AI15" s="666" t="s">
        <v>233</v>
      </c>
      <c r="AJ15" s="667"/>
      <c r="AK15" s="667"/>
      <c r="AL15" s="667"/>
      <c r="AM15" s="667"/>
      <c r="AN15" s="667"/>
      <c r="AO15" s="667"/>
      <c r="AP15" s="667"/>
      <c r="AQ15" s="667"/>
      <c r="AR15" s="667"/>
      <c r="AS15" s="667"/>
      <c r="AT15" s="667"/>
      <c r="AU15" s="667"/>
      <c r="AV15" s="667"/>
      <c r="AW15" s="667"/>
      <c r="AX15" s="668"/>
      <c r="AY15" s="174"/>
      <c r="AZ15" s="666" t="s">
        <v>233</v>
      </c>
      <c r="BA15" s="667"/>
      <c r="BB15" s="667"/>
      <c r="BC15" s="667"/>
      <c r="BD15" s="667"/>
      <c r="BE15" s="667"/>
      <c r="BF15" s="667"/>
      <c r="BG15" s="667"/>
      <c r="BH15" s="667"/>
      <c r="BI15" s="667"/>
      <c r="BJ15" s="667"/>
      <c r="BK15" s="667"/>
      <c r="BL15" s="667"/>
      <c r="BM15" s="667"/>
      <c r="BN15" s="667"/>
      <c r="BO15" s="668"/>
      <c r="BP15" s="174"/>
      <c r="BQ15" s="666" t="s">
        <v>233</v>
      </c>
      <c r="BR15" s="667"/>
      <c r="BS15" s="667"/>
      <c r="BT15" s="667"/>
      <c r="BU15" s="667"/>
      <c r="BV15" s="667"/>
      <c r="BW15" s="667"/>
      <c r="BX15" s="667"/>
      <c r="BY15" s="667"/>
      <c r="BZ15" s="667"/>
      <c r="CA15" s="667"/>
      <c r="CB15" s="667"/>
      <c r="CC15" s="667"/>
      <c r="CD15" s="667"/>
      <c r="CE15" s="667"/>
      <c r="CF15" s="668"/>
      <c r="CG15" s="174"/>
      <c r="CH15" s="666" t="s">
        <v>233</v>
      </c>
      <c r="CI15" s="667"/>
      <c r="CJ15" s="667"/>
      <c r="CK15" s="667"/>
      <c r="CL15" s="667"/>
      <c r="CM15" s="667"/>
      <c r="CN15" s="667"/>
      <c r="CO15" s="667"/>
      <c r="CP15" s="667"/>
      <c r="CQ15" s="667"/>
      <c r="CR15" s="667"/>
      <c r="CS15" s="667"/>
      <c r="CT15" s="667"/>
      <c r="CU15" s="667"/>
      <c r="CV15" s="667"/>
      <c r="CW15" s="668"/>
      <c r="CX15" s="174"/>
      <c r="CY15" s="666" t="s">
        <v>233</v>
      </c>
      <c r="CZ15" s="667"/>
      <c r="DA15" s="667"/>
      <c r="DB15" s="667"/>
      <c r="DC15" s="667"/>
      <c r="DD15" s="667"/>
      <c r="DE15" s="667"/>
      <c r="DF15" s="667"/>
      <c r="DG15" s="667"/>
      <c r="DH15" s="667"/>
      <c r="DI15" s="667"/>
      <c r="DJ15" s="667"/>
      <c r="DK15" s="667"/>
      <c r="DL15" s="667"/>
      <c r="DM15" s="667"/>
      <c r="DN15" s="668"/>
      <c r="DO15" s="174"/>
      <c r="DP15" s="666" t="s">
        <v>233</v>
      </c>
      <c r="DQ15" s="667"/>
      <c r="DR15" s="667"/>
      <c r="DS15" s="667"/>
      <c r="DT15" s="667"/>
      <c r="DU15" s="667"/>
      <c r="DV15" s="667"/>
      <c r="DW15" s="667"/>
      <c r="DX15" s="667"/>
      <c r="DY15" s="667"/>
      <c r="DZ15" s="667"/>
      <c r="EA15" s="667"/>
      <c r="EB15" s="667"/>
      <c r="EC15" s="667"/>
      <c r="ED15" s="667"/>
      <c r="EE15" s="668"/>
      <c r="EF15" s="174"/>
    </row>
    <row r="16" spans="1:136">
      <c r="A16" s="669"/>
      <c r="B16" s="670"/>
      <c r="C16" s="670"/>
      <c r="D16" s="670"/>
      <c r="E16" s="670"/>
      <c r="F16" s="670"/>
      <c r="G16" s="670"/>
      <c r="H16" s="670"/>
      <c r="I16" s="670"/>
      <c r="J16" s="670"/>
      <c r="K16" s="670"/>
      <c r="L16" s="670"/>
      <c r="M16" s="670"/>
      <c r="N16" s="670"/>
      <c r="O16" s="670"/>
      <c r="P16" s="671"/>
      <c r="Q16" s="174"/>
      <c r="R16" s="669"/>
      <c r="S16" s="670"/>
      <c r="T16" s="670"/>
      <c r="U16" s="670"/>
      <c r="V16" s="670"/>
      <c r="W16" s="670"/>
      <c r="X16" s="670"/>
      <c r="Y16" s="670"/>
      <c r="Z16" s="670"/>
      <c r="AA16" s="670"/>
      <c r="AB16" s="670"/>
      <c r="AC16" s="670"/>
      <c r="AD16" s="670"/>
      <c r="AE16" s="670"/>
      <c r="AF16" s="670"/>
      <c r="AG16" s="671"/>
      <c r="AH16" s="174"/>
      <c r="AI16" s="669"/>
      <c r="AJ16" s="670"/>
      <c r="AK16" s="670"/>
      <c r="AL16" s="670"/>
      <c r="AM16" s="670"/>
      <c r="AN16" s="670"/>
      <c r="AO16" s="670"/>
      <c r="AP16" s="670"/>
      <c r="AQ16" s="670"/>
      <c r="AR16" s="670"/>
      <c r="AS16" s="670"/>
      <c r="AT16" s="670"/>
      <c r="AU16" s="670"/>
      <c r="AV16" s="670"/>
      <c r="AW16" s="670"/>
      <c r="AX16" s="671"/>
      <c r="AY16" s="174"/>
      <c r="AZ16" s="669"/>
      <c r="BA16" s="670"/>
      <c r="BB16" s="670"/>
      <c r="BC16" s="670"/>
      <c r="BD16" s="670"/>
      <c r="BE16" s="670"/>
      <c r="BF16" s="670"/>
      <c r="BG16" s="670"/>
      <c r="BH16" s="670"/>
      <c r="BI16" s="670"/>
      <c r="BJ16" s="670"/>
      <c r="BK16" s="670"/>
      <c r="BL16" s="670"/>
      <c r="BM16" s="670"/>
      <c r="BN16" s="670"/>
      <c r="BO16" s="671"/>
      <c r="BP16" s="174"/>
      <c r="BQ16" s="669"/>
      <c r="BR16" s="670"/>
      <c r="BS16" s="670"/>
      <c r="BT16" s="670"/>
      <c r="BU16" s="670"/>
      <c r="BV16" s="670"/>
      <c r="BW16" s="670"/>
      <c r="BX16" s="670"/>
      <c r="BY16" s="670"/>
      <c r="BZ16" s="670"/>
      <c r="CA16" s="670"/>
      <c r="CB16" s="670"/>
      <c r="CC16" s="670"/>
      <c r="CD16" s="670"/>
      <c r="CE16" s="670"/>
      <c r="CF16" s="671"/>
      <c r="CG16" s="174"/>
      <c r="CH16" s="669"/>
      <c r="CI16" s="670"/>
      <c r="CJ16" s="670"/>
      <c r="CK16" s="670"/>
      <c r="CL16" s="670"/>
      <c r="CM16" s="670"/>
      <c r="CN16" s="670"/>
      <c r="CO16" s="670"/>
      <c r="CP16" s="670"/>
      <c r="CQ16" s="670"/>
      <c r="CR16" s="670"/>
      <c r="CS16" s="670"/>
      <c r="CT16" s="670"/>
      <c r="CU16" s="670"/>
      <c r="CV16" s="670"/>
      <c r="CW16" s="671"/>
      <c r="CX16" s="174"/>
      <c r="CY16" s="669"/>
      <c r="CZ16" s="670"/>
      <c r="DA16" s="670"/>
      <c r="DB16" s="670"/>
      <c r="DC16" s="670"/>
      <c r="DD16" s="670"/>
      <c r="DE16" s="670"/>
      <c r="DF16" s="670"/>
      <c r="DG16" s="670"/>
      <c r="DH16" s="670"/>
      <c r="DI16" s="670"/>
      <c r="DJ16" s="670"/>
      <c r="DK16" s="670"/>
      <c r="DL16" s="670"/>
      <c r="DM16" s="670"/>
      <c r="DN16" s="671"/>
      <c r="DO16" s="174"/>
      <c r="DP16" s="669"/>
      <c r="DQ16" s="670"/>
      <c r="DR16" s="670"/>
      <c r="DS16" s="670"/>
      <c r="DT16" s="670"/>
      <c r="DU16" s="670"/>
      <c r="DV16" s="670"/>
      <c r="DW16" s="670"/>
      <c r="DX16" s="670"/>
      <c r="DY16" s="670"/>
      <c r="DZ16" s="670"/>
      <c r="EA16" s="670"/>
      <c r="EB16" s="670"/>
      <c r="EC16" s="670"/>
      <c r="ED16" s="670"/>
      <c r="EE16" s="671"/>
      <c r="EF16" s="174"/>
    </row>
    <row r="17" spans="1:136">
      <c r="A17" s="135"/>
      <c r="B17" s="81"/>
      <c r="C17" s="81"/>
      <c r="D17" s="81"/>
      <c r="E17" s="81"/>
      <c r="F17" s="81"/>
      <c r="G17" s="81"/>
      <c r="H17" s="81"/>
      <c r="I17" s="81"/>
      <c r="J17" s="81"/>
      <c r="K17" s="81"/>
      <c r="L17" s="81"/>
      <c r="M17" s="81"/>
      <c r="N17" s="81"/>
      <c r="O17" s="81"/>
      <c r="P17" s="136"/>
      <c r="Q17" s="174"/>
      <c r="R17" s="135"/>
      <c r="S17" s="81"/>
      <c r="T17" s="81"/>
      <c r="U17" s="81"/>
      <c r="V17" s="81"/>
      <c r="W17" s="81"/>
      <c r="X17" s="81"/>
      <c r="Y17" s="81"/>
      <c r="Z17" s="81"/>
      <c r="AA17" s="81"/>
      <c r="AB17" s="81"/>
      <c r="AC17" s="81"/>
      <c r="AD17" s="81"/>
      <c r="AE17" s="81"/>
      <c r="AF17" s="81"/>
      <c r="AG17" s="136"/>
      <c r="AH17" s="174"/>
      <c r="AI17" s="135"/>
      <c r="AJ17" s="81"/>
      <c r="AK17" s="81"/>
      <c r="AL17" s="81"/>
      <c r="AM17" s="81"/>
      <c r="AN17" s="81"/>
      <c r="AO17" s="81"/>
      <c r="AP17" s="81"/>
      <c r="AQ17" s="81"/>
      <c r="AR17" s="81"/>
      <c r="AS17" s="81"/>
      <c r="AT17" s="81"/>
      <c r="AU17" s="81"/>
      <c r="AV17" s="81"/>
      <c r="AW17" s="81"/>
      <c r="AX17" s="136"/>
      <c r="AY17" s="174"/>
      <c r="AZ17" s="135"/>
      <c r="BA17" s="81"/>
      <c r="BB17" s="81"/>
      <c r="BC17" s="81"/>
      <c r="BD17" s="81"/>
      <c r="BE17" s="81"/>
      <c r="BF17" s="81"/>
      <c r="BG17" s="81"/>
      <c r="BH17" s="81"/>
      <c r="BI17" s="81"/>
      <c r="BJ17" s="81"/>
      <c r="BK17" s="81"/>
      <c r="BL17" s="81"/>
      <c r="BM17" s="81"/>
      <c r="BN17" s="81"/>
      <c r="BO17" s="136"/>
      <c r="BP17" s="174"/>
      <c r="BQ17" s="135"/>
      <c r="BR17" s="81"/>
      <c r="BS17" s="81"/>
      <c r="BT17" s="81"/>
      <c r="BU17" s="81"/>
      <c r="BV17" s="81"/>
      <c r="BW17" s="81"/>
      <c r="BX17" s="81"/>
      <c r="BY17" s="81"/>
      <c r="BZ17" s="81"/>
      <c r="CA17" s="81"/>
      <c r="CB17" s="81"/>
      <c r="CC17" s="81"/>
      <c r="CD17" s="81"/>
      <c r="CE17" s="81"/>
      <c r="CF17" s="136"/>
      <c r="CG17" s="174"/>
      <c r="CH17" s="135"/>
      <c r="CI17" s="81"/>
      <c r="CJ17" s="81"/>
      <c r="CK17" s="81"/>
      <c r="CL17" s="81"/>
      <c r="CM17" s="81"/>
      <c r="CN17" s="81"/>
      <c r="CO17" s="81"/>
      <c r="CP17" s="81"/>
      <c r="CQ17" s="81"/>
      <c r="CR17" s="81"/>
      <c r="CS17" s="81"/>
      <c r="CT17" s="81"/>
      <c r="CU17" s="81"/>
      <c r="CV17" s="81"/>
      <c r="CW17" s="136"/>
      <c r="CX17" s="174"/>
      <c r="CY17" s="135"/>
      <c r="CZ17" s="81"/>
      <c r="DA17" s="81"/>
      <c r="DB17" s="81"/>
      <c r="DC17" s="81"/>
      <c r="DD17" s="81"/>
      <c r="DE17" s="81"/>
      <c r="DF17" s="81"/>
      <c r="DG17" s="81"/>
      <c r="DH17" s="81"/>
      <c r="DI17" s="81"/>
      <c r="DJ17" s="81"/>
      <c r="DK17" s="81"/>
      <c r="DL17" s="81"/>
      <c r="DM17" s="81"/>
      <c r="DN17" s="136"/>
      <c r="DO17" s="174"/>
      <c r="DP17" s="135"/>
      <c r="DQ17" s="81"/>
      <c r="DR17" s="81"/>
      <c r="DS17" s="81"/>
      <c r="DT17" s="81"/>
      <c r="DU17" s="81"/>
      <c r="DV17" s="81"/>
      <c r="DW17" s="81"/>
      <c r="DX17" s="81"/>
      <c r="DY17" s="81"/>
      <c r="DZ17" s="81"/>
      <c r="EA17" s="81"/>
      <c r="EB17" s="81"/>
      <c r="EC17" s="81"/>
      <c r="ED17" s="81"/>
      <c r="EE17" s="136"/>
      <c r="EF17" s="174"/>
    </row>
    <row r="18" spans="1:136">
      <c r="A18" s="135"/>
      <c r="B18" s="81"/>
      <c r="C18" s="81"/>
      <c r="D18" s="81"/>
      <c r="E18" s="81"/>
      <c r="F18" s="81"/>
      <c r="G18" s="81"/>
      <c r="H18" s="81"/>
      <c r="I18" s="81"/>
      <c r="J18" s="81"/>
      <c r="K18" s="81"/>
      <c r="L18" s="81"/>
      <c r="M18" s="81"/>
      <c r="N18" s="81"/>
      <c r="O18" s="81"/>
      <c r="P18" s="136"/>
      <c r="Q18" s="174"/>
      <c r="R18" s="135"/>
      <c r="S18" s="81"/>
      <c r="T18" s="81"/>
      <c r="U18" s="81"/>
      <c r="V18" s="81"/>
      <c r="W18" s="81"/>
      <c r="X18" s="81"/>
      <c r="Y18" s="81"/>
      <c r="Z18" s="81"/>
      <c r="AA18" s="81"/>
      <c r="AB18" s="81"/>
      <c r="AC18" s="81"/>
      <c r="AD18" s="81"/>
      <c r="AE18" s="81"/>
      <c r="AF18" s="81"/>
      <c r="AG18" s="136"/>
      <c r="AH18" s="174"/>
      <c r="AI18" s="135"/>
      <c r="AJ18" s="81"/>
      <c r="AK18" s="81"/>
      <c r="AL18" s="81"/>
      <c r="AM18" s="81"/>
      <c r="AN18" s="81"/>
      <c r="AO18" s="81"/>
      <c r="AP18" s="81"/>
      <c r="AQ18" s="81"/>
      <c r="AR18" s="81"/>
      <c r="AS18" s="81"/>
      <c r="AT18" s="81"/>
      <c r="AU18" s="81"/>
      <c r="AV18" s="81"/>
      <c r="AW18" s="81"/>
      <c r="AX18" s="136"/>
      <c r="AY18" s="174"/>
      <c r="AZ18" s="135"/>
      <c r="BA18" s="81"/>
      <c r="BB18" s="81"/>
      <c r="BC18" s="81"/>
      <c r="BD18" s="81"/>
      <c r="BE18" s="81"/>
      <c r="BF18" s="81"/>
      <c r="BG18" s="81"/>
      <c r="BH18" s="81"/>
      <c r="BI18" s="81"/>
      <c r="BJ18" s="81"/>
      <c r="BK18" s="81"/>
      <c r="BL18" s="81"/>
      <c r="BM18" s="81"/>
      <c r="BN18" s="81"/>
      <c r="BO18" s="136"/>
      <c r="BP18" s="174"/>
      <c r="BQ18" s="135"/>
      <c r="BR18" s="81"/>
      <c r="BS18" s="81"/>
      <c r="BT18" s="81"/>
      <c r="BU18" s="81"/>
      <c r="BV18" s="81"/>
      <c r="BW18" s="81"/>
      <c r="BX18" s="81"/>
      <c r="BY18" s="81"/>
      <c r="BZ18" s="81"/>
      <c r="CA18" s="81"/>
      <c r="CB18" s="81"/>
      <c r="CC18" s="81"/>
      <c r="CD18" s="81"/>
      <c r="CE18" s="81"/>
      <c r="CF18" s="136"/>
      <c r="CG18" s="174"/>
      <c r="CH18" s="135"/>
      <c r="CI18" s="81"/>
      <c r="CJ18" s="81"/>
      <c r="CK18" s="81"/>
      <c r="CL18" s="81"/>
      <c r="CM18" s="81"/>
      <c r="CN18" s="81"/>
      <c r="CO18" s="81"/>
      <c r="CP18" s="81"/>
      <c r="CQ18" s="81"/>
      <c r="CR18" s="81"/>
      <c r="CS18" s="81"/>
      <c r="CT18" s="81"/>
      <c r="CU18" s="81"/>
      <c r="CV18" s="81"/>
      <c r="CW18" s="136"/>
      <c r="CX18" s="174"/>
      <c r="CY18" s="135"/>
      <c r="CZ18" s="81"/>
      <c r="DA18" s="81"/>
      <c r="DB18" s="81"/>
      <c r="DC18" s="81"/>
      <c r="DD18" s="81"/>
      <c r="DE18" s="81"/>
      <c r="DF18" s="81"/>
      <c r="DG18" s="81"/>
      <c r="DH18" s="81"/>
      <c r="DI18" s="81"/>
      <c r="DJ18" s="81"/>
      <c r="DK18" s="81"/>
      <c r="DL18" s="81"/>
      <c r="DM18" s="81"/>
      <c r="DN18" s="136"/>
      <c r="DO18" s="174"/>
      <c r="DP18" s="135"/>
      <c r="DQ18" s="81"/>
      <c r="DR18" s="81"/>
      <c r="DS18" s="81"/>
      <c r="DT18" s="81"/>
      <c r="DU18" s="81"/>
      <c r="DV18" s="81"/>
      <c r="DW18" s="81"/>
      <c r="DX18" s="81"/>
      <c r="DY18" s="81"/>
      <c r="DZ18" s="81"/>
      <c r="EA18" s="81"/>
      <c r="EB18" s="81"/>
      <c r="EC18" s="81"/>
      <c r="ED18" s="81"/>
      <c r="EE18" s="136"/>
      <c r="EF18" s="174"/>
    </row>
    <row r="19" spans="1:136">
      <c r="A19" s="354" t="s">
        <v>389</v>
      </c>
      <c r="B19" s="81"/>
      <c r="C19" s="81"/>
      <c r="D19" s="81"/>
      <c r="E19" s="81"/>
      <c r="F19" s="81"/>
      <c r="G19" s="81"/>
      <c r="H19" s="81"/>
      <c r="I19" s="81"/>
      <c r="J19" s="81"/>
      <c r="K19" s="81"/>
      <c r="L19" s="81"/>
      <c r="M19" s="81"/>
      <c r="N19" s="81"/>
      <c r="O19" s="81"/>
      <c r="P19" s="136"/>
      <c r="Q19" s="174"/>
      <c r="R19" s="354" t="s">
        <v>389</v>
      </c>
      <c r="S19" s="81"/>
      <c r="T19" s="81"/>
      <c r="U19" s="81"/>
      <c r="V19" s="81"/>
      <c r="W19" s="81"/>
      <c r="X19" s="81"/>
      <c r="Y19" s="81"/>
      <c r="Z19" s="81"/>
      <c r="AA19" s="81"/>
      <c r="AB19" s="81"/>
      <c r="AC19" s="81"/>
      <c r="AD19" s="81"/>
      <c r="AE19" s="81"/>
      <c r="AF19" s="81"/>
      <c r="AG19" s="136"/>
      <c r="AH19" s="174"/>
      <c r="AI19" s="354" t="s">
        <v>389</v>
      </c>
      <c r="AJ19" s="81"/>
      <c r="AK19" s="81"/>
      <c r="AL19" s="81"/>
      <c r="AM19" s="81"/>
      <c r="AN19" s="81"/>
      <c r="AO19" s="81"/>
      <c r="AP19" s="81"/>
      <c r="AQ19" s="81"/>
      <c r="AR19" s="81"/>
      <c r="AS19" s="81"/>
      <c r="AT19" s="81"/>
      <c r="AU19" s="81"/>
      <c r="AV19" s="81"/>
      <c r="AW19" s="81"/>
      <c r="AX19" s="136"/>
      <c r="AY19" s="174"/>
      <c r="AZ19" s="354" t="s">
        <v>389</v>
      </c>
      <c r="BA19" s="81"/>
      <c r="BB19" s="81"/>
      <c r="BC19" s="81"/>
      <c r="BD19" s="81"/>
      <c r="BE19" s="81"/>
      <c r="BF19" s="81"/>
      <c r="BG19" s="81"/>
      <c r="BH19" s="81"/>
      <c r="BI19" s="81"/>
      <c r="BJ19" s="81"/>
      <c r="BK19" s="81"/>
      <c r="BL19" s="81"/>
      <c r="BM19" s="81"/>
      <c r="BN19" s="81"/>
      <c r="BO19" s="136"/>
      <c r="BP19" s="174"/>
      <c r="BQ19" s="354" t="s">
        <v>389</v>
      </c>
      <c r="BR19" s="81"/>
      <c r="BS19" s="81"/>
      <c r="BT19" s="81"/>
      <c r="BU19" s="81"/>
      <c r="BV19" s="81"/>
      <c r="BW19" s="81"/>
      <c r="BX19" s="81"/>
      <c r="BY19" s="81"/>
      <c r="BZ19" s="81"/>
      <c r="CA19" s="81"/>
      <c r="CB19" s="81"/>
      <c r="CC19" s="81"/>
      <c r="CD19" s="81"/>
      <c r="CE19" s="81"/>
      <c r="CF19" s="136"/>
      <c r="CG19" s="174"/>
      <c r="CH19" s="354" t="s">
        <v>389</v>
      </c>
      <c r="CI19" s="81"/>
      <c r="CJ19" s="81"/>
      <c r="CK19" s="81"/>
      <c r="CL19" s="81"/>
      <c r="CM19" s="81"/>
      <c r="CN19" s="81"/>
      <c r="CO19" s="81"/>
      <c r="CP19" s="81"/>
      <c r="CQ19" s="81"/>
      <c r="CR19" s="81"/>
      <c r="CS19" s="81"/>
      <c r="CT19" s="81"/>
      <c r="CU19" s="81"/>
      <c r="CV19" s="81"/>
      <c r="CW19" s="136"/>
      <c r="CX19" s="174"/>
      <c r="CY19" s="354" t="s">
        <v>389</v>
      </c>
      <c r="CZ19" s="81"/>
      <c r="DA19" s="81"/>
      <c r="DB19" s="81"/>
      <c r="DC19" s="81"/>
      <c r="DD19" s="81"/>
      <c r="DE19" s="81"/>
      <c r="DF19" s="81"/>
      <c r="DG19" s="81"/>
      <c r="DH19" s="81"/>
      <c r="DI19" s="81"/>
      <c r="DJ19" s="81"/>
      <c r="DK19" s="81"/>
      <c r="DL19" s="81"/>
      <c r="DM19" s="81"/>
      <c r="DN19" s="136"/>
      <c r="DO19" s="174"/>
      <c r="DP19" s="354" t="s">
        <v>389</v>
      </c>
      <c r="DQ19" s="81"/>
      <c r="DR19" s="81"/>
      <c r="DS19" s="81"/>
      <c r="DT19" s="81"/>
      <c r="DU19" s="81"/>
      <c r="DV19" s="81"/>
      <c r="DW19" s="81"/>
      <c r="DX19" s="81"/>
      <c r="DY19" s="81"/>
      <c r="DZ19" s="81"/>
      <c r="EA19" s="81"/>
      <c r="EB19" s="81"/>
      <c r="EC19" s="81"/>
      <c r="ED19" s="81"/>
      <c r="EE19" s="136"/>
      <c r="EF19" s="174"/>
    </row>
    <row r="20" spans="1:136">
      <c r="A20" s="354" t="s">
        <v>319</v>
      </c>
      <c r="B20" s="81"/>
      <c r="C20" s="81"/>
      <c r="D20" s="81"/>
      <c r="E20" s="81"/>
      <c r="F20" s="81"/>
      <c r="G20" s="81"/>
      <c r="H20" s="81"/>
      <c r="I20" s="81"/>
      <c r="J20" s="81"/>
      <c r="K20" s="81"/>
      <c r="L20" s="81"/>
      <c r="M20" s="81"/>
      <c r="N20" s="81"/>
      <c r="O20" s="81"/>
      <c r="P20" s="136"/>
      <c r="Q20" s="174"/>
      <c r="R20" s="354" t="s">
        <v>319</v>
      </c>
      <c r="S20" s="81"/>
      <c r="T20" s="81"/>
      <c r="U20" s="81"/>
      <c r="V20" s="81"/>
      <c r="W20" s="81"/>
      <c r="X20" s="81"/>
      <c r="Y20" s="81"/>
      <c r="Z20" s="81"/>
      <c r="AA20" s="81"/>
      <c r="AB20" s="81"/>
      <c r="AC20" s="81"/>
      <c r="AD20" s="81"/>
      <c r="AE20" s="81"/>
      <c r="AF20" s="81"/>
      <c r="AG20" s="136"/>
      <c r="AH20" s="174"/>
      <c r="AI20" s="354" t="s">
        <v>319</v>
      </c>
      <c r="AJ20" s="81"/>
      <c r="AK20" s="81"/>
      <c r="AL20" s="81"/>
      <c r="AM20" s="81"/>
      <c r="AN20" s="81"/>
      <c r="AO20" s="81"/>
      <c r="AP20" s="81"/>
      <c r="AQ20" s="81"/>
      <c r="AR20" s="81"/>
      <c r="AS20" s="81"/>
      <c r="AT20" s="81"/>
      <c r="AU20" s="81"/>
      <c r="AV20" s="81"/>
      <c r="AW20" s="81"/>
      <c r="AX20" s="136"/>
      <c r="AY20" s="174"/>
      <c r="AZ20" s="354" t="s">
        <v>319</v>
      </c>
      <c r="BA20" s="81"/>
      <c r="BB20" s="81"/>
      <c r="BC20" s="81"/>
      <c r="BD20" s="81"/>
      <c r="BE20" s="81"/>
      <c r="BF20" s="81"/>
      <c r="BG20" s="81"/>
      <c r="BH20" s="81"/>
      <c r="BI20" s="81"/>
      <c r="BJ20" s="81"/>
      <c r="BK20" s="81"/>
      <c r="BL20" s="81"/>
      <c r="BM20" s="81"/>
      <c r="BN20" s="81"/>
      <c r="BO20" s="136"/>
      <c r="BP20" s="174"/>
      <c r="BQ20" s="354" t="s">
        <v>319</v>
      </c>
      <c r="BR20" s="81"/>
      <c r="BS20" s="81"/>
      <c r="BT20" s="81"/>
      <c r="BU20" s="81"/>
      <c r="BV20" s="81"/>
      <c r="BW20" s="81"/>
      <c r="BX20" s="81"/>
      <c r="BY20" s="81"/>
      <c r="BZ20" s="81"/>
      <c r="CA20" s="81"/>
      <c r="CB20" s="81"/>
      <c r="CC20" s="81"/>
      <c r="CD20" s="81"/>
      <c r="CE20" s="81"/>
      <c r="CF20" s="136"/>
      <c r="CG20" s="174"/>
      <c r="CH20" s="354" t="s">
        <v>319</v>
      </c>
      <c r="CI20" s="81"/>
      <c r="CJ20" s="81"/>
      <c r="CK20" s="81"/>
      <c r="CL20" s="81"/>
      <c r="CM20" s="81"/>
      <c r="CN20" s="81"/>
      <c r="CO20" s="81"/>
      <c r="CP20" s="81"/>
      <c r="CQ20" s="81"/>
      <c r="CR20" s="81"/>
      <c r="CS20" s="81"/>
      <c r="CT20" s="81"/>
      <c r="CU20" s="81"/>
      <c r="CV20" s="81"/>
      <c r="CW20" s="136"/>
      <c r="CX20" s="174"/>
      <c r="CY20" s="354" t="s">
        <v>319</v>
      </c>
      <c r="CZ20" s="81"/>
      <c r="DA20" s="81"/>
      <c r="DB20" s="81"/>
      <c r="DC20" s="81"/>
      <c r="DD20" s="81"/>
      <c r="DE20" s="81"/>
      <c r="DF20" s="81"/>
      <c r="DG20" s="81"/>
      <c r="DH20" s="81"/>
      <c r="DI20" s="81"/>
      <c r="DJ20" s="81"/>
      <c r="DK20" s="81"/>
      <c r="DL20" s="81"/>
      <c r="DM20" s="81"/>
      <c r="DN20" s="136"/>
      <c r="DO20" s="174"/>
      <c r="DP20" s="354" t="s">
        <v>319</v>
      </c>
      <c r="DQ20" s="81"/>
      <c r="DR20" s="81"/>
      <c r="DS20" s="81"/>
      <c r="DT20" s="81"/>
      <c r="DU20" s="81"/>
      <c r="DV20" s="81"/>
      <c r="DW20" s="81"/>
      <c r="DX20" s="81"/>
      <c r="DY20" s="81"/>
      <c r="DZ20" s="81"/>
      <c r="EA20" s="81"/>
      <c r="EB20" s="81"/>
      <c r="EC20" s="81"/>
      <c r="ED20" s="81"/>
      <c r="EE20" s="136"/>
      <c r="EF20" s="174"/>
    </row>
    <row r="21" spans="1:136">
      <c r="A21" s="354" t="s">
        <v>390</v>
      </c>
      <c r="B21" s="81"/>
      <c r="C21" s="81"/>
      <c r="D21" s="81"/>
      <c r="E21" s="81"/>
      <c r="F21" s="81"/>
      <c r="G21" s="81"/>
      <c r="H21" s="81"/>
      <c r="I21" s="81"/>
      <c r="J21" s="81"/>
      <c r="K21" s="81"/>
      <c r="L21" s="81"/>
      <c r="M21" s="81"/>
      <c r="N21" s="81"/>
      <c r="O21" s="81"/>
      <c r="P21" s="136"/>
      <c r="Q21" s="174"/>
      <c r="R21" s="354" t="s">
        <v>390</v>
      </c>
      <c r="S21" s="81"/>
      <c r="T21" s="81"/>
      <c r="U21" s="81"/>
      <c r="V21" s="81"/>
      <c r="W21" s="81"/>
      <c r="X21" s="81"/>
      <c r="Y21" s="81"/>
      <c r="Z21" s="81"/>
      <c r="AA21" s="81"/>
      <c r="AB21" s="81"/>
      <c r="AC21" s="81"/>
      <c r="AD21" s="81"/>
      <c r="AE21" s="81"/>
      <c r="AF21" s="81"/>
      <c r="AG21" s="136"/>
      <c r="AH21" s="174"/>
      <c r="AI21" s="354" t="s">
        <v>390</v>
      </c>
      <c r="AJ21" s="81"/>
      <c r="AK21" s="81"/>
      <c r="AL21" s="81"/>
      <c r="AM21" s="81"/>
      <c r="AN21" s="81"/>
      <c r="AO21" s="81"/>
      <c r="AP21" s="81"/>
      <c r="AQ21" s="81"/>
      <c r="AR21" s="81"/>
      <c r="AS21" s="81"/>
      <c r="AT21" s="81"/>
      <c r="AU21" s="81"/>
      <c r="AV21" s="81"/>
      <c r="AW21" s="81"/>
      <c r="AX21" s="136"/>
      <c r="AY21" s="174"/>
      <c r="AZ21" s="354" t="s">
        <v>390</v>
      </c>
      <c r="BA21" s="81"/>
      <c r="BB21" s="81"/>
      <c r="BC21" s="81"/>
      <c r="BD21" s="81"/>
      <c r="BE21" s="81"/>
      <c r="BF21" s="81"/>
      <c r="BG21" s="81"/>
      <c r="BH21" s="81"/>
      <c r="BI21" s="81"/>
      <c r="BJ21" s="81"/>
      <c r="BK21" s="81"/>
      <c r="BL21" s="81"/>
      <c r="BM21" s="81"/>
      <c r="BN21" s="81"/>
      <c r="BO21" s="136"/>
      <c r="BP21" s="174"/>
      <c r="BQ21" s="354" t="s">
        <v>390</v>
      </c>
      <c r="BR21" s="81"/>
      <c r="BS21" s="81"/>
      <c r="BT21" s="81"/>
      <c r="BU21" s="81"/>
      <c r="BV21" s="81"/>
      <c r="BW21" s="81"/>
      <c r="BX21" s="81"/>
      <c r="BY21" s="81"/>
      <c r="BZ21" s="81"/>
      <c r="CA21" s="81"/>
      <c r="CB21" s="81"/>
      <c r="CC21" s="81"/>
      <c r="CD21" s="81"/>
      <c r="CE21" s="81"/>
      <c r="CF21" s="136"/>
      <c r="CG21" s="174"/>
      <c r="CH21" s="354" t="s">
        <v>390</v>
      </c>
      <c r="CI21" s="81"/>
      <c r="CJ21" s="81"/>
      <c r="CK21" s="81"/>
      <c r="CL21" s="81"/>
      <c r="CM21" s="81"/>
      <c r="CN21" s="81"/>
      <c r="CO21" s="81"/>
      <c r="CP21" s="81"/>
      <c r="CQ21" s="81"/>
      <c r="CR21" s="81"/>
      <c r="CS21" s="81"/>
      <c r="CT21" s="81"/>
      <c r="CU21" s="81"/>
      <c r="CV21" s="81"/>
      <c r="CW21" s="136"/>
      <c r="CX21" s="174"/>
      <c r="CY21" s="354" t="s">
        <v>390</v>
      </c>
      <c r="CZ21" s="81"/>
      <c r="DA21" s="81"/>
      <c r="DB21" s="81"/>
      <c r="DC21" s="81"/>
      <c r="DD21" s="81"/>
      <c r="DE21" s="81"/>
      <c r="DF21" s="81"/>
      <c r="DG21" s="81"/>
      <c r="DH21" s="81"/>
      <c r="DI21" s="81"/>
      <c r="DJ21" s="81"/>
      <c r="DK21" s="81"/>
      <c r="DL21" s="81"/>
      <c r="DM21" s="81"/>
      <c r="DN21" s="136"/>
      <c r="DO21" s="174"/>
      <c r="DP21" s="354" t="s">
        <v>390</v>
      </c>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354"/>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354"/>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354"/>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5"/>
      <c r="B118" s="81"/>
      <c r="C118" s="81"/>
      <c r="D118" s="81"/>
      <c r="E118" s="81"/>
      <c r="F118" s="81"/>
      <c r="G118" s="81"/>
      <c r="H118" s="81"/>
      <c r="I118" s="81"/>
      <c r="J118" s="81"/>
      <c r="K118" s="81"/>
      <c r="L118" s="81"/>
      <c r="M118" s="81"/>
      <c r="N118" s="81"/>
      <c r="O118" s="81"/>
      <c r="P118" s="136"/>
      <c r="Q118" s="174"/>
      <c r="R118" s="135"/>
      <c r="S118" s="81"/>
      <c r="T118" s="81"/>
      <c r="U118" s="81"/>
      <c r="V118" s="81"/>
      <c r="W118" s="81"/>
      <c r="X118" s="81"/>
      <c r="Y118" s="81"/>
      <c r="Z118" s="81"/>
      <c r="AA118" s="81"/>
      <c r="AB118" s="81"/>
      <c r="AC118" s="81"/>
      <c r="AD118" s="81"/>
      <c r="AE118" s="81"/>
      <c r="AF118" s="81"/>
      <c r="AG118" s="136"/>
      <c r="AH118" s="174"/>
      <c r="AI118" s="135"/>
      <c r="AJ118" s="81"/>
      <c r="AK118" s="81"/>
      <c r="AL118" s="81"/>
      <c r="AM118" s="81"/>
      <c r="AN118" s="81"/>
      <c r="AO118" s="81"/>
      <c r="AP118" s="81"/>
      <c r="AQ118" s="81"/>
      <c r="AR118" s="81"/>
      <c r="AS118" s="81"/>
      <c r="AT118" s="81"/>
      <c r="AU118" s="81"/>
      <c r="AV118" s="81"/>
      <c r="AW118" s="81"/>
      <c r="AX118" s="136"/>
      <c r="AY118" s="174"/>
      <c r="AZ118" s="135"/>
      <c r="BA118" s="81"/>
      <c r="BB118" s="81"/>
      <c r="BC118" s="81"/>
      <c r="BD118" s="81"/>
      <c r="BE118" s="81"/>
      <c r="BF118" s="81"/>
      <c r="BG118" s="81"/>
      <c r="BH118" s="81"/>
      <c r="BI118" s="81"/>
      <c r="BJ118" s="81"/>
      <c r="BK118" s="81"/>
      <c r="BL118" s="81"/>
      <c r="BM118" s="81"/>
      <c r="BN118" s="81"/>
      <c r="BO118" s="136"/>
      <c r="BP118" s="174"/>
      <c r="BQ118" s="135"/>
      <c r="BR118" s="81"/>
      <c r="BS118" s="81"/>
      <c r="BT118" s="81"/>
      <c r="BU118" s="81"/>
      <c r="BV118" s="81"/>
      <c r="BW118" s="81"/>
      <c r="BX118" s="81"/>
      <c r="BY118" s="81"/>
      <c r="BZ118" s="81"/>
      <c r="CA118" s="81"/>
      <c r="CB118" s="81"/>
      <c r="CC118" s="81"/>
      <c r="CD118" s="81"/>
      <c r="CE118" s="81"/>
      <c r="CF118" s="136"/>
      <c r="CG118" s="174"/>
      <c r="CH118" s="135"/>
      <c r="CI118" s="81"/>
      <c r="CJ118" s="81"/>
      <c r="CK118" s="81"/>
      <c r="CL118" s="81"/>
      <c r="CM118" s="81"/>
      <c r="CN118" s="81"/>
      <c r="CO118" s="81"/>
      <c r="CP118" s="81"/>
      <c r="CQ118" s="81"/>
      <c r="CR118" s="81"/>
      <c r="CS118" s="81"/>
      <c r="CT118" s="81"/>
      <c r="CU118" s="81"/>
      <c r="CV118" s="81"/>
      <c r="CW118" s="136"/>
      <c r="CX118" s="174"/>
      <c r="CY118" s="135"/>
      <c r="CZ118" s="81"/>
      <c r="DA118" s="81"/>
      <c r="DB118" s="81"/>
      <c r="DC118" s="81"/>
      <c r="DD118" s="81"/>
      <c r="DE118" s="81"/>
      <c r="DF118" s="81"/>
      <c r="DG118" s="81"/>
      <c r="DH118" s="81"/>
      <c r="DI118" s="81"/>
      <c r="DJ118" s="81"/>
      <c r="DK118" s="81"/>
      <c r="DL118" s="81"/>
      <c r="DM118" s="81"/>
      <c r="DN118" s="136"/>
      <c r="DO118" s="174"/>
      <c r="DP118" s="135"/>
      <c r="DQ118" s="81"/>
      <c r="DR118" s="81"/>
      <c r="DS118" s="81"/>
      <c r="DT118" s="81"/>
      <c r="DU118" s="81"/>
      <c r="DV118" s="81"/>
      <c r="DW118" s="81"/>
      <c r="DX118" s="81"/>
      <c r="DY118" s="81"/>
      <c r="DZ118" s="81"/>
      <c r="EA118" s="81"/>
      <c r="EB118" s="81"/>
      <c r="EC118" s="81"/>
      <c r="ED118" s="81"/>
      <c r="EE118" s="136"/>
      <c r="EF118" s="174"/>
    </row>
  </sheetData>
  <sheetProtection algorithmName="SHA-512" hashValue="6WEAIoGpJrlfl5593ZzP64gZcrG1W+l3DhrhZnpDlpIwgbl3rsl6WBXxcdBhvTPc5Mf/pb3f5PH/voYFXeU/7w==" saltValue="IOMnDb2ZwDEdub83SNPLTw==" spinCount="100000" sheet="1" scenarios="1"/>
  <protectedRanges>
    <protectedRange sqref="DP5:EE8 DT9:DU12 EA9:EE12 DP17:EE118" name="Range8"/>
    <protectedRange sqref="CY5:DN8 DC9:DD12 DJ9:DN12 CY17:DN118" name="Range7"/>
    <protectedRange sqref="CH5:CW8 CL9:CM12 CS9:CW12 CH17:CW118" name="Range6"/>
    <protectedRange sqref="BQ5:CF8 BU9:BV12 CB9:CF12 BQ17:CF118" name="Range5"/>
    <protectedRange sqref="AZ5:BO8 BD9:BE12 BK9:BO12 AZ17:BO118" name="Range4"/>
    <protectedRange sqref="AI5:AX8 AM9:AN12 AT9:AX12 AI17:AX118" name="Range3"/>
    <protectedRange sqref="R5:AG8 V9:W12 AC9:AG12 R17:AG118" name="Range2"/>
    <protectedRange sqref="A5:P8 E9:F12 L9:P12 A17:P118" name="Range1"/>
  </protectedRanges>
  <mergeCells count="107">
    <mergeCell ref="DW11:DZ12"/>
    <mergeCell ref="EA11:EE12"/>
    <mergeCell ref="DC11:DD12"/>
    <mergeCell ref="DF11:DI12"/>
    <mergeCell ref="DJ11:DN12"/>
    <mergeCell ref="DP11:DS12"/>
    <mergeCell ref="DT11:DU12"/>
    <mergeCell ref="CH11:CK12"/>
    <mergeCell ref="CL11:CM12"/>
    <mergeCell ref="CO11:CR12"/>
    <mergeCell ref="CS11:CW12"/>
    <mergeCell ref="CY11:DB12"/>
    <mergeCell ref="BK11:BO12"/>
    <mergeCell ref="BQ11:BT12"/>
    <mergeCell ref="BU11:BV12"/>
    <mergeCell ref="BX11:CA12"/>
    <mergeCell ref="CB11:CF12"/>
    <mergeCell ref="AP11:AS12"/>
    <mergeCell ref="AT11:AX12"/>
    <mergeCell ref="AZ11:BC12"/>
    <mergeCell ref="BD11:BE12"/>
    <mergeCell ref="BG11:BJ12"/>
    <mergeCell ref="V11:W12"/>
    <mergeCell ref="Y11:AB12"/>
    <mergeCell ref="AC11:AG12"/>
    <mergeCell ref="AI11:AL12"/>
    <mergeCell ref="AM11:AN12"/>
    <mergeCell ref="A11:D12"/>
    <mergeCell ref="E11:F12"/>
    <mergeCell ref="H11:K12"/>
    <mergeCell ref="L11:P12"/>
    <mergeCell ref="R11:U12"/>
    <mergeCell ref="AI5:AX6"/>
    <mergeCell ref="A5:P6"/>
    <mergeCell ref="R5:AG6"/>
    <mergeCell ref="A1:Q1"/>
    <mergeCell ref="D3:I3"/>
    <mergeCell ref="N3:Q3"/>
    <mergeCell ref="AZ5:BO6"/>
    <mergeCell ref="BQ5:CF6"/>
    <mergeCell ref="CH5:CW6"/>
    <mergeCell ref="AI7:AX8"/>
    <mergeCell ref="AZ7:BO8"/>
    <mergeCell ref="BQ7:CF8"/>
    <mergeCell ref="AC9:AG10"/>
    <mergeCell ref="AI9:AL10"/>
    <mergeCell ref="AM9:AN10"/>
    <mergeCell ref="AP9:AS10"/>
    <mergeCell ref="AT9:AX10"/>
    <mergeCell ref="CY9:DB10"/>
    <mergeCell ref="A9:D10"/>
    <mergeCell ref="E9:F10"/>
    <mergeCell ref="H9:K10"/>
    <mergeCell ref="L9:P10"/>
    <mergeCell ref="R9:U10"/>
    <mergeCell ref="V9:W10"/>
    <mergeCell ref="Y9:AB10"/>
    <mergeCell ref="A7:P8"/>
    <mergeCell ref="R7:AG8"/>
    <mergeCell ref="BX9:CA10"/>
    <mergeCell ref="CB9:CF10"/>
    <mergeCell ref="CH9:CK10"/>
    <mergeCell ref="CL9:CM10"/>
    <mergeCell ref="CY5:DN6"/>
    <mergeCell ref="DP5:EE6"/>
    <mergeCell ref="AZ9:BC10"/>
    <mergeCell ref="CH7:CW8"/>
    <mergeCell ref="CY7:DN8"/>
    <mergeCell ref="DP7:EE8"/>
    <mergeCell ref="CO9:CR10"/>
    <mergeCell ref="CS9:CW10"/>
    <mergeCell ref="EA9:EE10"/>
    <mergeCell ref="A13:F14"/>
    <mergeCell ref="H13:P14"/>
    <mergeCell ref="R13:W14"/>
    <mergeCell ref="Y13:AG14"/>
    <mergeCell ref="AI13:AN14"/>
    <mergeCell ref="AP13:AX14"/>
    <mergeCell ref="AZ13:BE14"/>
    <mergeCell ref="BG13:BO14"/>
    <mergeCell ref="BQ13:BV14"/>
    <mergeCell ref="DC9:DD10"/>
    <mergeCell ref="DF9:DI10"/>
    <mergeCell ref="DJ9:DN10"/>
    <mergeCell ref="DP9:DS10"/>
    <mergeCell ref="DT9:DU10"/>
    <mergeCell ref="DW9:DZ10"/>
    <mergeCell ref="DW13:EE14"/>
    <mergeCell ref="BD9:BE10"/>
    <mergeCell ref="BG9:BJ10"/>
    <mergeCell ref="BK9:BO10"/>
    <mergeCell ref="BQ9:BT10"/>
    <mergeCell ref="BU9:BV10"/>
    <mergeCell ref="A15:P16"/>
    <mergeCell ref="R15:AG16"/>
    <mergeCell ref="AI15:AX16"/>
    <mergeCell ref="AZ15:BO16"/>
    <mergeCell ref="BQ15:CF16"/>
    <mergeCell ref="CH15:CW16"/>
    <mergeCell ref="CY15:DN16"/>
    <mergeCell ref="DP15:EE16"/>
    <mergeCell ref="BX13:CF14"/>
    <mergeCell ref="CH13:CM14"/>
    <mergeCell ref="CO13:CW14"/>
    <mergeCell ref="CY13:DD14"/>
    <mergeCell ref="DF13:DN14"/>
    <mergeCell ref="DP13:DU14"/>
  </mergeCells>
  <conditionalFormatting sqref="E9:F12">
    <cfRule type="cellIs" dxfId="180" priority="22" operator="equal">
      <formula>"N/A"</formula>
    </cfRule>
    <cfRule type="cellIs" dxfId="179" priority="23" operator="equal">
      <formula>"No"</formula>
    </cfRule>
    <cfRule type="cellIs" dxfId="178" priority="24" operator="equal">
      <formula>"YES"</formula>
    </cfRule>
  </conditionalFormatting>
  <conditionalFormatting sqref="L9">
    <cfRule type="cellIs" dxfId="177" priority="67" operator="equal">
      <formula>"Performed own test"</formula>
    </cfRule>
    <cfRule type="cellIs" dxfId="176" priority="68" operator="equal">
      <formula>"No"</formula>
    </cfRule>
    <cfRule type="cellIs" dxfId="175" priority="69" operator="equal">
      <formula>"YES"</formula>
    </cfRule>
  </conditionalFormatting>
  <conditionalFormatting sqref="V9:W12">
    <cfRule type="cellIs" dxfId="174" priority="19" operator="equal">
      <formula>"N/A"</formula>
    </cfRule>
    <cfRule type="cellIs" dxfId="173" priority="20" operator="equal">
      <formula>"No"</formula>
    </cfRule>
    <cfRule type="cellIs" dxfId="172" priority="21" operator="equal">
      <formula>"YES"</formula>
    </cfRule>
  </conditionalFormatting>
  <conditionalFormatting sqref="AC9">
    <cfRule type="cellIs" dxfId="171" priority="61" operator="equal">
      <formula>"Performed own test"</formula>
    </cfRule>
    <cfRule type="cellIs" dxfId="170" priority="62" operator="equal">
      <formula>"No"</formula>
    </cfRule>
    <cfRule type="cellIs" dxfId="169" priority="63" operator="equal">
      <formula>"YES"</formula>
    </cfRule>
  </conditionalFormatting>
  <conditionalFormatting sqref="AM9:AN12">
    <cfRule type="cellIs" dxfId="168" priority="16" operator="equal">
      <formula>"N/A"</formula>
    </cfRule>
    <cfRule type="cellIs" dxfId="167" priority="17" operator="equal">
      <formula>"No"</formula>
    </cfRule>
    <cfRule type="cellIs" dxfId="166" priority="18" operator="equal">
      <formula>"YES"</formula>
    </cfRule>
  </conditionalFormatting>
  <conditionalFormatting sqref="AT9">
    <cfRule type="cellIs" dxfId="165" priority="55" operator="equal">
      <formula>"Performed own test"</formula>
    </cfRule>
    <cfRule type="cellIs" dxfId="164" priority="56" operator="equal">
      <formula>"No"</formula>
    </cfRule>
    <cfRule type="cellIs" dxfId="163" priority="57" operator="equal">
      <formula>"YES"</formula>
    </cfRule>
  </conditionalFormatting>
  <conditionalFormatting sqref="BD9:BE12">
    <cfRule type="cellIs" dxfId="162" priority="13" operator="equal">
      <formula>"N/A"</formula>
    </cfRule>
    <cfRule type="cellIs" dxfId="161" priority="14" operator="equal">
      <formula>"No"</formula>
    </cfRule>
    <cfRule type="cellIs" dxfId="160" priority="15" operator="equal">
      <formula>"YES"</formula>
    </cfRule>
  </conditionalFormatting>
  <conditionalFormatting sqref="BK9">
    <cfRule type="cellIs" dxfId="159" priority="49" operator="equal">
      <formula>"Performed own test"</formula>
    </cfRule>
    <cfRule type="cellIs" dxfId="158" priority="50" operator="equal">
      <formula>"No"</formula>
    </cfRule>
    <cfRule type="cellIs" dxfId="157" priority="51" operator="equal">
      <formula>"YES"</formula>
    </cfRule>
  </conditionalFormatting>
  <conditionalFormatting sqref="BU9:BV12">
    <cfRule type="cellIs" dxfId="156" priority="10" operator="equal">
      <formula>"N/A"</formula>
    </cfRule>
    <cfRule type="cellIs" dxfId="155" priority="11" operator="equal">
      <formula>"No"</formula>
    </cfRule>
    <cfRule type="cellIs" dxfId="154" priority="12" operator="equal">
      <formula>"YES"</formula>
    </cfRule>
  </conditionalFormatting>
  <conditionalFormatting sqref="CB9">
    <cfRule type="cellIs" dxfId="153" priority="43" operator="equal">
      <formula>"Performed own test"</formula>
    </cfRule>
    <cfRule type="cellIs" dxfId="152" priority="44" operator="equal">
      <formula>"No"</formula>
    </cfRule>
    <cfRule type="cellIs" dxfId="151" priority="45" operator="equal">
      <formula>"YES"</formula>
    </cfRule>
  </conditionalFormatting>
  <conditionalFormatting sqref="CL9:CM12">
    <cfRule type="cellIs" dxfId="150" priority="7" operator="equal">
      <formula>"N/A"</formula>
    </cfRule>
    <cfRule type="cellIs" dxfId="149" priority="8" operator="equal">
      <formula>"No"</formula>
    </cfRule>
    <cfRule type="cellIs" dxfId="148" priority="9" operator="equal">
      <formula>"YES"</formula>
    </cfRule>
  </conditionalFormatting>
  <conditionalFormatting sqref="CS9">
    <cfRule type="cellIs" dxfId="147" priority="37" operator="equal">
      <formula>"Performed own test"</formula>
    </cfRule>
    <cfRule type="cellIs" dxfId="146" priority="38" operator="equal">
      <formula>"No"</formula>
    </cfRule>
    <cfRule type="cellIs" dxfId="145" priority="39" operator="equal">
      <formula>"YES"</formula>
    </cfRule>
  </conditionalFormatting>
  <conditionalFormatting sqref="DC9:DD12">
    <cfRule type="cellIs" dxfId="144" priority="4" operator="equal">
      <formula>"N/A"</formula>
    </cfRule>
    <cfRule type="cellIs" dxfId="143" priority="5" operator="equal">
      <formula>"No"</formula>
    </cfRule>
    <cfRule type="cellIs" dxfId="142" priority="6" operator="equal">
      <formula>"YES"</formula>
    </cfRule>
  </conditionalFormatting>
  <conditionalFormatting sqref="DJ9">
    <cfRule type="cellIs" dxfId="141" priority="31" operator="equal">
      <formula>"Performed own test"</formula>
    </cfRule>
    <cfRule type="cellIs" dxfId="140" priority="32" operator="equal">
      <formula>"No"</formula>
    </cfRule>
    <cfRule type="cellIs" dxfId="139" priority="33" operator="equal">
      <formula>"YES"</formula>
    </cfRule>
  </conditionalFormatting>
  <conditionalFormatting sqref="DT9:DU12">
    <cfRule type="cellIs" dxfId="138" priority="1" operator="equal">
      <formula>"N/A"</formula>
    </cfRule>
    <cfRule type="cellIs" dxfId="137" priority="2" operator="equal">
      <formula>"No"</formula>
    </cfRule>
    <cfRule type="cellIs" dxfId="136" priority="3" operator="equal">
      <formula>"YES"</formula>
    </cfRule>
  </conditionalFormatting>
  <conditionalFormatting sqref="EA9">
    <cfRule type="cellIs" dxfId="135" priority="25" operator="equal">
      <formula>"Performed own test"</formula>
    </cfRule>
    <cfRule type="cellIs" dxfId="134" priority="26" operator="equal">
      <formula>"No"</formula>
    </cfRule>
    <cfRule type="cellIs" dxfId="133" priority="27" operator="equal">
      <formula>"YES"</formula>
    </cfRule>
  </conditionalFormatting>
  <dataValidations count="4">
    <dataValidation type="list" allowBlank="1" showInputMessage="1" showErrorMessage="1" sqref="L9 AC9 AT9 BK9 CB9 CS9 DJ9 EA9" xr:uid="{977CFF33-AEDB-43B2-9FFD-EDD65356519A}">
      <formula1>"Performed own test,YES,NO"</formula1>
    </dataValidation>
    <dataValidation type="list" allowBlank="1" showInputMessage="1" showErrorMessage="1" sqref="V9:W12 AM9:AN12 BD9:BE12 BU9:BV12 CL9:CM12 DC9:DD12 DT9:DU12 E9:F12" xr:uid="{E1947083-8034-4BB2-8221-9FB21D0C854B}">
      <formula1>"YES,NO,N/A"</formula1>
    </dataValidation>
    <dataValidation allowBlank="1" showInputMessage="1" showErrorMessage="1" sqref="Q7:Q8 L11:P12 AC11:AG12 AT11:AX12 BK11:BO12 CB11:CF12 CS11:CW12 DJ11:DN12 EA11:EE12" xr:uid="{DDDB5FD3-015D-48EB-8FFC-FB9EFA600112}"/>
    <dataValidation type="list" allowBlank="1" showInputMessage="1" showErrorMessage="1" sqref="A7:P8 R7:AG8 AI7:AX8 AZ7:BO8 BQ7:CF8 CH7:CW8 CY7:DN8 DP7:EE8" xr:uid="{F2295851-BE20-48D2-8EB8-C3CDB2BDF5B4}">
      <formula1>"Aluminium,Steel,Plastic,Other"</formula1>
    </dataValidation>
  </dataValidations>
  <hyperlinks>
    <hyperlink ref="S2" location="'Cover Sheet'!A1" display="BACK to COVER SHEET" xr:uid="{0638A262-6084-43D8-A97D-4F8FD42FFFA6}"/>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15976-7769-4049-B38B-CD38168D2EC1}">
  <sheetPr codeName="Sheet7">
    <tabColor rgb="FF9999FF"/>
  </sheetPr>
  <dimension ref="A1:EF118"/>
  <sheetViews>
    <sheetView zoomScaleNormal="100" workbookViewId="0">
      <selection sqref="A1:Q1"/>
    </sheetView>
  </sheetViews>
  <sheetFormatPr defaultColWidth="9.140625" defaultRowHeight="12.75"/>
  <cols>
    <col min="1" max="135" width="5" customWidth="1"/>
  </cols>
  <sheetData>
    <row r="1" spans="1:136" s="174" customFormat="1" ht="12.75" customHeight="1">
      <c r="A1" s="561" t="str">
        <f>CONCATENATE(Read_Me!A1," FS ASES ",Read_Me!B1," - Datasheets Glue")</f>
        <v>2026 FS ASES V1.0 - Datasheets Glue</v>
      </c>
      <c r="B1" s="561"/>
      <c r="C1" s="561"/>
      <c r="D1" s="561"/>
      <c r="E1" s="561"/>
      <c r="F1" s="561"/>
      <c r="G1" s="561"/>
      <c r="H1" s="561"/>
      <c r="I1" s="561"/>
      <c r="J1" s="561"/>
      <c r="K1" s="561"/>
      <c r="L1" s="561"/>
      <c r="M1" s="561"/>
      <c r="N1" s="561"/>
      <c r="O1" s="561"/>
      <c r="P1" s="561"/>
      <c r="Q1" s="561"/>
      <c r="R1" s="175"/>
      <c r="S1" s="175"/>
    </row>
    <row r="2" spans="1:136" s="174" customFormat="1" ht="12.75" customHeight="1">
      <c r="S2" s="58" t="s">
        <v>77</v>
      </c>
    </row>
    <row r="3" spans="1:136" s="174" customFormat="1">
      <c r="A3" s="224" t="s">
        <v>17</v>
      </c>
      <c r="D3" s="562" t="str">
        <f>IF('Cover Sheet'!D15:J15&gt;0,'Cover Sheet'!D15:J15,"")</f>
        <v/>
      </c>
      <c r="E3" s="562"/>
      <c r="F3" s="562"/>
      <c r="G3" s="562"/>
      <c r="H3" s="562"/>
      <c r="I3" s="562"/>
      <c r="J3" s="174" t="s">
        <v>18</v>
      </c>
      <c r="N3" s="562" t="str">
        <f>IF('Cover Sheet'!O15&gt;0,'Cover Sheet'!O15,"")</f>
        <v/>
      </c>
      <c r="O3" s="562"/>
      <c r="P3" s="562"/>
      <c r="Q3" s="562"/>
      <c r="R3" s="176"/>
      <c r="S3" s="176"/>
    </row>
    <row r="4" spans="1:136" s="174" customFormat="1"/>
    <row r="5" spans="1:136" ht="12.75" customHeight="1">
      <c r="A5" s="694" t="s">
        <v>234</v>
      </c>
      <c r="B5" s="695"/>
      <c r="C5" s="695"/>
      <c r="D5" s="695"/>
      <c r="E5" s="695"/>
      <c r="F5" s="695"/>
      <c r="G5" s="695"/>
      <c r="H5" s="695"/>
      <c r="I5" s="695"/>
      <c r="J5" s="695"/>
      <c r="K5" s="695"/>
      <c r="L5" s="695"/>
      <c r="M5" s="695"/>
      <c r="N5" s="695"/>
      <c r="O5" s="695"/>
      <c r="P5" s="696"/>
      <c r="Q5" s="174"/>
      <c r="R5" s="694" t="s">
        <v>224</v>
      </c>
      <c r="S5" s="695"/>
      <c r="T5" s="695"/>
      <c r="U5" s="695"/>
      <c r="V5" s="695"/>
      <c r="W5" s="695"/>
      <c r="X5" s="695"/>
      <c r="Y5" s="695"/>
      <c r="Z5" s="695"/>
      <c r="AA5" s="695"/>
      <c r="AB5" s="695"/>
      <c r="AC5" s="695"/>
      <c r="AD5" s="695"/>
      <c r="AE5" s="695"/>
      <c r="AF5" s="695"/>
      <c r="AG5" s="696"/>
      <c r="AH5" s="174"/>
      <c r="AI5" s="694" t="s">
        <v>225</v>
      </c>
      <c r="AJ5" s="695"/>
      <c r="AK5" s="695"/>
      <c r="AL5" s="695"/>
      <c r="AM5" s="695"/>
      <c r="AN5" s="695"/>
      <c r="AO5" s="695"/>
      <c r="AP5" s="695"/>
      <c r="AQ5" s="695"/>
      <c r="AR5" s="695"/>
      <c r="AS5" s="695"/>
      <c r="AT5" s="695"/>
      <c r="AU5" s="695"/>
      <c r="AV5" s="695"/>
      <c r="AW5" s="695"/>
      <c r="AX5" s="696"/>
      <c r="AY5" s="174"/>
      <c r="AZ5" s="694" t="s">
        <v>226</v>
      </c>
      <c r="BA5" s="695"/>
      <c r="BB5" s="695"/>
      <c r="BC5" s="695"/>
      <c r="BD5" s="695"/>
      <c r="BE5" s="695"/>
      <c r="BF5" s="695"/>
      <c r="BG5" s="695"/>
      <c r="BH5" s="695"/>
      <c r="BI5" s="695"/>
      <c r="BJ5" s="695"/>
      <c r="BK5" s="695"/>
      <c r="BL5" s="695"/>
      <c r="BM5" s="695"/>
      <c r="BN5" s="695"/>
      <c r="BO5" s="696"/>
      <c r="BP5" s="174"/>
      <c r="BQ5" s="694" t="s">
        <v>227</v>
      </c>
      <c r="BR5" s="695"/>
      <c r="BS5" s="695"/>
      <c r="BT5" s="695"/>
      <c r="BU5" s="695"/>
      <c r="BV5" s="695"/>
      <c r="BW5" s="695"/>
      <c r="BX5" s="695"/>
      <c r="BY5" s="695"/>
      <c r="BZ5" s="695"/>
      <c r="CA5" s="695"/>
      <c r="CB5" s="695"/>
      <c r="CC5" s="695"/>
      <c r="CD5" s="695"/>
      <c r="CE5" s="695"/>
      <c r="CF5" s="696"/>
      <c r="CG5" s="174"/>
      <c r="CH5" s="694" t="s">
        <v>228</v>
      </c>
      <c r="CI5" s="695"/>
      <c r="CJ5" s="695"/>
      <c r="CK5" s="695"/>
      <c r="CL5" s="695"/>
      <c r="CM5" s="695"/>
      <c r="CN5" s="695"/>
      <c r="CO5" s="695"/>
      <c r="CP5" s="695"/>
      <c r="CQ5" s="695"/>
      <c r="CR5" s="695"/>
      <c r="CS5" s="695"/>
      <c r="CT5" s="695"/>
      <c r="CU5" s="695"/>
      <c r="CV5" s="695"/>
      <c r="CW5" s="696"/>
      <c r="CX5" s="174"/>
      <c r="CY5" s="694" t="s">
        <v>229</v>
      </c>
      <c r="CZ5" s="695"/>
      <c r="DA5" s="695"/>
      <c r="DB5" s="695"/>
      <c r="DC5" s="695"/>
      <c r="DD5" s="695"/>
      <c r="DE5" s="695"/>
      <c r="DF5" s="695"/>
      <c r="DG5" s="695"/>
      <c r="DH5" s="695"/>
      <c r="DI5" s="695"/>
      <c r="DJ5" s="695"/>
      <c r="DK5" s="695"/>
      <c r="DL5" s="695"/>
      <c r="DM5" s="695"/>
      <c r="DN5" s="696"/>
      <c r="DO5" s="174"/>
      <c r="DP5" s="694" t="s">
        <v>230</v>
      </c>
      <c r="DQ5" s="695"/>
      <c r="DR5" s="695"/>
      <c r="DS5" s="695"/>
      <c r="DT5" s="695"/>
      <c r="DU5" s="695"/>
      <c r="DV5" s="695"/>
      <c r="DW5" s="695"/>
      <c r="DX5" s="695"/>
      <c r="DY5" s="695"/>
      <c r="DZ5" s="695"/>
      <c r="EA5" s="695"/>
      <c r="EB5" s="695"/>
      <c r="EC5" s="695"/>
      <c r="ED5" s="695"/>
      <c r="EE5" s="696"/>
      <c r="EF5" s="174"/>
    </row>
    <row r="6" spans="1:136" ht="12.75" customHeight="1">
      <c r="A6" s="697"/>
      <c r="B6" s="698"/>
      <c r="C6" s="698"/>
      <c r="D6" s="698"/>
      <c r="E6" s="698"/>
      <c r="F6" s="698"/>
      <c r="G6" s="698"/>
      <c r="H6" s="698"/>
      <c r="I6" s="698"/>
      <c r="J6" s="698"/>
      <c r="K6" s="698"/>
      <c r="L6" s="698"/>
      <c r="M6" s="698"/>
      <c r="N6" s="698"/>
      <c r="O6" s="698"/>
      <c r="P6" s="699"/>
      <c r="Q6" s="174"/>
      <c r="R6" s="697"/>
      <c r="S6" s="698"/>
      <c r="T6" s="698"/>
      <c r="U6" s="698"/>
      <c r="V6" s="698"/>
      <c r="W6" s="698"/>
      <c r="X6" s="698"/>
      <c r="Y6" s="698"/>
      <c r="Z6" s="698"/>
      <c r="AA6" s="698"/>
      <c r="AB6" s="698"/>
      <c r="AC6" s="698"/>
      <c r="AD6" s="698"/>
      <c r="AE6" s="698"/>
      <c r="AF6" s="698"/>
      <c r="AG6" s="699"/>
      <c r="AH6" s="174"/>
      <c r="AI6" s="697"/>
      <c r="AJ6" s="698"/>
      <c r="AK6" s="698"/>
      <c r="AL6" s="698"/>
      <c r="AM6" s="698"/>
      <c r="AN6" s="698"/>
      <c r="AO6" s="698"/>
      <c r="AP6" s="698"/>
      <c r="AQ6" s="698"/>
      <c r="AR6" s="698"/>
      <c r="AS6" s="698"/>
      <c r="AT6" s="698"/>
      <c r="AU6" s="698"/>
      <c r="AV6" s="698"/>
      <c r="AW6" s="698"/>
      <c r="AX6" s="699"/>
      <c r="AY6" s="174"/>
      <c r="AZ6" s="697"/>
      <c r="BA6" s="698"/>
      <c r="BB6" s="698"/>
      <c r="BC6" s="698"/>
      <c r="BD6" s="698"/>
      <c r="BE6" s="698"/>
      <c r="BF6" s="698"/>
      <c r="BG6" s="698"/>
      <c r="BH6" s="698"/>
      <c r="BI6" s="698"/>
      <c r="BJ6" s="698"/>
      <c r="BK6" s="698"/>
      <c r="BL6" s="698"/>
      <c r="BM6" s="698"/>
      <c r="BN6" s="698"/>
      <c r="BO6" s="699"/>
      <c r="BP6" s="174"/>
      <c r="BQ6" s="697"/>
      <c r="BR6" s="698"/>
      <c r="BS6" s="698"/>
      <c r="BT6" s="698"/>
      <c r="BU6" s="698"/>
      <c r="BV6" s="698"/>
      <c r="BW6" s="698"/>
      <c r="BX6" s="698"/>
      <c r="BY6" s="698"/>
      <c r="BZ6" s="698"/>
      <c r="CA6" s="698"/>
      <c r="CB6" s="698"/>
      <c r="CC6" s="698"/>
      <c r="CD6" s="698"/>
      <c r="CE6" s="698"/>
      <c r="CF6" s="699"/>
      <c r="CG6" s="174"/>
      <c r="CH6" s="697"/>
      <c r="CI6" s="698"/>
      <c r="CJ6" s="698"/>
      <c r="CK6" s="698"/>
      <c r="CL6" s="698"/>
      <c r="CM6" s="698"/>
      <c r="CN6" s="698"/>
      <c r="CO6" s="698"/>
      <c r="CP6" s="698"/>
      <c r="CQ6" s="698"/>
      <c r="CR6" s="698"/>
      <c r="CS6" s="698"/>
      <c r="CT6" s="698"/>
      <c r="CU6" s="698"/>
      <c r="CV6" s="698"/>
      <c r="CW6" s="699"/>
      <c r="CX6" s="174"/>
      <c r="CY6" s="697"/>
      <c r="CZ6" s="698"/>
      <c r="DA6" s="698"/>
      <c r="DB6" s="698"/>
      <c r="DC6" s="698"/>
      <c r="DD6" s="698"/>
      <c r="DE6" s="698"/>
      <c r="DF6" s="698"/>
      <c r="DG6" s="698"/>
      <c r="DH6" s="698"/>
      <c r="DI6" s="698"/>
      <c r="DJ6" s="698"/>
      <c r="DK6" s="698"/>
      <c r="DL6" s="698"/>
      <c r="DM6" s="698"/>
      <c r="DN6" s="699"/>
      <c r="DO6" s="174"/>
      <c r="DP6" s="697"/>
      <c r="DQ6" s="698"/>
      <c r="DR6" s="698"/>
      <c r="DS6" s="698"/>
      <c r="DT6" s="698"/>
      <c r="DU6" s="698"/>
      <c r="DV6" s="698"/>
      <c r="DW6" s="698"/>
      <c r="DX6" s="698"/>
      <c r="DY6" s="698"/>
      <c r="DZ6" s="698"/>
      <c r="EA6" s="698"/>
      <c r="EB6" s="698"/>
      <c r="EC6" s="698"/>
      <c r="ED6" s="698"/>
      <c r="EE6" s="699"/>
      <c r="EF6" s="174"/>
    </row>
    <row r="7" spans="1:136" ht="12.75" customHeight="1">
      <c r="A7" s="722" t="s">
        <v>391</v>
      </c>
      <c r="B7" s="679"/>
      <c r="C7" s="679"/>
      <c r="D7" s="679"/>
      <c r="E7" s="686" t="s">
        <v>35</v>
      </c>
      <c r="F7" s="714"/>
      <c r="G7" s="355"/>
      <c r="H7" s="723" t="s">
        <v>318</v>
      </c>
      <c r="I7" s="683"/>
      <c r="J7" s="683"/>
      <c r="K7" s="683"/>
      <c r="L7" s="690" t="s">
        <v>35</v>
      </c>
      <c r="M7" s="690"/>
      <c r="N7" s="690"/>
      <c r="O7" s="690"/>
      <c r="P7" s="691"/>
      <c r="Q7" s="174"/>
      <c r="R7" s="678" t="s">
        <v>391</v>
      </c>
      <c r="S7" s="679"/>
      <c r="T7" s="679"/>
      <c r="U7" s="679"/>
      <c r="V7" s="686" t="s">
        <v>35</v>
      </c>
      <c r="W7" s="714"/>
      <c r="X7" s="355"/>
      <c r="Y7" s="725" t="s">
        <v>318</v>
      </c>
      <c r="Z7" s="683"/>
      <c r="AA7" s="683"/>
      <c r="AB7" s="683"/>
      <c r="AC7" s="690" t="s">
        <v>35</v>
      </c>
      <c r="AD7" s="690"/>
      <c r="AE7" s="690"/>
      <c r="AF7" s="690"/>
      <c r="AG7" s="691"/>
      <c r="AH7" s="174"/>
      <c r="AI7" s="678" t="s">
        <v>391</v>
      </c>
      <c r="AJ7" s="679"/>
      <c r="AK7" s="679"/>
      <c r="AL7" s="679"/>
      <c r="AM7" s="686" t="s">
        <v>35</v>
      </c>
      <c r="AN7" s="714"/>
      <c r="AO7" s="355"/>
      <c r="AP7" s="725" t="s">
        <v>318</v>
      </c>
      <c r="AQ7" s="683"/>
      <c r="AR7" s="683"/>
      <c r="AS7" s="683"/>
      <c r="AT7" s="690" t="s">
        <v>35</v>
      </c>
      <c r="AU7" s="690"/>
      <c r="AV7" s="690"/>
      <c r="AW7" s="690"/>
      <c r="AX7" s="691"/>
      <c r="AY7" s="174"/>
      <c r="AZ7" s="678" t="s">
        <v>391</v>
      </c>
      <c r="BA7" s="679"/>
      <c r="BB7" s="679"/>
      <c r="BC7" s="679"/>
      <c r="BD7" s="686" t="s">
        <v>35</v>
      </c>
      <c r="BE7" s="714"/>
      <c r="BF7" s="355"/>
      <c r="BG7" s="725" t="s">
        <v>318</v>
      </c>
      <c r="BH7" s="683"/>
      <c r="BI7" s="683"/>
      <c r="BJ7" s="683"/>
      <c r="BK7" s="690" t="s">
        <v>35</v>
      </c>
      <c r="BL7" s="690"/>
      <c r="BM7" s="690"/>
      <c r="BN7" s="690"/>
      <c r="BO7" s="691"/>
      <c r="BP7" s="174"/>
      <c r="BQ7" s="678" t="s">
        <v>391</v>
      </c>
      <c r="BR7" s="679"/>
      <c r="BS7" s="679"/>
      <c r="BT7" s="679"/>
      <c r="BU7" s="686" t="s">
        <v>35</v>
      </c>
      <c r="BV7" s="714"/>
      <c r="BW7" s="355"/>
      <c r="BX7" s="725" t="s">
        <v>318</v>
      </c>
      <c r="BY7" s="683"/>
      <c r="BZ7" s="683"/>
      <c r="CA7" s="683"/>
      <c r="CB7" s="690" t="s">
        <v>35</v>
      </c>
      <c r="CC7" s="690"/>
      <c r="CD7" s="690"/>
      <c r="CE7" s="690"/>
      <c r="CF7" s="691"/>
      <c r="CG7" s="174"/>
      <c r="CH7" s="678" t="s">
        <v>391</v>
      </c>
      <c r="CI7" s="679"/>
      <c r="CJ7" s="679"/>
      <c r="CK7" s="679"/>
      <c r="CL7" s="686" t="s">
        <v>35</v>
      </c>
      <c r="CM7" s="714"/>
      <c r="CN7" s="355"/>
      <c r="CO7" s="725" t="s">
        <v>318</v>
      </c>
      <c r="CP7" s="683"/>
      <c r="CQ7" s="683"/>
      <c r="CR7" s="683"/>
      <c r="CS7" s="690" t="s">
        <v>35</v>
      </c>
      <c r="CT7" s="690"/>
      <c r="CU7" s="690"/>
      <c r="CV7" s="690"/>
      <c r="CW7" s="691"/>
      <c r="CX7" s="174"/>
      <c r="CY7" s="678" t="s">
        <v>391</v>
      </c>
      <c r="CZ7" s="679"/>
      <c r="DA7" s="679"/>
      <c r="DB7" s="679"/>
      <c r="DC7" s="686" t="s">
        <v>35</v>
      </c>
      <c r="DD7" s="714"/>
      <c r="DE7" s="355"/>
      <c r="DF7" s="725" t="s">
        <v>318</v>
      </c>
      <c r="DG7" s="683"/>
      <c r="DH7" s="683"/>
      <c r="DI7" s="683"/>
      <c r="DJ7" s="690" t="s">
        <v>35</v>
      </c>
      <c r="DK7" s="690"/>
      <c r="DL7" s="690"/>
      <c r="DM7" s="690"/>
      <c r="DN7" s="691"/>
      <c r="DO7" s="174"/>
      <c r="DP7" s="678" t="s">
        <v>391</v>
      </c>
      <c r="DQ7" s="679"/>
      <c r="DR7" s="679"/>
      <c r="DS7" s="679"/>
      <c r="DT7" s="686" t="s">
        <v>35</v>
      </c>
      <c r="DU7" s="714"/>
      <c r="DV7" s="355"/>
      <c r="DW7" s="723" t="s">
        <v>318</v>
      </c>
      <c r="DX7" s="683"/>
      <c r="DY7" s="683"/>
      <c r="DZ7" s="683"/>
      <c r="EA7" s="690" t="s">
        <v>35</v>
      </c>
      <c r="EB7" s="690"/>
      <c r="EC7" s="690"/>
      <c r="ED7" s="690"/>
      <c r="EE7" s="691"/>
      <c r="EF7" s="174"/>
    </row>
    <row r="8" spans="1:136" ht="12.75" customHeight="1">
      <c r="A8" s="680"/>
      <c r="B8" s="681"/>
      <c r="C8" s="681"/>
      <c r="D8" s="681"/>
      <c r="E8" s="688"/>
      <c r="F8" s="715"/>
      <c r="G8" s="356"/>
      <c r="H8" s="724"/>
      <c r="I8" s="685"/>
      <c r="J8" s="685"/>
      <c r="K8" s="685"/>
      <c r="L8" s="692"/>
      <c r="M8" s="692"/>
      <c r="N8" s="692"/>
      <c r="O8" s="692"/>
      <c r="P8" s="693"/>
      <c r="Q8" s="174"/>
      <c r="R8" s="680"/>
      <c r="S8" s="681"/>
      <c r="T8" s="681"/>
      <c r="U8" s="681"/>
      <c r="V8" s="688"/>
      <c r="W8" s="715"/>
      <c r="X8" s="356"/>
      <c r="Y8" s="724"/>
      <c r="Z8" s="685"/>
      <c r="AA8" s="685"/>
      <c r="AB8" s="685"/>
      <c r="AC8" s="692"/>
      <c r="AD8" s="692"/>
      <c r="AE8" s="692"/>
      <c r="AF8" s="692"/>
      <c r="AG8" s="693"/>
      <c r="AH8" s="174"/>
      <c r="AI8" s="680"/>
      <c r="AJ8" s="681"/>
      <c r="AK8" s="681"/>
      <c r="AL8" s="681"/>
      <c r="AM8" s="688"/>
      <c r="AN8" s="715"/>
      <c r="AO8" s="356"/>
      <c r="AP8" s="724"/>
      <c r="AQ8" s="685"/>
      <c r="AR8" s="685"/>
      <c r="AS8" s="685"/>
      <c r="AT8" s="692"/>
      <c r="AU8" s="692"/>
      <c r="AV8" s="692"/>
      <c r="AW8" s="692"/>
      <c r="AX8" s="693"/>
      <c r="AY8" s="174"/>
      <c r="AZ8" s="680"/>
      <c r="BA8" s="681"/>
      <c r="BB8" s="681"/>
      <c r="BC8" s="681"/>
      <c r="BD8" s="688"/>
      <c r="BE8" s="715"/>
      <c r="BF8" s="356"/>
      <c r="BG8" s="724"/>
      <c r="BH8" s="685"/>
      <c r="BI8" s="685"/>
      <c r="BJ8" s="685"/>
      <c r="BK8" s="692"/>
      <c r="BL8" s="692"/>
      <c r="BM8" s="692"/>
      <c r="BN8" s="692"/>
      <c r="BO8" s="693"/>
      <c r="BP8" s="174"/>
      <c r="BQ8" s="680"/>
      <c r="BR8" s="681"/>
      <c r="BS8" s="681"/>
      <c r="BT8" s="681"/>
      <c r="BU8" s="688"/>
      <c r="BV8" s="715"/>
      <c r="BW8" s="356"/>
      <c r="BX8" s="724"/>
      <c r="BY8" s="685"/>
      <c r="BZ8" s="685"/>
      <c r="CA8" s="685"/>
      <c r="CB8" s="692"/>
      <c r="CC8" s="692"/>
      <c r="CD8" s="692"/>
      <c r="CE8" s="692"/>
      <c r="CF8" s="693"/>
      <c r="CG8" s="174"/>
      <c r="CH8" s="680"/>
      <c r="CI8" s="681"/>
      <c r="CJ8" s="681"/>
      <c r="CK8" s="681"/>
      <c r="CL8" s="688"/>
      <c r="CM8" s="715"/>
      <c r="CN8" s="356"/>
      <c r="CO8" s="724"/>
      <c r="CP8" s="685"/>
      <c r="CQ8" s="685"/>
      <c r="CR8" s="685"/>
      <c r="CS8" s="692"/>
      <c r="CT8" s="692"/>
      <c r="CU8" s="692"/>
      <c r="CV8" s="692"/>
      <c r="CW8" s="693"/>
      <c r="CX8" s="174"/>
      <c r="CY8" s="680"/>
      <c r="CZ8" s="681"/>
      <c r="DA8" s="681"/>
      <c r="DB8" s="681"/>
      <c r="DC8" s="688"/>
      <c r="DD8" s="715"/>
      <c r="DE8" s="356"/>
      <c r="DF8" s="724"/>
      <c r="DG8" s="685"/>
      <c r="DH8" s="685"/>
      <c r="DI8" s="685"/>
      <c r="DJ8" s="692"/>
      <c r="DK8" s="692"/>
      <c r="DL8" s="692"/>
      <c r="DM8" s="692"/>
      <c r="DN8" s="693"/>
      <c r="DO8" s="174"/>
      <c r="DP8" s="680"/>
      <c r="DQ8" s="681"/>
      <c r="DR8" s="681"/>
      <c r="DS8" s="681"/>
      <c r="DT8" s="688"/>
      <c r="DU8" s="715"/>
      <c r="DV8" s="356"/>
      <c r="DW8" s="724"/>
      <c r="DX8" s="685"/>
      <c r="DY8" s="685"/>
      <c r="DZ8" s="685"/>
      <c r="EA8" s="692"/>
      <c r="EB8" s="692"/>
      <c r="EC8" s="692"/>
      <c r="ED8" s="692"/>
      <c r="EE8" s="693"/>
      <c r="EF8" s="174"/>
    </row>
    <row r="9" spans="1:136" ht="12.75" customHeight="1">
      <c r="A9" s="722" t="s">
        <v>373</v>
      </c>
      <c r="B9" s="679"/>
      <c r="C9" s="679"/>
      <c r="D9" s="679"/>
      <c r="E9" s="686" t="s">
        <v>35</v>
      </c>
      <c r="F9" s="714"/>
      <c r="G9" s="357"/>
      <c r="H9" s="716" t="s">
        <v>235</v>
      </c>
      <c r="I9" s="679"/>
      <c r="J9" s="679"/>
      <c r="K9" s="679"/>
      <c r="L9" s="718"/>
      <c r="M9" s="718"/>
      <c r="N9" s="718"/>
      <c r="O9" s="718"/>
      <c r="P9" s="719"/>
      <c r="Q9" s="174"/>
      <c r="R9" s="678" t="s">
        <v>373</v>
      </c>
      <c r="S9" s="679"/>
      <c r="T9" s="679"/>
      <c r="U9" s="679"/>
      <c r="V9" s="686" t="s">
        <v>35</v>
      </c>
      <c r="W9" s="714"/>
      <c r="X9" s="357"/>
      <c r="Y9" s="716" t="s">
        <v>235</v>
      </c>
      <c r="Z9" s="679"/>
      <c r="AA9" s="679"/>
      <c r="AB9" s="679"/>
      <c r="AC9" s="718"/>
      <c r="AD9" s="718"/>
      <c r="AE9" s="718"/>
      <c r="AF9" s="718"/>
      <c r="AG9" s="719"/>
      <c r="AH9" s="174"/>
      <c r="AI9" s="678" t="s">
        <v>373</v>
      </c>
      <c r="AJ9" s="679"/>
      <c r="AK9" s="679"/>
      <c r="AL9" s="679"/>
      <c r="AM9" s="686" t="s">
        <v>35</v>
      </c>
      <c r="AN9" s="714"/>
      <c r="AO9" s="357"/>
      <c r="AP9" s="716" t="s">
        <v>235</v>
      </c>
      <c r="AQ9" s="679"/>
      <c r="AR9" s="679"/>
      <c r="AS9" s="679"/>
      <c r="AT9" s="718"/>
      <c r="AU9" s="718"/>
      <c r="AV9" s="718"/>
      <c r="AW9" s="718"/>
      <c r="AX9" s="719"/>
      <c r="AY9" s="174"/>
      <c r="AZ9" s="678" t="s">
        <v>373</v>
      </c>
      <c r="BA9" s="679"/>
      <c r="BB9" s="679"/>
      <c r="BC9" s="679"/>
      <c r="BD9" s="686" t="s">
        <v>35</v>
      </c>
      <c r="BE9" s="714"/>
      <c r="BF9" s="357"/>
      <c r="BG9" s="716" t="s">
        <v>235</v>
      </c>
      <c r="BH9" s="679"/>
      <c r="BI9" s="679"/>
      <c r="BJ9" s="679"/>
      <c r="BK9" s="718"/>
      <c r="BL9" s="718"/>
      <c r="BM9" s="718"/>
      <c r="BN9" s="718"/>
      <c r="BO9" s="719"/>
      <c r="BP9" s="174"/>
      <c r="BQ9" s="678" t="s">
        <v>373</v>
      </c>
      <c r="BR9" s="679"/>
      <c r="BS9" s="679"/>
      <c r="BT9" s="679"/>
      <c r="BU9" s="686" t="s">
        <v>35</v>
      </c>
      <c r="BV9" s="714"/>
      <c r="BW9" s="357"/>
      <c r="BX9" s="716" t="s">
        <v>235</v>
      </c>
      <c r="BY9" s="679"/>
      <c r="BZ9" s="679"/>
      <c r="CA9" s="679"/>
      <c r="CB9" s="718"/>
      <c r="CC9" s="718"/>
      <c r="CD9" s="718"/>
      <c r="CE9" s="718"/>
      <c r="CF9" s="719"/>
      <c r="CG9" s="174"/>
      <c r="CH9" s="678" t="s">
        <v>373</v>
      </c>
      <c r="CI9" s="679"/>
      <c r="CJ9" s="679"/>
      <c r="CK9" s="679"/>
      <c r="CL9" s="686" t="s">
        <v>35</v>
      </c>
      <c r="CM9" s="714"/>
      <c r="CN9" s="357"/>
      <c r="CO9" s="716" t="s">
        <v>235</v>
      </c>
      <c r="CP9" s="679"/>
      <c r="CQ9" s="679"/>
      <c r="CR9" s="679"/>
      <c r="CS9" s="718"/>
      <c r="CT9" s="718"/>
      <c r="CU9" s="718"/>
      <c r="CV9" s="718"/>
      <c r="CW9" s="719"/>
      <c r="CX9" s="174"/>
      <c r="CY9" s="678" t="s">
        <v>373</v>
      </c>
      <c r="CZ9" s="679"/>
      <c r="DA9" s="679"/>
      <c r="DB9" s="679"/>
      <c r="DC9" s="686" t="s">
        <v>35</v>
      </c>
      <c r="DD9" s="714"/>
      <c r="DE9" s="357"/>
      <c r="DF9" s="716" t="s">
        <v>235</v>
      </c>
      <c r="DG9" s="679"/>
      <c r="DH9" s="679"/>
      <c r="DI9" s="679"/>
      <c r="DJ9" s="718"/>
      <c r="DK9" s="718"/>
      <c r="DL9" s="718"/>
      <c r="DM9" s="718"/>
      <c r="DN9" s="719"/>
      <c r="DO9" s="174"/>
      <c r="DP9" s="678" t="s">
        <v>373</v>
      </c>
      <c r="DQ9" s="679"/>
      <c r="DR9" s="679"/>
      <c r="DS9" s="679"/>
      <c r="DT9" s="686" t="s">
        <v>35</v>
      </c>
      <c r="DU9" s="714"/>
      <c r="DV9" s="357"/>
      <c r="DW9" s="716" t="s">
        <v>235</v>
      </c>
      <c r="DX9" s="679"/>
      <c r="DY9" s="679"/>
      <c r="DZ9" s="679"/>
      <c r="EA9" s="718"/>
      <c r="EB9" s="718"/>
      <c r="EC9" s="718"/>
      <c r="ED9" s="718"/>
      <c r="EE9" s="719"/>
      <c r="EF9" s="174"/>
    </row>
    <row r="10" spans="1:136" ht="12.75" customHeight="1">
      <c r="A10" s="680"/>
      <c r="B10" s="681"/>
      <c r="C10" s="681"/>
      <c r="D10" s="681"/>
      <c r="E10" s="688"/>
      <c r="F10" s="715"/>
      <c r="G10" s="357"/>
      <c r="H10" s="717"/>
      <c r="I10" s="681"/>
      <c r="J10" s="681"/>
      <c r="K10" s="681"/>
      <c r="L10" s="720"/>
      <c r="M10" s="720"/>
      <c r="N10" s="720"/>
      <c r="O10" s="720"/>
      <c r="P10" s="721"/>
      <c r="Q10" s="174"/>
      <c r="R10" s="680"/>
      <c r="S10" s="681"/>
      <c r="T10" s="681"/>
      <c r="U10" s="681"/>
      <c r="V10" s="688"/>
      <c r="W10" s="715"/>
      <c r="X10" s="357"/>
      <c r="Y10" s="717"/>
      <c r="Z10" s="681"/>
      <c r="AA10" s="681"/>
      <c r="AB10" s="681"/>
      <c r="AC10" s="720"/>
      <c r="AD10" s="720"/>
      <c r="AE10" s="720"/>
      <c r="AF10" s="720"/>
      <c r="AG10" s="721"/>
      <c r="AH10" s="174"/>
      <c r="AI10" s="680"/>
      <c r="AJ10" s="681"/>
      <c r="AK10" s="681"/>
      <c r="AL10" s="681"/>
      <c r="AM10" s="688"/>
      <c r="AN10" s="715"/>
      <c r="AO10" s="357"/>
      <c r="AP10" s="717"/>
      <c r="AQ10" s="681"/>
      <c r="AR10" s="681"/>
      <c r="AS10" s="681"/>
      <c r="AT10" s="720"/>
      <c r="AU10" s="720"/>
      <c r="AV10" s="720"/>
      <c r="AW10" s="720"/>
      <c r="AX10" s="721"/>
      <c r="AY10" s="174"/>
      <c r="AZ10" s="680"/>
      <c r="BA10" s="681"/>
      <c r="BB10" s="681"/>
      <c r="BC10" s="681"/>
      <c r="BD10" s="688"/>
      <c r="BE10" s="715"/>
      <c r="BF10" s="357"/>
      <c r="BG10" s="717"/>
      <c r="BH10" s="681"/>
      <c r="BI10" s="681"/>
      <c r="BJ10" s="681"/>
      <c r="BK10" s="720"/>
      <c r="BL10" s="720"/>
      <c r="BM10" s="720"/>
      <c r="BN10" s="720"/>
      <c r="BO10" s="721"/>
      <c r="BP10" s="174"/>
      <c r="BQ10" s="680"/>
      <c r="BR10" s="681"/>
      <c r="BS10" s="681"/>
      <c r="BT10" s="681"/>
      <c r="BU10" s="688"/>
      <c r="BV10" s="715"/>
      <c r="BW10" s="357"/>
      <c r="BX10" s="717"/>
      <c r="BY10" s="681"/>
      <c r="BZ10" s="681"/>
      <c r="CA10" s="681"/>
      <c r="CB10" s="720"/>
      <c r="CC10" s="720"/>
      <c r="CD10" s="720"/>
      <c r="CE10" s="720"/>
      <c r="CF10" s="721"/>
      <c r="CG10" s="174"/>
      <c r="CH10" s="680"/>
      <c r="CI10" s="681"/>
      <c r="CJ10" s="681"/>
      <c r="CK10" s="681"/>
      <c r="CL10" s="688"/>
      <c r="CM10" s="715"/>
      <c r="CN10" s="357"/>
      <c r="CO10" s="717"/>
      <c r="CP10" s="681"/>
      <c r="CQ10" s="681"/>
      <c r="CR10" s="681"/>
      <c r="CS10" s="720"/>
      <c r="CT10" s="720"/>
      <c r="CU10" s="720"/>
      <c r="CV10" s="720"/>
      <c r="CW10" s="721"/>
      <c r="CX10" s="174"/>
      <c r="CY10" s="680"/>
      <c r="CZ10" s="681"/>
      <c r="DA10" s="681"/>
      <c r="DB10" s="681"/>
      <c r="DC10" s="688"/>
      <c r="DD10" s="715"/>
      <c r="DE10" s="357"/>
      <c r="DF10" s="717"/>
      <c r="DG10" s="681"/>
      <c r="DH10" s="681"/>
      <c r="DI10" s="681"/>
      <c r="DJ10" s="720"/>
      <c r="DK10" s="720"/>
      <c r="DL10" s="720"/>
      <c r="DM10" s="720"/>
      <c r="DN10" s="721"/>
      <c r="DO10" s="174"/>
      <c r="DP10" s="680"/>
      <c r="DQ10" s="681"/>
      <c r="DR10" s="681"/>
      <c r="DS10" s="681"/>
      <c r="DT10" s="688"/>
      <c r="DU10" s="715"/>
      <c r="DV10" s="357"/>
      <c r="DW10" s="717"/>
      <c r="DX10" s="681"/>
      <c r="DY10" s="681"/>
      <c r="DZ10" s="681"/>
      <c r="EA10" s="720"/>
      <c r="EB10" s="720"/>
      <c r="EC10" s="720"/>
      <c r="ED10" s="720"/>
      <c r="EE10" s="721"/>
      <c r="EF10" s="174"/>
    </row>
    <row r="11" spans="1:136" ht="12.75" customHeight="1">
      <c r="A11" s="672" t="str">
        <f>IF(OR(E7="N/A",E9="N/A"),"Please explain why not applicable","" )</f>
        <v/>
      </c>
      <c r="B11" s="673"/>
      <c r="C11" s="673"/>
      <c r="D11" s="673"/>
      <c r="E11" s="673"/>
      <c r="F11" s="729"/>
      <c r="G11" s="357"/>
      <c r="H11" s="726" t="str">
        <f>IF(L7="Performed own test","Please add pictures of test piece below and bring video to technical inspection","" )</f>
        <v/>
      </c>
      <c r="I11" s="661"/>
      <c r="J11" s="661"/>
      <c r="K11" s="661"/>
      <c r="L11" s="661"/>
      <c r="M11" s="661"/>
      <c r="N11" s="661"/>
      <c r="O11" s="661"/>
      <c r="P11" s="662"/>
      <c r="Q11" s="352"/>
      <c r="R11" s="672" t="str">
        <f>IF(OR(V7="N/A",V9="N/A"),"Please explain why not applicable","" )</f>
        <v/>
      </c>
      <c r="S11" s="673"/>
      <c r="T11" s="673"/>
      <c r="U11" s="673"/>
      <c r="V11" s="673"/>
      <c r="W11" s="729"/>
      <c r="X11" s="357"/>
      <c r="Y11" s="726" t="str">
        <f>IF(AC7="Performed own test","Please add pictures of test piece below and bring video to technical inspection","" )</f>
        <v/>
      </c>
      <c r="Z11" s="661"/>
      <c r="AA11" s="661"/>
      <c r="AB11" s="661"/>
      <c r="AC11" s="661"/>
      <c r="AD11" s="661"/>
      <c r="AE11" s="661"/>
      <c r="AF11" s="661"/>
      <c r="AG11" s="662"/>
      <c r="AH11" s="174"/>
      <c r="AI11" s="672" t="str">
        <f>IF(OR(AM7="N/A",AM9="N/A"),"Please explain why not applicable","" )</f>
        <v/>
      </c>
      <c r="AJ11" s="673"/>
      <c r="AK11" s="673"/>
      <c r="AL11" s="673"/>
      <c r="AM11" s="673"/>
      <c r="AN11" s="729"/>
      <c r="AO11" s="357"/>
      <c r="AP11" s="726" t="str">
        <f>IF(AT7="Performed own test","Please add pictures of test piece below and bring video to technical inspection","" )</f>
        <v/>
      </c>
      <c r="AQ11" s="661"/>
      <c r="AR11" s="661"/>
      <c r="AS11" s="661"/>
      <c r="AT11" s="661"/>
      <c r="AU11" s="661"/>
      <c r="AV11" s="661"/>
      <c r="AW11" s="661"/>
      <c r="AX11" s="662"/>
      <c r="AY11" s="174"/>
      <c r="AZ11" s="672" t="str">
        <f>IF(OR(BD7="N/A",BD9="N/A"),"Please explain why not applicable","" )</f>
        <v/>
      </c>
      <c r="BA11" s="673"/>
      <c r="BB11" s="673"/>
      <c r="BC11" s="673"/>
      <c r="BD11" s="673"/>
      <c r="BE11" s="729"/>
      <c r="BF11" s="357"/>
      <c r="BG11" s="726" t="str">
        <f>IF(BK7="Performed own test","Please add pictures of test piece below and bring video to technical inspection","" )</f>
        <v/>
      </c>
      <c r="BH11" s="661"/>
      <c r="BI11" s="661"/>
      <c r="BJ11" s="661"/>
      <c r="BK11" s="661"/>
      <c r="BL11" s="661"/>
      <c r="BM11" s="661"/>
      <c r="BN11" s="661"/>
      <c r="BO11" s="662"/>
      <c r="BP11" s="174"/>
      <c r="BQ11" s="672" t="str">
        <f>IF(OR(BU7="N/A",BU9="N/A"),"Please explain why not applicable","" )</f>
        <v/>
      </c>
      <c r="BR11" s="673"/>
      <c r="BS11" s="673"/>
      <c r="BT11" s="673"/>
      <c r="BU11" s="673"/>
      <c r="BV11" s="729"/>
      <c r="BW11" s="357"/>
      <c r="BX11" s="726" t="str">
        <f>IF(CB7="Performed own test","Please add pictures of test piece below and bring video to technical inspection","" )</f>
        <v/>
      </c>
      <c r="BY11" s="661"/>
      <c r="BZ11" s="661"/>
      <c r="CA11" s="661"/>
      <c r="CB11" s="661"/>
      <c r="CC11" s="661"/>
      <c r="CD11" s="661"/>
      <c r="CE11" s="661"/>
      <c r="CF11" s="662"/>
      <c r="CG11" s="174"/>
      <c r="CH11" s="672" t="str">
        <f>IF(OR(CL7="N/A",CL9="N/A"),"Please explain why not applicable","" )</f>
        <v/>
      </c>
      <c r="CI11" s="673"/>
      <c r="CJ11" s="673"/>
      <c r="CK11" s="673"/>
      <c r="CL11" s="673"/>
      <c r="CM11" s="729"/>
      <c r="CN11" s="357"/>
      <c r="CO11" s="726" t="str">
        <f>IF(CS7="Performed own test","Please add pictures of test piece below and bring video to technical inspection","" )</f>
        <v/>
      </c>
      <c r="CP11" s="661"/>
      <c r="CQ11" s="661"/>
      <c r="CR11" s="661"/>
      <c r="CS11" s="661"/>
      <c r="CT11" s="661"/>
      <c r="CU11" s="661"/>
      <c r="CV11" s="661"/>
      <c r="CW11" s="662"/>
      <c r="CX11" s="174"/>
      <c r="CY11" s="672" t="str">
        <f>IF(OR(DC7="N/A",DC9="N/A"),"Please explain why not applicable","" )</f>
        <v/>
      </c>
      <c r="CZ11" s="673"/>
      <c r="DA11" s="673"/>
      <c r="DB11" s="673"/>
      <c r="DC11" s="673"/>
      <c r="DD11" s="729"/>
      <c r="DE11" s="357"/>
      <c r="DF11" s="726" t="str">
        <f>IF(DJ7="Performed own test","Please add pictures of test piece below and bring video to technical inspection","" )</f>
        <v/>
      </c>
      <c r="DG11" s="661"/>
      <c r="DH11" s="661"/>
      <c r="DI11" s="661"/>
      <c r="DJ11" s="661"/>
      <c r="DK11" s="661"/>
      <c r="DL11" s="661"/>
      <c r="DM11" s="661"/>
      <c r="DN11" s="662"/>
      <c r="DO11" s="174"/>
      <c r="DP11" s="672" t="str">
        <f>IF(OR(DT7="N/A",DT9="N/A"),"Please explain why not applicable","" )</f>
        <v/>
      </c>
      <c r="DQ11" s="673"/>
      <c r="DR11" s="673"/>
      <c r="DS11" s="673"/>
      <c r="DT11" s="673"/>
      <c r="DU11" s="729"/>
      <c r="DV11" s="357"/>
      <c r="DW11" s="726" t="str">
        <f>IF(EA7="Performed own test","Please add pictures of test piece below and bring video to technical inspection","" )</f>
        <v/>
      </c>
      <c r="DX11" s="661"/>
      <c r="DY11" s="661"/>
      <c r="DZ11" s="661"/>
      <c r="EA11" s="661"/>
      <c r="EB11" s="661"/>
      <c r="EC11" s="661"/>
      <c r="ED11" s="661"/>
      <c r="EE11" s="662"/>
      <c r="EF11" s="174"/>
    </row>
    <row r="12" spans="1:136">
      <c r="A12" s="675"/>
      <c r="B12" s="676"/>
      <c r="C12" s="676"/>
      <c r="D12" s="676"/>
      <c r="E12" s="676"/>
      <c r="F12" s="730"/>
      <c r="G12" s="358"/>
      <c r="H12" s="727"/>
      <c r="I12" s="664"/>
      <c r="J12" s="664"/>
      <c r="K12" s="664"/>
      <c r="L12" s="664"/>
      <c r="M12" s="664"/>
      <c r="N12" s="664"/>
      <c r="O12" s="664"/>
      <c r="P12" s="665"/>
      <c r="Q12" s="352"/>
      <c r="R12" s="675"/>
      <c r="S12" s="676"/>
      <c r="T12" s="676"/>
      <c r="U12" s="676"/>
      <c r="V12" s="676"/>
      <c r="W12" s="730"/>
      <c r="X12" s="358"/>
      <c r="Y12" s="727"/>
      <c r="Z12" s="664"/>
      <c r="AA12" s="664"/>
      <c r="AB12" s="664"/>
      <c r="AC12" s="664"/>
      <c r="AD12" s="664"/>
      <c r="AE12" s="664"/>
      <c r="AF12" s="664"/>
      <c r="AG12" s="665"/>
      <c r="AH12" s="174"/>
      <c r="AI12" s="675"/>
      <c r="AJ12" s="676"/>
      <c r="AK12" s="676"/>
      <c r="AL12" s="676"/>
      <c r="AM12" s="676"/>
      <c r="AN12" s="730"/>
      <c r="AO12" s="358"/>
      <c r="AP12" s="727"/>
      <c r="AQ12" s="664"/>
      <c r="AR12" s="664"/>
      <c r="AS12" s="664"/>
      <c r="AT12" s="664"/>
      <c r="AU12" s="664"/>
      <c r="AV12" s="664"/>
      <c r="AW12" s="664"/>
      <c r="AX12" s="665"/>
      <c r="AY12" s="174"/>
      <c r="AZ12" s="675"/>
      <c r="BA12" s="676"/>
      <c r="BB12" s="676"/>
      <c r="BC12" s="676"/>
      <c r="BD12" s="676"/>
      <c r="BE12" s="730"/>
      <c r="BF12" s="358"/>
      <c r="BG12" s="727"/>
      <c r="BH12" s="664"/>
      <c r="BI12" s="664"/>
      <c r="BJ12" s="664"/>
      <c r="BK12" s="664"/>
      <c r="BL12" s="664"/>
      <c r="BM12" s="664"/>
      <c r="BN12" s="664"/>
      <c r="BO12" s="665"/>
      <c r="BP12" s="174"/>
      <c r="BQ12" s="675"/>
      <c r="BR12" s="676"/>
      <c r="BS12" s="676"/>
      <c r="BT12" s="676"/>
      <c r="BU12" s="676"/>
      <c r="BV12" s="730"/>
      <c r="BW12" s="358"/>
      <c r="BX12" s="727"/>
      <c r="BY12" s="664"/>
      <c r="BZ12" s="664"/>
      <c r="CA12" s="664"/>
      <c r="CB12" s="664"/>
      <c r="CC12" s="664"/>
      <c r="CD12" s="664"/>
      <c r="CE12" s="664"/>
      <c r="CF12" s="665"/>
      <c r="CG12" s="174"/>
      <c r="CH12" s="675"/>
      <c r="CI12" s="676"/>
      <c r="CJ12" s="676"/>
      <c r="CK12" s="676"/>
      <c r="CL12" s="676"/>
      <c r="CM12" s="730"/>
      <c r="CN12" s="358"/>
      <c r="CO12" s="727"/>
      <c r="CP12" s="664"/>
      <c r="CQ12" s="664"/>
      <c r="CR12" s="664"/>
      <c r="CS12" s="664"/>
      <c r="CT12" s="664"/>
      <c r="CU12" s="664"/>
      <c r="CV12" s="664"/>
      <c r="CW12" s="665"/>
      <c r="CX12" s="174"/>
      <c r="CY12" s="675"/>
      <c r="CZ12" s="676"/>
      <c r="DA12" s="676"/>
      <c r="DB12" s="676"/>
      <c r="DC12" s="676"/>
      <c r="DD12" s="730"/>
      <c r="DE12" s="358"/>
      <c r="DF12" s="727"/>
      <c r="DG12" s="664"/>
      <c r="DH12" s="664"/>
      <c r="DI12" s="664"/>
      <c r="DJ12" s="664"/>
      <c r="DK12" s="664"/>
      <c r="DL12" s="664"/>
      <c r="DM12" s="664"/>
      <c r="DN12" s="665"/>
      <c r="DO12" s="174"/>
      <c r="DP12" s="675"/>
      <c r="DQ12" s="676"/>
      <c r="DR12" s="676"/>
      <c r="DS12" s="676"/>
      <c r="DT12" s="676"/>
      <c r="DU12" s="730"/>
      <c r="DV12" s="358"/>
      <c r="DW12" s="727"/>
      <c r="DX12" s="664"/>
      <c r="DY12" s="664"/>
      <c r="DZ12" s="664"/>
      <c r="EA12" s="664"/>
      <c r="EB12" s="664"/>
      <c r="EC12" s="664"/>
      <c r="ED12" s="664"/>
      <c r="EE12" s="665"/>
      <c r="EF12" s="174"/>
    </row>
    <row r="13" spans="1:136">
      <c r="A13" s="666" t="s">
        <v>233</v>
      </c>
      <c r="B13" s="667"/>
      <c r="C13" s="667"/>
      <c r="D13" s="667"/>
      <c r="E13" s="667"/>
      <c r="F13" s="667"/>
      <c r="G13" s="728"/>
      <c r="H13" s="667"/>
      <c r="I13" s="667"/>
      <c r="J13" s="667"/>
      <c r="K13" s="667"/>
      <c r="L13" s="667"/>
      <c r="M13" s="667"/>
      <c r="N13" s="667"/>
      <c r="O13" s="667"/>
      <c r="P13" s="668"/>
      <c r="Q13" s="174"/>
      <c r="R13" s="666" t="s">
        <v>233</v>
      </c>
      <c r="S13" s="667"/>
      <c r="T13" s="667"/>
      <c r="U13" s="667"/>
      <c r="V13" s="667"/>
      <c r="W13" s="667"/>
      <c r="X13" s="667"/>
      <c r="Y13" s="667"/>
      <c r="Z13" s="667"/>
      <c r="AA13" s="667"/>
      <c r="AB13" s="667"/>
      <c r="AC13" s="667"/>
      <c r="AD13" s="667"/>
      <c r="AE13" s="667"/>
      <c r="AF13" s="667"/>
      <c r="AG13" s="668"/>
      <c r="AH13" s="174"/>
      <c r="AI13" s="666" t="s">
        <v>233</v>
      </c>
      <c r="AJ13" s="667"/>
      <c r="AK13" s="667"/>
      <c r="AL13" s="667"/>
      <c r="AM13" s="667"/>
      <c r="AN13" s="667"/>
      <c r="AO13" s="667"/>
      <c r="AP13" s="667"/>
      <c r="AQ13" s="667"/>
      <c r="AR13" s="667"/>
      <c r="AS13" s="667"/>
      <c r="AT13" s="667"/>
      <c r="AU13" s="667"/>
      <c r="AV13" s="667"/>
      <c r="AW13" s="667"/>
      <c r="AX13" s="668"/>
      <c r="AY13" s="174"/>
      <c r="AZ13" s="666" t="s">
        <v>233</v>
      </c>
      <c r="BA13" s="667"/>
      <c r="BB13" s="667"/>
      <c r="BC13" s="667"/>
      <c r="BD13" s="667"/>
      <c r="BE13" s="667"/>
      <c r="BF13" s="667"/>
      <c r="BG13" s="667"/>
      <c r="BH13" s="667"/>
      <c r="BI13" s="667"/>
      <c r="BJ13" s="667"/>
      <c r="BK13" s="667"/>
      <c r="BL13" s="667"/>
      <c r="BM13" s="667"/>
      <c r="BN13" s="667"/>
      <c r="BO13" s="668"/>
      <c r="BP13" s="174"/>
      <c r="BQ13" s="666" t="s">
        <v>233</v>
      </c>
      <c r="BR13" s="667"/>
      <c r="BS13" s="667"/>
      <c r="BT13" s="667"/>
      <c r="BU13" s="667"/>
      <c r="BV13" s="667"/>
      <c r="BW13" s="667"/>
      <c r="BX13" s="667"/>
      <c r="BY13" s="667"/>
      <c r="BZ13" s="667"/>
      <c r="CA13" s="667"/>
      <c r="CB13" s="667"/>
      <c r="CC13" s="667"/>
      <c r="CD13" s="667"/>
      <c r="CE13" s="667"/>
      <c r="CF13" s="668"/>
      <c r="CG13" s="174"/>
      <c r="CH13" s="666" t="s">
        <v>233</v>
      </c>
      <c r="CI13" s="667"/>
      <c r="CJ13" s="667"/>
      <c r="CK13" s="667"/>
      <c r="CL13" s="667"/>
      <c r="CM13" s="667"/>
      <c r="CN13" s="667"/>
      <c r="CO13" s="667"/>
      <c r="CP13" s="667"/>
      <c r="CQ13" s="667"/>
      <c r="CR13" s="667"/>
      <c r="CS13" s="667"/>
      <c r="CT13" s="667"/>
      <c r="CU13" s="667"/>
      <c r="CV13" s="667"/>
      <c r="CW13" s="668"/>
      <c r="CX13" s="174"/>
      <c r="CY13" s="666" t="s">
        <v>233</v>
      </c>
      <c r="CZ13" s="667"/>
      <c r="DA13" s="667"/>
      <c r="DB13" s="667"/>
      <c r="DC13" s="667"/>
      <c r="DD13" s="667"/>
      <c r="DE13" s="667"/>
      <c r="DF13" s="667"/>
      <c r="DG13" s="667"/>
      <c r="DH13" s="667"/>
      <c r="DI13" s="667"/>
      <c r="DJ13" s="667"/>
      <c r="DK13" s="667"/>
      <c r="DL13" s="667"/>
      <c r="DM13" s="667"/>
      <c r="DN13" s="668"/>
      <c r="DO13" s="174"/>
      <c r="DP13" s="666" t="s">
        <v>233</v>
      </c>
      <c r="DQ13" s="667"/>
      <c r="DR13" s="667"/>
      <c r="DS13" s="667"/>
      <c r="DT13" s="667"/>
      <c r="DU13" s="667"/>
      <c r="DV13" s="667"/>
      <c r="DW13" s="667"/>
      <c r="DX13" s="667"/>
      <c r="DY13" s="667"/>
      <c r="DZ13" s="667"/>
      <c r="EA13" s="667"/>
      <c r="EB13" s="667"/>
      <c r="EC13" s="667"/>
      <c r="ED13" s="667"/>
      <c r="EE13" s="668"/>
      <c r="EF13" s="174"/>
    </row>
    <row r="14" spans="1:136">
      <c r="A14" s="669"/>
      <c r="B14" s="670"/>
      <c r="C14" s="670"/>
      <c r="D14" s="670"/>
      <c r="E14" s="670"/>
      <c r="F14" s="670"/>
      <c r="G14" s="670"/>
      <c r="H14" s="670"/>
      <c r="I14" s="670"/>
      <c r="J14" s="670"/>
      <c r="K14" s="670"/>
      <c r="L14" s="670"/>
      <c r="M14" s="670"/>
      <c r="N14" s="670"/>
      <c r="O14" s="670"/>
      <c r="P14" s="671"/>
      <c r="Q14" s="174"/>
      <c r="R14" s="669"/>
      <c r="S14" s="670"/>
      <c r="T14" s="670"/>
      <c r="U14" s="670"/>
      <c r="V14" s="670"/>
      <c r="W14" s="670"/>
      <c r="X14" s="670"/>
      <c r="Y14" s="670"/>
      <c r="Z14" s="670"/>
      <c r="AA14" s="670"/>
      <c r="AB14" s="670"/>
      <c r="AC14" s="670"/>
      <c r="AD14" s="670"/>
      <c r="AE14" s="670"/>
      <c r="AF14" s="670"/>
      <c r="AG14" s="671"/>
      <c r="AH14" s="174"/>
      <c r="AI14" s="669"/>
      <c r="AJ14" s="670"/>
      <c r="AK14" s="670"/>
      <c r="AL14" s="670"/>
      <c r="AM14" s="670"/>
      <c r="AN14" s="670"/>
      <c r="AO14" s="670"/>
      <c r="AP14" s="670"/>
      <c r="AQ14" s="670"/>
      <c r="AR14" s="670"/>
      <c r="AS14" s="670"/>
      <c r="AT14" s="670"/>
      <c r="AU14" s="670"/>
      <c r="AV14" s="670"/>
      <c r="AW14" s="670"/>
      <c r="AX14" s="671"/>
      <c r="AY14" s="174"/>
      <c r="AZ14" s="669"/>
      <c r="BA14" s="670"/>
      <c r="BB14" s="670"/>
      <c r="BC14" s="670"/>
      <c r="BD14" s="670"/>
      <c r="BE14" s="670"/>
      <c r="BF14" s="670"/>
      <c r="BG14" s="670"/>
      <c r="BH14" s="670"/>
      <c r="BI14" s="670"/>
      <c r="BJ14" s="670"/>
      <c r="BK14" s="670"/>
      <c r="BL14" s="670"/>
      <c r="BM14" s="670"/>
      <c r="BN14" s="670"/>
      <c r="BO14" s="671"/>
      <c r="BP14" s="174"/>
      <c r="BQ14" s="669"/>
      <c r="BR14" s="670"/>
      <c r="BS14" s="670"/>
      <c r="BT14" s="670"/>
      <c r="BU14" s="670"/>
      <c r="BV14" s="670"/>
      <c r="BW14" s="670"/>
      <c r="BX14" s="670"/>
      <c r="BY14" s="670"/>
      <c r="BZ14" s="670"/>
      <c r="CA14" s="670"/>
      <c r="CB14" s="670"/>
      <c r="CC14" s="670"/>
      <c r="CD14" s="670"/>
      <c r="CE14" s="670"/>
      <c r="CF14" s="671"/>
      <c r="CG14" s="174"/>
      <c r="CH14" s="669"/>
      <c r="CI14" s="670"/>
      <c r="CJ14" s="670"/>
      <c r="CK14" s="670"/>
      <c r="CL14" s="670"/>
      <c r="CM14" s="670"/>
      <c r="CN14" s="670"/>
      <c r="CO14" s="670"/>
      <c r="CP14" s="670"/>
      <c r="CQ14" s="670"/>
      <c r="CR14" s="670"/>
      <c r="CS14" s="670"/>
      <c r="CT14" s="670"/>
      <c r="CU14" s="670"/>
      <c r="CV14" s="670"/>
      <c r="CW14" s="671"/>
      <c r="CX14" s="174"/>
      <c r="CY14" s="669"/>
      <c r="CZ14" s="670"/>
      <c r="DA14" s="670"/>
      <c r="DB14" s="670"/>
      <c r="DC14" s="670"/>
      <c r="DD14" s="670"/>
      <c r="DE14" s="670"/>
      <c r="DF14" s="670"/>
      <c r="DG14" s="670"/>
      <c r="DH14" s="670"/>
      <c r="DI14" s="670"/>
      <c r="DJ14" s="670"/>
      <c r="DK14" s="670"/>
      <c r="DL14" s="670"/>
      <c r="DM14" s="670"/>
      <c r="DN14" s="671"/>
      <c r="DO14" s="174"/>
      <c r="DP14" s="669"/>
      <c r="DQ14" s="670"/>
      <c r="DR14" s="670"/>
      <c r="DS14" s="670"/>
      <c r="DT14" s="670"/>
      <c r="DU14" s="670"/>
      <c r="DV14" s="670"/>
      <c r="DW14" s="670"/>
      <c r="DX14" s="670"/>
      <c r="DY14" s="670"/>
      <c r="DZ14" s="670"/>
      <c r="EA14" s="670"/>
      <c r="EB14" s="670"/>
      <c r="EC14" s="670"/>
      <c r="ED14" s="670"/>
      <c r="EE14" s="671"/>
      <c r="EF14" s="174"/>
    </row>
    <row r="15" spans="1:136">
      <c r="A15" s="135"/>
      <c r="B15" s="81"/>
      <c r="C15" s="81"/>
      <c r="D15" s="81"/>
      <c r="E15" s="81"/>
      <c r="F15" s="81"/>
      <c r="G15" s="81"/>
      <c r="H15" s="81"/>
      <c r="I15" s="81"/>
      <c r="J15" s="81"/>
      <c r="K15" s="81"/>
      <c r="L15" s="81"/>
      <c r="M15" s="81"/>
      <c r="N15" s="81"/>
      <c r="O15" s="81"/>
      <c r="P15" s="136"/>
      <c r="Q15" s="174"/>
      <c r="R15" s="135"/>
      <c r="S15" s="81"/>
      <c r="T15" s="81"/>
      <c r="U15" s="81"/>
      <c r="V15" s="81"/>
      <c r="W15" s="81"/>
      <c r="X15" s="81"/>
      <c r="Y15" s="81"/>
      <c r="Z15" s="81"/>
      <c r="AA15" s="81"/>
      <c r="AB15" s="81"/>
      <c r="AC15" s="81"/>
      <c r="AD15" s="81"/>
      <c r="AE15" s="81"/>
      <c r="AF15" s="81"/>
      <c r="AG15" s="136"/>
      <c r="AH15" s="174"/>
      <c r="AI15" s="135"/>
      <c r="AJ15" s="81"/>
      <c r="AK15" s="81"/>
      <c r="AL15" s="81"/>
      <c r="AM15" s="81"/>
      <c r="AN15" s="81"/>
      <c r="AO15" s="81"/>
      <c r="AP15" s="81"/>
      <c r="AQ15" s="81"/>
      <c r="AR15" s="81"/>
      <c r="AS15" s="81"/>
      <c r="AT15" s="81"/>
      <c r="AU15" s="81"/>
      <c r="AV15" s="81"/>
      <c r="AW15" s="81"/>
      <c r="AX15" s="136"/>
      <c r="AY15" s="174"/>
      <c r="AZ15" s="135"/>
      <c r="BA15" s="81"/>
      <c r="BB15" s="81"/>
      <c r="BC15" s="81"/>
      <c r="BD15" s="81"/>
      <c r="BE15" s="81"/>
      <c r="BF15" s="81"/>
      <c r="BG15" s="81"/>
      <c r="BH15" s="81"/>
      <c r="BI15" s="81"/>
      <c r="BJ15" s="81"/>
      <c r="BK15" s="81"/>
      <c r="BL15" s="81"/>
      <c r="BM15" s="81"/>
      <c r="BN15" s="81"/>
      <c r="BO15" s="136"/>
      <c r="BP15" s="174"/>
      <c r="BQ15" s="135"/>
      <c r="BR15" s="81"/>
      <c r="BS15" s="81"/>
      <c r="BT15" s="81"/>
      <c r="BU15" s="81"/>
      <c r="BV15" s="81"/>
      <c r="BW15" s="81"/>
      <c r="BX15" s="81"/>
      <c r="BY15" s="81"/>
      <c r="BZ15" s="81"/>
      <c r="CA15" s="81"/>
      <c r="CB15" s="81"/>
      <c r="CC15" s="81"/>
      <c r="CD15" s="81"/>
      <c r="CE15" s="81"/>
      <c r="CF15" s="136"/>
      <c r="CG15" s="174"/>
      <c r="CH15" s="135"/>
      <c r="CI15" s="81"/>
      <c r="CJ15" s="81"/>
      <c r="CK15" s="81"/>
      <c r="CL15" s="81"/>
      <c r="CM15" s="81"/>
      <c r="CN15" s="81"/>
      <c r="CO15" s="81"/>
      <c r="CP15" s="81"/>
      <c r="CQ15" s="81"/>
      <c r="CR15" s="81"/>
      <c r="CS15" s="81"/>
      <c r="CT15" s="81"/>
      <c r="CU15" s="81"/>
      <c r="CV15" s="81"/>
      <c r="CW15" s="136"/>
      <c r="CX15" s="174"/>
      <c r="CY15" s="135"/>
      <c r="CZ15" s="81"/>
      <c r="DA15" s="81"/>
      <c r="DB15" s="81"/>
      <c r="DC15" s="81"/>
      <c r="DD15" s="81"/>
      <c r="DE15" s="81"/>
      <c r="DF15" s="81"/>
      <c r="DG15" s="81"/>
      <c r="DH15" s="81"/>
      <c r="DI15" s="81"/>
      <c r="DJ15" s="81"/>
      <c r="DK15" s="81"/>
      <c r="DL15" s="81"/>
      <c r="DM15" s="81"/>
      <c r="DN15" s="136"/>
      <c r="DO15" s="174"/>
      <c r="DP15" s="135"/>
      <c r="DQ15" s="81"/>
      <c r="DR15" s="81"/>
      <c r="DS15" s="81"/>
      <c r="DT15" s="81"/>
      <c r="DU15" s="81"/>
      <c r="DV15" s="81"/>
      <c r="DW15" s="81"/>
      <c r="DX15" s="81"/>
      <c r="DY15" s="81"/>
      <c r="DZ15" s="81"/>
      <c r="EA15" s="81"/>
      <c r="EB15" s="81"/>
      <c r="EC15" s="81"/>
      <c r="ED15" s="81"/>
      <c r="EE15" s="136"/>
      <c r="EF15" s="174"/>
    </row>
    <row r="16" spans="1:136">
      <c r="A16" s="135"/>
      <c r="B16" s="81"/>
      <c r="C16" s="81"/>
      <c r="D16" s="81"/>
      <c r="E16" s="81"/>
      <c r="F16" s="81"/>
      <c r="G16" s="81"/>
      <c r="H16" s="81"/>
      <c r="I16" s="81"/>
      <c r="J16" s="81"/>
      <c r="K16" s="81"/>
      <c r="L16" s="81"/>
      <c r="M16" s="81"/>
      <c r="N16" s="81"/>
      <c r="O16" s="81"/>
      <c r="P16" s="136"/>
      <c r="Q16" s="174"/>
      <c r="R16" s="135"/>
      <c r="S16" s="81"/>
      <c r="T16" s="81"/>
      <c r="U16" s="81"/>
      <c r="V16" s="81"/>
      <c r="W16" s="81"/>
      <c r="X16" s="81"/>
      <c r="Y16" s="81"/>
      <c r="Z16" s="81"/>
      <c r="AA16" s="81"/>
      <c r="AB16" s="81"/>
      <c r="AC16" s="81"/>
      <c r="AD16" s="81"/>
      <c r="AE16" s="81"/>
      <c r="AF16" s="81"/>
      <c r="AG16" s="136"/>
      <c r="AH16" s="174"/>
      <c r="AI16" s="135"/>
      <c r="AJ16" s="81"/>
      <c r="AK16" s="81"/>
      <c r="AL16" s="81"/>
      <c r="AM16" s="81"/>
      <c r="AN16" s="81"/>
      <c r="AO16" s="81"/>
      <c r="AP16" s="81"/>
      <c r="AQ16" s="81"/>
      <c r="AR16" s="81"/>
      <c r="AS16" s="81"/>
      <c r="AT16" s="81"/>
      <c r="AU16" s="81"/>
      <c r="AV16" s="81"/>
      <c r="AW16" s="81"/>
      <c r="AX16" s="136"/>
      <c r="AY16" s="174"/>
      <c r="AZ16" s="135"/>
      <c r="BA16" s="81"/>
      <c r="BB16" s="81"/>
      <c r="BC16" s="81"/>
      <c r="BD16" s="81"/>
      <c r="BE16" s="81"/>
      <c r="BF16" s="81"/>
      <c r="BG16" s="81"/>
      <c r="BH16" s="81"/>
      <c r="BI16" s="81"/>
      <c r="BJ16" s="81"/>
      <c r="BK16" s="81"/>
      <c r="BL16" s="81"/>
      <c r="BM16" s="81"/>
      <c r="BN16" s="81"/>
      <c r="BO16" s="136"/>
      <c r="BP16" s="174"/>
      <c r="BQ16" s="135"/>
      <c r="BR16" s="81"/>
      <c r="BS16" s="81"/>
      <c r="BT16" s="81"/>
      <c r="BU16" s="81"/>
      <c r="BV16" s="81"/>
      <c r="BW16" s="81"/>
      <c r="BX16" s="81"/>
      <c r="BY16" s="81"/>
      <c r="BZ16" s="81"/>
      <c r="CA16" s="81"/>
      <c r="CB16" s="81"/>
      <c r="CC16" s="81"/>
      <c r="CD16" s="81"/>
      <c r="CE16" s="81"/>
      <c r="CF16" s="136"/>
      <c r="CG16" s="174"/>
      <c r="CH16" s="135"/>
      <c r="CI16" s="81"/>
      <c r="CJ16" s="81"/>
      <c r="CK16" s="81"/>
      <c r="CL16" s="81"/>
      <c r="CM16" s="81"/>
      <c r="CN16" s="81"/>
      <c r="CO16" s="81"/>
      <c r="CP16" s="81"/>
      <c r="CQ16" s="81"/>
      <c r="CR16" s="81"/>
      <c r="CS16" s="81"/>
      <c r="CT16" s="81"/>
      <c r="CU16" s="81"/>
      <c r="CV16" s="81"/>
      <c r="CW16" s="136"/>
      <c r="CX16" s="174"/>
      <c r="CY16" s="135"/>
      <c r="CZ16" s="81"/>
      <c r="DA16" s="81"/>
      <c r="DB16" s="81"/>
      <c r="DC16" s="81"/>
      <c r="DD16" s="81"/>
      <c r="DE16" s="81"/>
      <c r="DF16" s="81"/>
      <c r="DG16" s="81"/>
      <c r="DH16" s="81"/>
      <c r="DI16" s="81"/>
      <c r="DJ16" s="81"/>
      <c r="DK16" s="81"/>
      <c r="DL16" s="81"/>
      <c r="DM16" s="81"/>
      <c r="DN16" s="136"/>
      <c r="DO16" s="174"/>
      <c r="DP16" s="135"/>
      <c r="DQ16" s="81"/>
      <c r="DR16" s="81"/>
      <c r="DS16" s="81"/>
      <c r="DT16" s="81"/>
      <c r="DU16" s="81"/>
      <c r="DV16" s="81"/>
      <c r="DW16" s="81"/>
      <c r="DX16" s="81"/>
      <c r="DY16" s="81"/>
      <c r="DZ16" s="81"/>
      <c r="EA16" s="81"/>
      <c r="EB16" s="81"/>
      <c r="EC16" s="81"/>
      <c r="ED16" s="81"/>
      <c r="EE16" s="136"/>
      <c r="EF16" s="174"/>
    </row>
    <row r="17" spans="1:136">
      <c r="A17" s="354" t="s">
        <v>389</v>
      </c>
      <c r="B17" s="81"/>
      <c r="C17" s="81"/>
      <c r="D17" s="81"/>
      <c r="E17" s="81"/>
      <c r="F17" s="81"/>
      <c r="G17" s="81"/>
      <c r="H17" s="81"/>
      <c r="I17" s="81"/>
      <c r="J17" s="81"/>
      <c r="K17" s="81"/>
      <c r="L17" s="81"/>
      <c r="M17" s="81"/>
      <c r="N17" s="81"/>
      <c r="O17" s="81"/>
      <c r="P17" s="136"/>
      <c r="Q17" s="174"/>
      <c r="R17" s="354" t="s">
        <v>389</v>
      </c>
      <c r="S17" s="81"/>
      <c r="T17" s="81"/>
      <c r="U17" s="81"/>
      <c r="V17" s="81"/>
      <c r="W17" s="81"/>
      <c r="X17" s="81"/>
      <c r="Y17" s="81"/>
      <c r="Z17" s="81"/>
      <c r="AA17" s="81"/>
      <c r="AB17" s="81"/>
      <c r="AC17" s="81"/>
      <c r="AD17" s="81"/>
      <c r="AE17" s="81"/>
      <c r="AF17" s="81"/>
      <c r="AG17" s="136"/>
      <c r="AH17" s="174"/>
      <c r="AI17" s="354" t="s">
        <v>389</v>
      </c>
      <c r="AJ17" s="81"/>
      <c r="AK17" s="81"/>
      <c r="AL17" s="81"/>
      <c r="AM17" s="81"/>
      <c r="AN17" s="81"/>
      <c r="AO17" s="81"/>
      <c r="AP17" s="81"/>
      <c r="AQ17" s="81"/>
      <c r="AR17" s="81"/>
      <c r="AS17" s="81"/>
      <c r="AT17" s="81"/>
      <c r="AU17" s="81"/>
      <c r="AV17" s="81"/>
      <c r="AW17" s="81"/>
      <c r="AX17" s="136"/>
      <c r="AY17" s="174"/>
      <c r="AZ17" s="354" t="s">
        <v>389</v>
      </c>
      <c r="BA17" s="81"/>
      <c r="BB17" s="81"/>
      <c r="BC17" s="81"/>
      <c r="BD17" s="81"/>
      <c r="BE17" s="81"/>
      <c r="BF17" s="81"/>
      <c r="BG17" s="81"/>
      <c r="BH17" s="81"/>
      <c r="BI17" s="81"/>
      <c r="BJ17" s="81"/>
      <c r="BK17" s="81"/>
      <c r="BL17" s="81"/>
      <c r="BM17" s="81"/>
      <c r="BN17" s="81"/>
      <c r="BO17" s="136"/>
      <c r="BP17" s="174"/>
      <c r="BQ17" s="354" t="s">
        <v>389</v>
      </c>
      <c r="BR17" s="81"/>
      <c r="BS17" s="81"/>
      <c r="BT17" s="81"/>
      <c r="BU17" s="81"/>
      <c r="BV17" s="81"/>
      <c r="BW17" s="81"/>
      <c r="BX17" s="81"/>
      <c r="BY17" s="81"/>
      <c r="BZ17" s="81"/>
      <c r="CA17" s="81"/>
      <c r="CB17" s="81"/>
      <c r="CC17" s="81"/>
      <c r="CD17" s="81"/>
      <c r="CE17" s="81"/>
      <c r="CF17" s="136"/>
      <c r="CG17" s="174"/>
      <c r="CH17" s="354" t="s">
        <v>389</v>
      </c>
      <c r="CI17" s="81"/>
      <c r="CJ17" s="81"/>
      <c r="CK17" s="81"/>
      <c r="CL17" s="81"/>
      <c r="CM17" s="81"/>
      <c r="CN17" s="81"/>
      <c r="CO17" s="81"/>
      <c r="CP17" s="81"/>
      <c r="CQ17" s="81"/>
      <c r="CR17" s="81"/>
      <c r="CS17" s="81"/>
      <c r="CT17" s="81"/>
      <c r="CU17" s="81"/>
      <c r="CV17" s="81"/>
      <c r="CW17" s="136"/>
      <c r="CX17" s="174"/>
      <c r="CY17" s="354" t="s">
        <v>389</v>
      </c>
      <c r="CZ17" s="81"/>
      <c r="DA17" s="81"/>
      <c r="DB17" s="81"/>
      <c r="DC17" s="81"/>
      <c r="DD17" s="81"/>
      <c r="DE17" s="81"/>
      <c r="DF17" s="81"/>
      <c r="DG17" s="81"/>
      <c r="DH17" s="81"/>
      <c r="DI17" s="81"/>
      <c r="DJ17" s="81"/>
      <c r="DK17" s="81"/>
      <c r="DL17" s="81"/>
      <c r="DM17" s="81"/>
      <c r="DN17" s="136"/>
      <c r="DO17" s="174"/>
      <c r="DP17" s="354" t="s">
        <v>389</v>
      </c>
      <c r="DQ17" s="81"/>
      <c r="DR17" s="81"/>
      <c r="DS17" s="81"/>
      <c r="DT17" s="81"/>
      <c r="DU17" s="81"/>
      <c r="DV17" s="81"/>
      <c r="DW17" s="81"/>
      <c r="DX17" s="81"/>
      <c r="DY17" s="81"/>
      <c r="DZ17" s="81"/>
      <c r="EA17" s="81"/>
      <c r="EB17" s="81"/>
      <c r="EC17" s="81"/>
      <c r="ED17" s="81"/>
      <c r="EE17" s="136"/>
      <c r="EF17" s="174"/>
    </row>
    <row r="18" spans="1:136">
      <c r="A18" s="354" t="s">
        <v>319</v>
      </c>
      <c r="B18" s="81"/>
      <c r="C18" s="81"/>
      <c r="D18" s="81"/>
      <c r="E18" s="81"/>
      <c r="F18" s="81"/>
      <c r="G18" s="81"/>
      <c r="H18" s="81"/>
      <c r="I18" s="81"/>
      <c r="J18" s="81"/>
      <c r="K18" s="81"/>
      <c r="L18" s="81"/>
      <c r="M18" s="81"/>
      <c r="N18" s="81"/>
      <c r="O18" s="81"/>
      <c r="P18" s="136"/>
      <c r="Q18" s="174"/>
      <c r="R18" s="354" t="s">
        <v>319</v>
      </c>
      <c r="S18" s="81"/>
      <c r="T18" s="81"/>
      <c r="U18" s="81"/>
      <c r="V18" s="81"/>
      <c r="W18" s="81"/>
      <c r="X18" s="81"/>
      <c r="Y18" s="81"/>
      <c r="Z18" s="81"/>
      <c r="AA18" s="81"/>
      <c r="AB18" s="81"/>
      <c r="AC18" s="81"/>
      <c r="AD18" s="81"/>
      <c r="AE18" s="81"/>
      <c r="AF18" s="81"/>
      <c r="AG18" s="136"/>
      <c r="AH18" s="174"/>
      <c r="AI18" s="354" t="s">
        <v>319</v>
      </c>
      <c r="AJ18" s="81"/>
      <c r="AK18" s="81"/>
      <c r="AL18" s="81"/>
      <c r="AM18" s="81"/>
      <c r="AN18" s="81"/>
      <c r="AO18" s="81"/>
      <c r="AP18" s="81"/>
      <c r="AQ18" s="81"/>
      <c r="AR18" s="81"/>
      <c r="AS18" s="81"/>
      <c r="AT18" s="81"/>
      <c r="AU18" s="81"/>
      <c r="AV18" s="81"/>
      <c r="AW18" s="81"/>
      <c r="AX18" s="136"/>
      <c r="AY18" s="174"/>
      <c r="AZ18" s="354" t="s">
        <v>319</v>
      </c>
      <c r="BA18" s="81"/>
      <c r="BB18" s="81"/>
      <c r="BC18" s="81"/>
      <c r="BD18" s="81"/>
      <c r="BE18" s="81"/>
      <c r="BF18" s="81"/>
      <c r="BG18" s="81"/>
      <c r="BH18" s="81"/>
      <c r="BI18" s="81"/>
      <c r="BJ18" s="81"/>
      <c r="BK18" s="81"/>
      <c r="BL18" s="81"/>
      <c r="BM18" s="81"/>
      <c r="BN18" s="81"/>
      <c r="BO18" s="136"/>
      <c r="BP18" s="174"/>
      <c r="BQ18" s="354" t="s">
        <v>319</v>
      </c>
      <c r="BR18" s="81"/>
      <c r="BS18" s="81"/>
      <c r="BT18" s="81"/>
      <c r="BU18" s="81"/>
      <c r="BV18" s="81"/>
      <c r="BW18" s="81"/>
      <c r="BX18" s="81"/>
      <c r="BY18" s="81"/>
      <c r="BZ18" s="81"/>
      <c r="CA18" s="81"/>
      <c r="CB18" s="81"/>
      <c r="CC18" s="81"/>
      <c r="CD18" s="81"/>
      <c r="CE18" s="81"/>
      <c r="CF18" s="136"/>
      <c r="CG18" s="174"/>
      <c r="CH18" s="354" t="s">
        <v>319</v>
      </c>
      <c r="CI18" s="81"/>
      <c r="CJ18" s="81"/>
      <c r="CK18" s="81"/>
      <c r="CL18" s="81"/>
      <c r="CM18" s="81"/>
      <c r="CN18" s="81"/>
      <c r="CO18" s="81"/>
      <c r="CP18" s="81"/>
      <c r="CQ18" s="81"/>
      <c r="CR18" s="81"/>
      <c r="CS18" s="81"/>
      <c r="CT18" s="81"/>
      <c r="CU18" s="81"/>
      <c r="CV18" s="81"/>
      <c r="CW18" s="136"/>
      <c r="CX18" s="174"/>
      <c r="CY18" s="354" t="s">
        <v>319</v>
      </c>
      <c r="CZ18" s="81"/>
      <c r="DA18" s="81"/>
      <c r="DB18" s="81"/>
      <c r="DC18" s="81"/>
      <c r="DD18" s="81"/>
      <c r="DE18" s="81"/>
      <c r="DF18" s="81"/>
      <c r="DG18" s="81"/>
      <c r="DH18" s="81"/>
      <c r="DI18" s="81"/>
      <c r="DJ18" s="81"/>
      <c r="DK18" s="81"/>
      <c r="DL18" s="81"/>
      <c r="DM18" s="81"/>
      <c r="DN18" s="136"/>
      <c r="DO18" s="174"/>
      <c r="DP18" s="354" t="s">
        <v>319</v>
      </c>
      <c r="DQ18" s="81"/>
      <c r="DR18" s="81"/>
      <c r="DS18" s="81"/>
      <c r="DT18" s="81"/>
      <c r="DU18" s="81"/>
      <c r="DV18" s="81"/>
      <c r="DW18" s="81"/>
      <c r="DX18" s="81"/>
      <c r="DY18" s="81"/>
      <c r="DZ18" s="81"/>
      <c r="EA18" s="81"/>
      <c r="EB18" s="81"/>
      <c r="EC18" s="81"/>
      <c r="ED18" s="81"/>
      <c r="EE18" s="136"/>
      <c r="EF18" s="174"/>
    </row>
    <row r="19" spans="1:136">
      <c r="A19" s="354" t="s">
        <v>390</v>
      </c>
      <c r="B19" s="81"/>
      <c r="C19" s="81"/>
      <c r="D19" s="81"/>
      <c r="E19" s="81"/>
      <c r="F19" s="81"/>
      <c r="G19" s="81"/>
      <c r="H19" s="81"/>
      <c r="I19" s="81"/>
      <c r="J19" s="81"/>
      <c r="K19" s="81"/>
      <c r="L19" s="81"/>
      <c r="M19" s="81"/>
      <c r="N19" s="81"/>
      <c r="O19" s="81"/>
      <c r="P19" s="136"/>
      <c r="Q19" s="174"/>
      <c r="R19" s="354" t="s">
        <v>390</v>
      </c>
      <c r="S19" s="81"/>
      <c r="T19" s="81"/>
      <c r="U19" s="81"/>
      <c r="V19" s="81"/>
      <c r="W19" s="81"/>
      <c r="X19" s="81"/>
      <c r="Y19" s="81"/>
      <c r="Z19" s="81"/>
      <c r="AA19" s="81"/>
      <c r="AB19" s="81"/>
      <c r="AC19" s="81"/>
      <c r="AD19" s="81"/>
      <c r="AE19" s="81"/>
      <c r="AF19" s="81"/>
      <c r="AG19" s="136"/>
      <c r="AH19" s="174"/>
      <c r="AI19" s="354" t="s">
        <v>390</v>
      </c>
      <c r="AJ19" s="81"/>
      <c r="AK19" s="81"/>
      <c r="AL19" s="81"/>
      <c r="AM19" s="81"/>
      <c r="AN19" s="81"/>
      <c r="AO19" s="81"/>
      <c r="AP19" s="81"/>
      <c r="AQ19" s="81"/>
      <c r="AR19" s="81"/>
      <c r="AS19" s="81"/>
      <c r="AT19" s="81"/>
      <c r="AU19" s="81"/>
      <c r="AV19" s="81"/>
      <c r="AW19" s="81"/>
      <c r="AX19" s="136"/>
      <c r="AY19" s="174"/>
      <c r="AZ19" s="354" t="s">
        <v>390</v>
      </c>
      <c r="BA19" s="81"/>
      <c r="BB19" s="81"/>
      <c r="BC19" s="81"/>
      <c r="BD19" s="81"/>
      <c r="BE19" s="81"/>
      <c r="BF19" s="81"/>
      <c r="BG19" s="81"/>
      <c r="BH19" s="81"/>
      <c r="BI19" s="81"/>
      <c r="BJ19" s="81"/>
      <c r="BK19" s="81"/>
      <c r="BL19" s="81"/>
      <c r="BM19" s="81"/>
      <c r="BN19" s="81"/>
      <c r="BO19" s="136"/>
      <c r="BP19" s="174"/>
      <c r="BQ19" s="354" t="s">
        <v>390</v>
      </c>
      <c r="BR19" s="81"/>
      <c r="BS19" s="81"/>
      <c r="BT19" s="81"/>
      <c r="BU19" s="81"/>
      <c r="BV19" s="81"/>
      <c r="BW19" s="81"/>
      <c r="BX19" s="81"/>
      <c r="BY19" s="81"/>
      <c r="BZ19" s="81"/>
      <c r="CA19" s="81"/>
      <c r="CB19" s="81"/>
      <c r="CC19" s="81"/>
      <c r="CD19" s="81"/>
      <c r="CE19" s="81"/>
      <c r="CF19" s="136"/>
      <c r="CG19" s="174"/>
      <c r="CH19" s="354" t="s">
        <v>390</v>
      </c>
      <c r="CI19" s="81"/>
      <c r="CJ19" s="81"/>
      <c r="CK19" s="81"/>
      <c r="CL19" s="81"/>
      <c r="CM19" s="81"/>
      <c r="CN19" s="81"/>
      <c r="CO19" s="81"/>
      <c r="CP19" s="81"/>
      <c r="CQ19" s="81"/>
      <c r="CR19" s="81"/>
      <c r="CS19" s="81"/>
      <c r="CT19" s="81"/>
      <c r="CU19" s="81"/>
      <c r="CV19" s="81"/>
      <c r="CW19" s="136"/>
      <c r="CX19" s="174"/>
      <c r="CY19" s="354" t="s">
        <v>390</v>
      </c>
      <c r="CZ19" s="81"/>
      <c r="DA19" s="81"/>
      <c r="DB19" s="81"/>
      <c r="DC19" s="81"/>
      <c r="DD19" s="81"/>
      <c r="DE19" s="81"/>
      <c r="DF19" s="81"/>
      <c r="DG19" s="81"/>
      <c r="DH19" s="81"/>
      <c r="DI19" s="81"/>
      <c r="DJ19" s="81"/>
      <c r="DK19" s="81"/>
      <c r="DL19" s="81"/>
      <c r="DM19" s="81"/>
      <c r="DN19" s="136"/>
      <c r="DO19" s="174"/>
      <c r="DP19" s="354" t="s">
        <v>390</v>
      </c>
      <c r="DQ19" s="81"/>
      <c r="DR19" s="81"/>
      <c r="DS19" s="81"/>
      <c r="DT19" s="81"/>
      <c r="DU19" s="81"/>
      <c r="DV19" s="81"/>
      <c r="DW19" s="81"/>
      <c r="DX19" s="81"/>
      <c r="DY19" s="81"/>
      <c r="DZ19" s="81"/>
      <c r="EA19" s="81"/>
      <c r="EB19" s="81"/>
      <c r="EC19" s="81"/>
      <c r="ED19" s="81"/>
      <c r="EE19" s="136"/>
      <c r="EF19" s="174"/>
    </row>
    <row r="20" spans="1:136">
      <c r="A20" s="135"/>
      <c r="B20" s="81"/>
      <c r="C20" s="81"/>
      <c r="D20" s="81"/>
      <c r="E20" s="81"/>
      <c r="F20" s="81"/>
      <c r="G20" s="81"/>
      <c r="H20" s="81"/>
      <c r="I20" s="81"/>
      <c r="J20" s="81"/>
      <c r="K20" s="81"/>
      <c r="L20" s="81"/>
      <c r="M20" s="81"/>
      <c r="N20" s="81"/>
      <c r="O20" s="81"/>
      <c r="P20" s="136"/>
      <c r="Q20" s="174"/>
      <c r="R20" s="135"/>
      <c r="S20" s="81"/>
      <c r="T20" s="81"/>
      <c r="U20" s="81"/>
      <c r="V20" s="81"/>
      <c r="W20" s="81"/>
      <c r="X20" s="81"/>
      <c r="Y20" s="81"/>
      <c r="Z20" s="81"/>
      <c r="AA20" s="81"/>
      <c r="AB20" s="81"/>
      <c r="AC20" s="81"/>
      <c r="AD20" s="81"/>
      <c r="AE20" s="81"/>
      <c r="AF20" s="81"/>
      <c r="AG20" s="136"/>
      <c r="AH20" s="174"/>
      <c r="AI20" s="135"/>
      <c r="AJ20" s="81"/>
      <c r="AK20" s="81"/>
      <c r="AL20" s="81"/>
      <c r="AM20" s="81"/>
      <c r="AN20" s="81"/>
      <c r="AO20" s="81"/>
      <c r="AP20" s="81"/>
      <c r="AQ20" s="81"/>
      <c r="AR20" s="81"/>
      <c r="AS20" s="81"/>
      <c r="AT20" s="81"/>
      <c r="AU20" s="81"/>
      <c r="AV20" s="81"/>
      <c r="AW20" s="81"/>
      <c r="AX20" s="136"/>
      <c r="AY20" s="174"/>
      <c r="AZ20" s="135"/>
      <c r="BA20" s="81"/>
      <c r="BB20" s="81"/>
      <c r="BC20" s="81"/>
      <c r="BD20" s="81"/>
      <c r="BE20" s="81"/>
      <c r="BF20" s="81"/>
      <c r="BG20" s="81"/>
      <c r="BH20" s="81"/>
      <c r="BI20" s="81"/>
      <c r="BJ20" s="81"/>
      <c r="BK20" s="81"/>
      <c r="BL20" s="81"/>
      <c r="BM20" s="81"/>
      <c r="BN20" s="81"/>
      <c r="BO20" s="136"/>
      <c r="BP20" s="174"/>
      <c r="BQ20" s="135"/>
      <c r="BR20" s="81"/>
      <c r="BS20" s="81"/>
      <c r="BT20" s="81"/>
      <c r="BU20" s="81"/>
      <c r="BV20" s="81"/>
      <c r="BW20" s="81"/>
      <c r="BX20" s="81"/>
      <c r="BY20" s="81"/>
      <c r="BZ20" s="81"/>
      <c r="CA20" s="81"/>
      <c r="CB20" s="81"/>
      <c r="CC20" s="81"/>
      <c r="CD20" s="81"/>
      <c r="CE20" s="81"/>
      <c r="CF20" s="136"/>
      <c r="CG20" s="174"/>
      <c r="CH20" s="135"/>
      <c r="CI20" s="81"/>
      <c r="CJ20" s="81"/>
      <c r="CK20" s="81"/>
      <c r="CL20" s="81"/>
      <c r="CM20" s="81"/>
      <c r="CN20" s="81"/>
      <c r="CO20" s="81"/>
      <c r="CP20" s="81"/>
      <c r="CQ20" s="81"/>
      <c r="CR20" s="81"/>
      <c r="CS20" s="81"/>
      <c r="CT20" s="81"/>
      <c r="CU20" s="81"/>
      <c r="CV20" s="81"/>
      <c r="CW20" s="136"/>
      <c r="CX20" s="174"/>
      <c r="CY20" s="135"/>
      <c r="CZ20" s="81"/>
      <c r="DA20" s="81"/>
      <c r="DB20" s="81"/>
      <c r="DC20" s="81"/>
      <c r="DD20" s="81"/>
      <c r="DE20" s="81"/>
      <c r="DF20" s="81"/>
      <c r="DG20" s="81"/>
      <c r="DH20" s="81"/>
      <c r="DI20" s="81"/>
      <c r="DJ20" s="81"/>
      <c r="DK20" s="81"/>
      <c r="DL20" s="81"/>
      <c r="DM20" s="81"/>
      <c r="DN20" s="136"/>
      <c r="DO20" s="174"/>
      <c r="DP20" s="135"/>
      <c r="DQ20" s="81"/>
      <c r="DR20" s="81"/>
      <c r="DS20" s="81"/>
      <c r="DT20" s="81"/>
      <c r="DU20" s="81"/>
      <c r="DV20" s="81"/>
      <c r="DW20" s="81"/>
      <c r="DX20" s="81"/>
      <c r="DY20" s="81"/>
      <c r="DZ20" s="81"/>
      <c r="EA20" s="81"/>
      <c r="EB20" s="81"/>
      <c r="EC20" s="81"/>
      <c r="ED20" s="81"/>
      <c r="EE20" s="136"/>
      <c r="EF20" s="174"/>
    </row>
    <row r="21" spans="1:136">
      <c r="A21" s="135"/>
      <c r="B21" s="81"/>
      <c r="C21" s="81"/>
      <c r="D21" s="81"/>
      <c r="E21" s="81"/>
      <c r="F21" s="81"/>
      <c r="G21" s="81"/>
      <c r="H21" s="81"/>
      <c r="I21" s="81"/>
      <c r="J21" s="81"/>
      <c r="K21" s="81"/>
      <c r="L21" s="81"/>
      <c r="M21" s="81"/>
      <c r="N21" s="81"/>
      <c r="O21" s="81"/>
      <c r="P21" s="136"/>
      <c r="Q21" s="174"/>
      <c r="R21" s="135"/>
      <c r="S21" s="81"/>
      <c r="T21" s="81"/>
      <c r="U21" s="81"/>
      <c r="V21" s="81"/>
      <c r="W21" s="81"/>
      <c r="X21" s="81"/>
      <c r="Y21" s="81"/>
      <c r="Z21" s="81"/>
      <c r="AA21" s="81"/>
      <c r="AB21" s="81"/>
      <c r="AC21" s="81"/>
      <c r="AD21" s="81"/>
      <c r="AE21" s="81"/>
      <c r="AF21" s="81"/>
      <c r="AG21" s="136"/>
      <c r="AH21" s="174"/>
      <c r="AI21" s="135"/>
      <c r="AJ21" s="81"/>
      <c r="AK21" s="81"/>
      <c r="AL21" s="81"/>
      <c r="AM21" s="81"/>
      <c r="AN21" s="81"/>
      <c r="AO21" s="81"/>
      <c r="AP21" s="81"/>
      <c r="AQ21" s="81"/>
      <c r="AR21" s="81"/>
      <c r="AS21" s="81"/>
      <c r="AT21" s="81"/>
      <c r="AU21" s="81"/>
      <c r="AV21" s="81"/>
      <c r="AW21" s="81"/>
      <c r="AX21" s="136"/>
      <c r="AY21" s="174"/>
      <c r="AZ21" s="135"/>
      <c r="BA21" s="81"/>
      <c r="BB21" s="81"/>
      <c r="BC21" s="81"/>
      <c r="BD21" s="81"/>
      <c r="BE21" s="81"/>
      <c r="BF21" s="81"/>
      <c r="BG21" s="81"/>
      <c r="BH21" s="81"/>
      <c r="BI21" s="81"/>
      <c r="BJ21" s="81"/>
      <c r="BK21" s="81"/>
      <c r="BL21" s="81"/>
      <c r="BM21" s="81"/>
      <c r="BN21" s="81"/>
      <c r="BO21" s="136"/>
      <c r="BP21" s="174"/>
      <c r="BQ21" s="135"/>
      <c r="BR21" s="81"/>
      <c r="BS21" s="81"/>
      <c r="BT21" s="81"/>
      <c r="BU21" s="81"/>
      <c r="BV21" s="81"/>
      <c r="BW21" s="81"/>
      <c r="BX21" s="81"/>
      <c r="BY21" s="81"/>
      <c r="BZ21" s="81"/>
      <c r="CA21" s="81"/>
      <c r="CB21" s="81"/>
      <c r="CC21" s="81"/>
      <c r="CD21" s="81"/>
      <c r="CE21" s="81"/>
      <c r="CF21" s="136"/>
      <c r="CG21" s="174"/>
      <c r="CH21" s="135"/>
      <c r="CI21" s="81"/>
      <c r="CJ21" s="81"/>
      <c r="CK21" s="81"/>
      <c r="CL21" s="81"/>
      <c r="CM21" s="81"/>
      <c r="CN21" s="81"/>
      <c r="CO21" s="81"/>
      <c r="CP21" s="81"/>
      <c r="CQ21" s="81"/>
      <c r="CR21" s="81"/>
      <c r="CS21" s="81"/>
      <c r="CT21" s="81"/>
      <c r="CU21" s="81"/>
      <c r="CV21" s="81"/>
      <c r="CW21" s="136"/>
      <c r="CX21" s="174"/>
      <c r="CY21" s="135"/>
      <c r="CZ21" s="81"/>
      <c r="DA21" s="81"/>
      <c r="DB21" s="81"/>
      <c r="DC21" s="81"/>
      <c r="DD21" s="81"/>
      <c r="DE21" s="81"/>
      <c r="DF21" s="81"/>
      <c r="DG21" s="81"/>
      <c r="DH21" s="81"/>
      <c r="DI21" s="81"/>
      <c r="DJ21" s="81"/>
      <c r="DK21" s="81"/>
      <c r="DL21" s="81"/>
      <c r="DM21" s="81"/>
      <c r="DN21" s="136"/>
      <c r="DO21" s="174"/>
      <c r="DP21" s="135"/>
      <c r="DQ21" s="81"/>
      <c r="DR21" s="81"/>
      <c r="DS21" s="81"/>
      <c r="DT21" s="81"/>
      <c r="DU21" s="81"/>
      <c r="DV21" s="81"/>
      <c r="DW21" s="81"/>
      <c r="DX21" s="81"/>
      <c r="DY21" s="81"/>
      <c r="DZ21" s="81"/>
      <c r="EA21" s="81"/>
      <c r="EB21" s="81"/>
      <c r="EC21" s="81"/>
      <c r="ED21" s="81"/>
      <c r="EE21" s="136"/>
      <c r="EF21" s="174"/>
    </row>
    <row r="22" spans="1:136">
      <c r="A22" s="135"/>
      <c r="B22" s="81"/>
      <c r="C22" s="81"/>
      <c r="D22" s="81"/>
      <c r="E22" s="81"/>
      <c r="F22" s="81"/>
      <c r="G22" s="81"/>
      <c r="H22" s="81"/>
      <c r="I22" s="81"/>
      <c r="J22" s="81"/>
      <c r="K22" s="81"/>
      <c r="L22" s="81"/>
      <c r="M22" s="81"/>
      <c r="N22" s="81"/>
      <c r="O22" s="81"/>
      <c r="P22" s="136"/>
      <c r="Q22" s="174"/>
      <c r="R22" s="135"/>
      <c r="S22" s="81"/>
      <c r="T22" s="81"/>
      <c r="U22" s="81"/>
      <c r="V22" s="81"/>
      <c r="W22" s="81"/>
      <c r="X22" s="81"/>
      <c r="Y22" s="81"/>
      <c r="Z22" s="81"/>
      <c r="AA22" s="81"/>
      <c r="AB22" s="81"/>
      <c r="AC22" s="81"/>
      <c r="AD22" s="81"/>
      <c r="AE22" s="81"/>
      <c r="AF22" s="81"/>
      <c r="AG22" s="136"/>
      <c r="AH22" s="174"/>
      <c r="AI22" s="135"/>
      <c r="AJ22" s="81"/>
      <c r="AK22" s="81"/>
      <c r="AL22" s="81"/>
      <c r="AM22" s="81"/>
      <c r="AN22" s="81"/>
      <c r="AO22" s="81"/>
      <c r="AP22" s="81"/>
      <c r="AQ22" s="81"/>
      <c r="AR22" s="81"/>
      <c r="AS22" s="81"/>
      <c r="AT22" s="81"/>
      <c r="AU22" s="81"/>
      <c r="AV22" s="81"/>
      <c r="AW22" s="81"/>
      <c r="AX22" s="136"/>
      <c r="AY22" s="174"/>
      <c r="AZ22" s="135"/>
      <c r="BA22" s="81"/>
      <c r="BB22" s="81"/>
      <c r="BC22" s="81"/>
      <c r="BD22" s="81"/>
      <c r="BE22" s="81"/>
      <c r="BF22" s="81"/>
      <c r="BG22" s="81"/>
      <c r="BH22" s="81"/>
      <c r="BI22" s="81"/>
      <c r="BJ22" s="81"/>
      <c r="BK22" s="81"/>
      <c r="BL22" s="81"/>
      <c r="BM22" s="81"/>
      <c r="BN22" s="81"/>
      <c r="BO22" s="136"/>
      <c r="BP22" s="174"/>
      <c r="BQ22" s="135"/>
      <c r="BR22" s="81"/>
      <c r="BS22" s="81"/>
      <c r="BT22" s="81"/>
      <c r="BU22" s="81"/>
      <c r="BV22" s="81"/>
      <c r="BW22" s="81"/>
      <c r="BX22" s="81"/>
      <c r="BY22" s="81"/>
      <c r="BZ22" s="81"/>
      <c r="CA22" s="81"/>
      <c r="CB22" s="81"/>
      <c r="CC22" s="81"/>
      <c r="CD22" s="81"/>
      <c r="CE22" s="81"/>
      <c r="CF22" s="136"/>
      <c r="CG22" s="174"/>
      <c r="CH22" s="135"/>
      <c r="CI22" s="81"/>
      <c r="CJ22" s="81"/>
      <c r="CK22" s="81"/>
      <c r="CL22" s="81"/>
      <c r="CM22" s="81"/>
      <c r="CN22" s="81"/>
      <c r="CO22" s="81"/>
      <c r="CP22" s="81"/>
      <c r="CQ22" s="81"/>
      <c r="CR22" s="81"/>
      <c r="CS22" s="81"/>
      <c r="CT22" s="81"/>
      <c r="CU22" s="81"/>
      <c r="CV22" s="81"/>
      <c r="CW22" s="136"/>
      <c r="CX22" s="174"/>
      <c r="CY22" s="135"/>
      <c r="CZ22" s="81"/>
      <c r="DA22" s="81"/>
      <c r="DB22" s="81"/>
      <c r="DC22" s="81"/>
      <c r="DD22" s="81"/>
      <c r="DE22" s="81"/>
      <c r="DF22" s="81"/>
      <c r="DG22" s="81"/>
      <c r="DH22" s="81"/>
      <c r="DI22" s="81"/>
      <c r="DJ22" s="81"/>
      <c r="DK22" s="81"/>
      <c r="DL22" s="81"/>
      <c r="DM22" s="81"/>
      <c r="DN22" s="136"/>
      <c r="DO22" s="174"/>
      <c r="DP22" s="135"/>
      <c r="DQ22" s="81"/>
      <c r="DR22" s="81"/>
      <c r="DS22" s="81"/>
      <c r="DT22" s="81"/>
      <c r="DU22" s="81"/>
      <c r="DV22" s="81"/>
      <c r="DW22" s="81"/>
      <c r="DX22" s="81"/>
      <c r="DY22" s="81"/>
      <c r="DZ22" s="81"/>
      <c r="EA22" s="81"/>
      <c r="EB22" s="81"/>
      <c r="EC22" s="81"/>
      <c r="ED22" s="81"/>
      <c r="EE22" s="136"/>
      <c r="EF22" s="174"/>
    </row>
    <row r="23" spans="1:136">
      <c r="A23" s="135"/>
      <c r="B23" s="81"/>
      <c r="C23" s="81"/>
      <c r="D23" s="81"/>
      <c r="E23" s="81"/>
      <c r="F23" s="81"/>
      <c r="G23" s="81"/>
      <c r="H23" s="81"/>
      <c r="I23" s="81"/>
      <c r="J23" s="81"/>
      <c r="K23" s="81"/>
      <c r="L23" s="81"/>
      <c r="M23" s="81"/>
      <c r="N23" s="81"/>
      <c r="O23" s="81"/>
      <c r="P23" s="136"/>
      <c r="Q23" s="174"/>
      <c r="R23" s="135"/>
      <c r="S23" s="81"/>
      <c r="T23" s="81"/>
      <c r="U23" s="81"/>
      <c r="V23" s="81"/>
      <c r="W23" s="81"/>
      <c r="X23" s="81"/>
      <c r="Y23" s="81"/>
      <c r="Z23" s="81"/>
      <c r="AA23" s="81"/>
      <c r="AB23" s="81"/>
      <c r="AC23" s="81"/>
      <c r="AD23" s="81"/>
      <c r="AE23" s="81"/>
      <c r="AF23" s="81"/>
      <c r="AG23" s="136"/>
      <c r="AH23" s="174"/>
      <c r="AI23" s="135"/>
      <c r="AJ23" s="81"/>
      <c r="AK23" s="81"/>
      <c r="AL23" s="81"/>
      <c r="AM23" s="81"/>
      <c r="AN23" s="81"/>
      <c r="AO23" s="81"/>
      <c r="AP23" s="81"/>
      <c r="AQ23" s="81"/>
      <c r="AR23" s="81"/>
      <c r="AS23" s="81"/>
      <c r="AT23" s="81"/>
      <c r="AU23" s="81"/>
      <c r="AV23" s="81"/>
      <c r="AW23" s="81"/>
      <c r="AX23" s="136"/>
      <c r="AY23" s="174"/>
      <c r="AZ23" s="135"/>
      <c r="BA23" s="81"/>
      <c r="BB23" s="81"/>
      <c r="BC23" s="81"/>
      <c r="BD23" s="81"/>
      <c r="BE23" s="81"/>
      <c r="BF23" s="81"/>
      <c r="BG23" s="81"/>
      <c r="BH23" s="81"/>
      <c r="BI23" s="81"/>
      <c r="BJ23" s="81"/>
      <c r="BK23" s="81"/>
      <c r="BL23" s="81"/>
      <c r="BM23" s="81"/>
      <c r="BN23" s="81"/>
      <c r="BO23" s="136"/>
      <c r="BP23" s="174"/>
      <c r="BQ23" s="135"/>
      <c r="BR23" s="81"/>
      <c r="BS23" s="81"/>
      <c r="BT23" s="81"/>
      <c r="BU23" s="81"/>
      <c r="BV23" s="81"/>
      <c r="BW23" s="81"/>
      <c r="BX23" s="81"/>
      <c r="BY23" s="81"/>
      <c r="BZ23" s="81"/>
      <c r="CA23" s="81"/>
      <c r="CB23" s="81"/>
      <c r="CC23" s="81"/>
      <c r="CD23" s="81"/>
      <c r="CE23" s="81"/>
      <c r="CF23" s="136"/>
      <c r="CG23" s="174"/>
      <c r="CH23" s="135"/>
      <c r="CI23" s="81"/>
      <c r="CJ23" s="81"/>
      <c r="CK23" s="81"/>
      <c r="CL23" s="81"/>
      <c r="CM23" s="81"/>
      <c r="CN23" s="81"/>
      <c r="CO23" s="81"/>
      <c r="CP23" s="81"/>
      <c r="CQ23" s="81"/>
      <c r="CR23" s="81"/>
      <c r="CS23" s="81"/>
      <c r="CT23" s="81"/>
      <c r="CU23" s="81"/>
      <c r="CV23" s="81"/>
      <c r="CW23" s="136"/>
      <c r="CX23" s="174"/>
      <c r="CY23" s="135"/>
      <c r="CZ23" s="81"/>
      <c r="DA23" s="81"/>
      <c r="DB23" s="81"/>
      <c r="DC23" s="81"/>
      <c r="DD23" s="81"/>
      <c r="DE23" s="81"/>
      <c r="DF23" s="81"/>
      <c r="DG23" s="81"/>
      <c r="DH23" s="81"/>
      <c r="DI23" s="81"/>
      <c r="DJ23" s="81"/>
      <c r="DK23" s="81"/>
      <c r="DL23" s="81"/>
      <c r="DM23" s="81"/>
      <c r="DN23" s="136"/>
      <c r="DO23" s="174"/>
      <c r="DP23" s="135"/>
      <c r="DQ23" s="81"/>
      <c r="DR23" s="81"/>
      <c r="DS23" s="81"/>
      <c r="DT23" s="81"/>
      <c r="DU23" s="81"/>
      <c r="DV23" s="81"/>
      <c r="DW23" s="81"/>
      <c r="DX23" s="81"/>
      <c r="DY23" s="81"/>
      <c r="DZ23" s="81"/>
      <c r="EA23" s="81"/>
      <c r="EB23" s="81"/>
      <c r="EC23" s="81"/>
      <c r="ED23" s="81"/>
      <c r="EE23" s="136"/>
      <c r="EF23" s="174"/>
    </row>
    <row r="24" spans="1:136">
      <c r="A24" s="135"/>
      <c r="B24" s="81"/>
      <c r="C24" s="81"/>
      <c r="D24" s="81"/>
      <c r="E24" s="81"/>
      <c r="F24" s="81"/>
      <c r="G24" s="81"/>
      <c r="H24" s="81"/>
      <c r="I24" s="81"/>
      <c r="J24" s="81"/>
      <c r="K24" s="81"/>
      <c r="L24" s="81"/>
      <c r="M24" s="81"/>
      <c r="N24" s="81"/>
      <c r="O24" s="81"/>
      <c r="P24" s="136"/>
      <c r="Q24" s="174"/>
      <c r="R24" s="135"/>
      <c r="S24" s="81"/>
      <c r="T24" s="81"/>
      <c r="U24" s="81"/>
      <c r="V24" s="81"/>
      <c r="W24" s="81"/>
      <c r="X24" s="81"/>
      <c r="Y24" s="81"/>
      <c r="Z24" s="81"/>
      <c r="AA24" s="81"/>
      <c r="AB24" s="81"/>
      <c r="AC24" s="81"/>
      <c r="AD24" s="81"/>
      <c r="AE24" s="81"/>
      <c r="AF24" s="81"/>
      <c r="AG24" s="136"/>
      <c r="AH24" s="174"/>
      <c r="AI24" s="135"/>
      <c r="AJ24" s="81"/>
      <c r="AK24" s="81"/>
      <c r="AL24" s="81"/>
      <c r="AM24" s="81"/>
      <c r="AN24" s="81"/>
      <c r="AO24" s="81"/>
      <c r="AP24" s="81"/>
      <c r="AQ24" s="81"/>
      <c r="AR24" s="81"/>
      <c r="AS24" s="81"/>
      <c r="AT24" s="81"/>
      <c r="AU24" s="81"/>
      <c r="AV24" s="81"/>
      <c r="AW24" s="81"/>
      <c r="AX24" s="136"/>
      <c r="AY24" s="174"/>
      <c r="AZ24" s="135"/>
      <c r="BA24" s="81"/>
      <c r="BB24" s="81"/>
      <c r="BC24" s="81"/>
      <c r="BD24" s="81"/>
      <c r="BE24" s="81"/>
      <c r="BF24" s="81"/>
      <c r="BG24" s="81"/>
      <c r="BH24" s="81"/>
      <c r="BI24" s="81"/>
      <c r="BJ24" s="81"/>
      <c r="BK24" s="81"/>
      <c r="BL24" s="81"/>
      <c r="BM24" s="81"/>
      <c r="BN24" s="81"/>
      <c r="BO24" s="136"/>
      <c r="BP24" s="174"/>
      <c r="BQ24" s="135"/>
      <c r="BR24" s="81"/>
      <c r="BS24" s="81"/>
      <c r="BT24" s="81"/>
      <c r="BU24" s="81"/>
      <c r="BV24" s="81"/>
      <c r="BW24" s="81"/>
      <c r="BX24" s="81"/>
      <c r="BY24" s="81"/>
      <c r="BZ24" s="81"/>
      <c r="CA24" s="81"/>
      <c r="CB24" s="81"/>
      <c r="CC24" s="81"/>
      <c r="CD24" s="81"/>
      <c r="CE24" s="81"/>
      <c r="CF24" s="136"/>
      <c r="CG24" s="174"/>
      <c r="CH24" s="135"/>
      <c r="CI24" s="81"/>
      <c r="CJ24" s="81"/>
      <c r="CK24" s="81"/>
      <c r="CL24" s="81"/>
      <c r="CM24" s="81"/>
      <c r="CN24" s="81"/>
      <c r="CO24" s="81"/>
      <c r="CP24" s="81"/>
      <c r="CQ24" s="81"/>
      <c r="CR24" s="81"/>
      <c r="CS24" s="81"/>
      <c r="CT24" s="81"/>
      <c r="CU24" s="81"/>
      <c r="CV24" s="81"/>
      <c r="CW24" s="136"/>
      <c r="CX24" s="174"/>
      <c r="CY24" s="135"/>
      <c r="CZ24" s="81"/>
      <c r="DA24" s="81"/>
      <c r="DB24" s="81"/>
      <c r="DC24" s="81"/>
      <c r="DD24" s="81"/>
      <c r="DE24" s="81"/>
      <c r="DF24" s="81"/>
      <c r="DG24" s="81"/>
      <c r="DH24" s="81"/>
      <c r="DI24" s="81"/>
      <c r="DJ24" s="81"/>
      <c r="DK24" s="81"/>
      <c r="DL24" s="81"/>
      <c r="DM24" s="81"/>
      <c r="DN24" s="136"/>
      <c r="DO24" s="174"/>
      <c r="DP24" s="135"/>
      <c r="DQ24" s="81"/>
      <c r="DR24" s="81"/>
      <c r="DS24" s="81"/>
      <c r="DT24" s="81"/>
      <c r="DU24" s="81"/>
      <c r="DV24" s="81"/>
      <c r="DW24" s="81"/>
      <c r="DX24" s="81"/>
      <c r="DY24" s="81"/>
      <c r="DZ24" s="81"/>
      <c r="EA24" s="81"/>
      <c r="EB24" s="81"/>
      <c r="EC24" s="81"/>
      <c r="ED24" s="81"/>
      <c r="EE24" s="136"/>
      <c r="EF24" s="174"/>
    </row>
    <row r="25" spans="1:136">
      <c r="A25" s="135"/>
      <c r="B25" s="81"/>
      <c r="C25" s="81"/>
      <c r="D25" s="81"/>
      <c r="E25" s="81"/>
      <c r="F25" s="81"/>
      <c r="G25" s="81"/>
      <c r="H25" s="81"/>
      <c r="I25" s="81"/>
      <c r="J25" s="81"/>
      <c r="K25" s="81"/>
      <c r="L25" s="81"/>
      <c r="M25" s="81"/>
      <c r="N25" s="81"/>
      <c r="O25" s="81"/>
      <c r="P25" s="136"/>
      <c r="Q25" s="174"/>
      <c r="R25" s="135"/>
      <c r="S25" s="81"/>
      <c r="T25" s="81"/>
      <c r="U25" s="81"/>
      <c r="V25" s="81"/>
      <c r="W25" s="81"/>
      <c r="X25" s="81"/>
      <c r="Y25" s="81"/>
      <c r="Z25" s="81"/>
      <c r="AA25" s="81"/>
      <c r="AB25" s="81"/>
      <c r="AC25" s="81"/>
      <c r="AD25" s="81"/>
      <c r="AE25" s="81"/>
      <c r="AF25" s="81"/>
      <c r="AG25" s="136"/>
      <c r="AH25" s="174"/>
      <c r="AI25" s="135"/>
      <c r="AJ25" s="81"/>
      <c r="AK25" s="81"/>
      <c r="AL25" s="81"/>
      <c r="AM25" s="81"/>
      <c r="AN25" s="81"/>
      <c r="AO25" s="81"/>
      <c r="AP25" s="81"/>
      <c r="AQ25" s="81"/>
      <c r="AR25" s="81"/>
      <c r="AS25" s="81"/>
      <c r="AT25" s="81"/>
      <c r="AU25" s="81"/>
      <c r="AV25" s="81"/>
      <c r="AW25" s="81"/>
      <c r="AX25" s="136"/>
      <c r="AY25" s="174"/>
      <c r="AZ25" s="135"/>
      <c r="BA25" s="81"/>
      <c r="BB25" s="81"/>
      <c r="BC25" s="81"/>
      <c r="BD25" s="81"/>
      <c r="BE25" s="81"/>
      <c r="BF25" s="81"/>
      <c r="BG25" s="81"/>
      <c r="BH25" s="81"/>
      <c r="BI25" s="81"/>
      <c r="BJ25" s="81"/>
      <c r="BK25" s="81"/>
      <c r="BL25" s="81"/>
      <c r="BM25" s="81"/>
      <c r="BN25" s="81"/>
      <c r="BO25" s="136"/>
      <c r="BP25" s="174"/>
      <c r="BQ25" s="135"/>
      <c r="BR25" s="81"/>
      <c r="BS25" s="81"/>
      <c r="BT25" s="81"/>
      <c r="BU25" s="81"/>
      <c r="BV25" s="81"/>
      <c r="BW25" s="81"/>
      <c r="BX25" s="81"/>
      <c r="BY25" s="81"/>
      <c r="BZ25" s="81"/>
      <c r="CA25" s="81"/>
      <c r="CB25" s="81"/>
      <c r="CC25" s="81"/>
      <c r="CD25" s="81"/>
      <c r="CE25" s="81"/>
      <c r="CF25" s="136"/>
      <c r="CG25" s="174"/>
      <c r="CH25" s="135"/>
      <c r="CI25" s="81"/>
      <c r="CJ25" s="81"/>
      <c r="CK25" s="81"/>
      <c r="CL25" s="81"/>
      <c r="CM25" s="81"/>
      <c r="CN25" s="81"/>
      <c r="CO25" s="81"/>
      <c r="CP25" s="81"/>
      <c r="CQ25" s="81"/>
      <c r="CR25" s="81"/>
      <c r="CS25" s="81"/>
      <c r="CT25" s="81"/>
      <c r="CU25" s="81"/>
      <c r="CV25" s="81"/>
      <c r="CW25" s="136"/>
      <c r="CX25" s="174"/>
      <c r="CY25" s="135"/>
      <c r="CZ25" s="81"/>
      <c r="DA25" s="81"/>
      <c r="DB25" s="81"/>
      <c r="DC25" s="81"/>
      <c r="DD25" s="81"/>
      <c r="DE25" s="81"/>
      <c r="DF25" s="81"/>
      <c r="DG25" s="81"/>
      <c r="DH25" s="81"/>
      <c r="DI25" s="81"/>
      <c r="DJ25" s="81"/>
      <c r="DK25" s="81"/>
      <c r="DL25" s="81"/>
      <c r="DM25" s="81"/>
      <c r="DN25" s="136"/>
      <c r="DO25" s="174"/>
      <c r="DP25" s="135"/>
      <c r="DQ25" s="81"/>
      <c r="DR25" s="81"/>
      <c r="DS25" s="81"/>
      <c r="DT25" s="81"/>
      <c r="DU25" s="81"/>
      <c r="DV25" s="81"/>
      <c r="DW25" s="81"/>
      <c r="DX25" s="81"/>
      <c r="DY25" s="81"/>
      <c r="DZ25" s="81"/>
      <c r="EA25" s="81"/>
      <c r="EB25" s="81"/>
      <c r="EC25" s="81"/>
      <c r="ED25" s="81"/>
      <c r="EE25" s="136"/>
      <c r="EF25" s="174"/>
    </row>
    <row r="26" spans="1:136">
      <c r="A26" s="135"/>
      <c r="B26" s="81"/>
      <c r="C26" s="81"/>
      <c r="D26" s="81"/>
      <c r="E26" s="81"/>
      <c r="F26" s="81"/>
      <c r="G26" s="81"/>
      <c r="H26" s="81"/>
      <c r="I26" s="81"/>
      <c r="J26" s="81"/>
      <c r="K26" s="81"/>
      <c r="L26" s="81"/>
      <c r="M26" s="81"/>
      <c r="N26" s="81"/>
      <c r="O26" s="81"/>
      <c r="P26" s="136"/>
      <c r="Q26" s="174"/>
      <c r="R26" s="135"/>
      <c r="S26" s="81"/>
      <c r="T26" s="81"/>
      <c r="U26" s="81"/>
      <c r="V26" s="81"/>
      <c r="W26" s="81"/>
      <c r="X26" s="81"/>
      <c r="Y26" s="81"/>
      <c r="Z26" s="81"/>
      <c r="AA26" s="81"/>
      <c r="AB26" s="81"/>
      <c r="AC26" s="81"/>
      <c r="AD26" s="81"/>
      <c r="AE26" s="81"/>
      <c r="AF26" s="81"/>
      <c r="AG26" s="136"/>
      <c r="AH26" s="174"/>
      <c r="AI26" s="135"/>
      <c r="AJ26" s="81"/>
      <c r="AK26" s="81"/>
      <c r="AL26" s="81"/>
      <c r="AM26" s="81"/>
      <c r="AN26" s="81"/>
      <c r="AO26" s="81"/>
      <c r="AP26" s="81"/>
      <c r="AQ26" s="81"/>
      <c r="AR26" s="81"/>
      <c r="AS26" s="81"/>
      <c r="AT26" s="81"/>
      <c r="AU26" s="81"/>
      <c r="AV26" s="81"/>
      <c r="AW26" s="81"/>
      <c r="AX26" s="136"/>
      <c r="AY26" s="174"/>
      <c r="AZ26" s="135"/>
      <c r="BA26" s="81"/>
      <c r="BB26" s="81"/>
      <c r="BC26" s="81"/>
      <c r="BD26" s="81"/>
      <c r="BE26" s="81"/>
      <c r="BF26" s="81"/>
      <c r="BG26" s="81"/>
      <c r="BH26" s="81"/>
      <c r="BI26" s="81"/>
      <c r="BJ26" s="81"/>
      <c r="BK26" s="81"/>
      <c r="BL26" s="81"/>
      <c r="BM26" s="81"/>
      <c r="BN26" s="81"/>
      <c r="BO26" s="136"/>
      <c r="BP26" s="174"/>
      <c r="BQ26" s="135"/>
      <c r="BR26" s="81"/>
      <c r="BS26" s="81"/>
      <c r="BT26" s="81"/>
      <c r="BU26" s="81"/>
      <c r="BV26" s="81"/>
      <c r="BW26" s="81"/>
      <c r="BX26" s="81"/>
      <c r="BY26" s="81"/>
      <c r="BZ26" s="81"/>
      <c r="CA26" s="81"/>
      <c r="CB26" s="81"/>
      <c r="CC26" s="81"/>
      <c r="CD26" s="81"/>
      <c r="CE26" s="81"/>
      <c r="CF26" s="136"/>
      <c r="CG26" s="174"/>
      <c r="CH26" s="135"/>
      <c r="CI26" s="81"/>
      <c r="CJ26" s="81"/>
      <c r="CK26" s="81"/>
      <c r="CL26" s="81"/>
      <c r="CM26" s="81"/>
      <c r="CN26" s="81"/>
      <c r="CO26" s="81"/>
      <c r="CP26" s="81"/>
      <c r="CQ26" s="81"/>
      <c r="CR26" s="81"/>
      <c r="CS26" s="81"/>
      <c r="CT26" s="81"/>
      <c r="CU26" s="81"/>
      <c r="CV26" s="81"/>
      <c r="CW26" s="136"/>
      <c r="CX26" s="174"/>
      <c r="CY26" s="135"/>
      <c r="CZ26" s="81"/>
      <c r="DA26" s="81"/>
      <c r="DB26" s="81"/>
      <c r="DC26" s="81"/>
      <c r="DD26" s="81"/>
      <c r="DE26" s="81"/>
      <c r="DF26" s="81"/>
      <c r="DG26" s="81"/>
      <c r="DH26" s="81"/>
      <c r="DI26" s="81"/>
      <c r="DJ26" s="81"/>
      <c r="DK26" s="81"/>
      <c r="DL26" s="81"/>
      <c r="DM26" s="81"/>
      <c r="DN26" s="136"/>
      <c r="DO26" s="174"/>
      <c r="DP26" s="135"/>
      <c r="DQ26" s="81"/>
      <c r="DR26" s="81"/>
      <c r="DS26" s="81"/>
      <c r="DT26" s="81"/>
      <c r="DU26" s="81"/>
      <c r="DV26" s="81"/>
      <c r="DW26" s="81"/>
      <c r="DX26" s="81"/>
      <c r="DY26" s="81"/>
      <c r="DZ26" s="81"/>
      <c r="EA26" s="81"/>
      <c r="EB26" s="81"/>
      <c r="EC26" s="81"/>
      <c r="ED26" s="81"/>
      <c r="EE26" s="136"/>
      <c r="EF26" s="174"/>
    </row>
    <row r="27" spans="1:136">
      <c r="A27" s="135"/>
      <c r="B27" s="81"/>
      <c r="C27" s="81"/>
      <c r="D27" s="81"/>
      <c r="E27" s="81"/>
      <c r="F27" s="81"/>
      <c r="G27" s="81"/>
      <c r="H27" s="81"/>
      <c r="I27" s="81"/>
      <c r="J27" s="81"/>
      <c r="K27" s="81"/>
      <c r="L27" s="81"/>
      <c r="M27" s="81"/>
      <c r="N27" s="81"/>
      <c r="O27" s="81"/>
      <c r="P27" s="136"/>
      <c r="Q27" s="174"/>
      <c r="R27" s="135"/>
      <c r="S27" s="81"/>
      <c r="T27" s="81"/>
      <c r="U27" s="81"/>
      <c r="V27" s="81"/>
      <c r="W27" s="81"/>
      <c r="X27" s="81"/>
      <c r="Y27" s="81"/>
      <c r="Z27" s="81"/>
      <c r="AA27" s="81"/>
      <c r="AB27" s="81"/>
      <c r="AC27" s="81"/>
      <c r="AD27" s="81"/>
      <c r="AE27" s="81"/>
      <c r="AF27" s="81"/>
      <c r="AG27" s="136"/>
      <c r="AH27" s="174"/>
      <c r="AI27" s="135"/>
      <c r="AJ27" s="81"/>
      <c r="AK27" s="81"/>
      <c r="AL27" s="81"/>
      <c r="AM27" s="81"/>
      <c r="AN27" s="81"/>
      <c r="AO27" s="81"/>
      <c r="AP27" s="81"/>
      <c r="AQ27" s="81"/>
      <c r="AR27" s="81"/>
      <c r="AS27" s="81"/>
      <c r="AT27" s="81"/>
      <c r="AU27" s="81"/>
      <c r="AV27" s="81"/>
      <c r="AW27" s="81"/>
      <c r="AX27" s="136"/>
      <c r="AY27" s="174"/>
      <c r="AZ27" s="135"/>
      <c r="BA27" s="81"/>
      <c r="BB27" s="81"/>
      <c r="BC27" s="81"/>
      <c r="BD27" s="81"/>
      <c r="BE27" s="81"/>
      <c r="BF27" s="81"/>
      <c r="BG27" s="81"/>
      <c r="BH27" s="81"/>
      <c r="BI27" s="81"/>
      <c r="BJ27" s="81"/>
      <c r="BK27" s="81"/>
      <c r="BL27" s="81"/>
      <c r="BM27" s="81"/>
      <c r="BN27" s="81"/>
      <c r="BO27" s="136"/>
      <c r="BP27" s="174"/>
      <c r="BQ27" s="135"/>
      <c r="BR27" s="81"/>
      <c r="BS27" s="81"/>
      <c r="BT27" s="81"/>
      <c r="BU27" s="81"/>
      <c r="BV27" s="81"/>
      <c r="BW27" s="81"/>
      <c r="BX27" s="81"/>
      <c r="BY27" s="81"/>
      <c r="BZ27" s="81"/>
      <c r="CA27" s="81"/>
      <c r="CB27" s="81"/>
      <c r="CC27" s="81"/>
      <c r="CD27" s="81"/>
      <c r="CE27" s="81"/>
      <c r="CF27" s="136"/>
      <c r="CG27" s="174"/>
      <c r="CH27" s="135"/>
      <c r="CI27" s="81"/>
      <c r="CJ27" s="81"/>
      <c r="CK27" s="81"/>
      <c r="CL27" s="81"/>
      <c r="CM27" s="81"/>
      <c r="CN27" s="81"/>
      <c r="CO27" s="81"/>
      <c r="CP27" s="81"/>
      <c r="CQ27" s="81"/>
      <c r="CR27" s="81"/>
      <c r="CS27" s="81"/>
      <c r="CT27" s="81"/>
      <c r="CU27" s="81"/>
      <c r="CV27" s="81"/>
      <c r="CW27" s="136"/>
      <c r="CX27" s="174"/>
      <c r="CY27" s="135"/>
      <c r="CZ27" s="81"/>
      <c r="DA27" s="81"/>
      <c r="DB27" s="81"/>
      <c r="DC27" s="81"/>
      <c r="DD27" s="81"/>
      <c r="DE27" s="81"/>
      <c r="DF27" s="81"/>
      <c r="DG27" s="81"/>
      <c r="DH27" s="81"/>
      <c r="DI27" s="81"/>
      <c r="DJ27" s="81"/>
      <c r="DK27" s="81"/>
      <c r="DL27" s="81"/>
      <c r="DM27" s="81"/>
      <c r="DN27" s="136"/>
      <c r="DO27" s="174"/>
      <c r="DP27" s="135"/>
      <c r="DQ27" s="81"/>
      <c r="DR27" s="81"/>
      <c r="DS27" s="81"/>
      <c r="DT27" s="81"/>
      <c r="DU27" s="81"/>
      <c r="DV27" s="81"/>
      <c r="DW27" s="81"/>
      <c r="DX27" s="81"/>
      <c r="DY27" s="81"/>
      <c r="DZ27" s="81"/>
      <c r="EA27" s="81"/>
      <c r="EB27" s="81"/>
      <c r="EC27" s="81"/>
      <c r="ED27" s="81"/>
      <c r="EE27" s="136"/>
      <c r="EF27" s="174"/>
    </row>
    <row r="28" spans="1:136">
      <c r="A28" s="135"/>
      <c r="B28" s="81"/>
      <c r="C28" s="81"/>
      <c r="D28" s="81"/>
      <c r="E28" s="81"/>
      <c r="F28" s="81"/>
      <c r="G28" s="81"/>
      <c r="H28" s="81"/>
      <c r="I28" s="81"/>
      <c r="J28" s="81"/>
      <c r="K28" s="81"/>
      <c r="L28" s="81"/>
      <c r="M28" s="81"/>
      <c r="N28" s="81"/>
      <c r="O28" s="81"/>
      <c r="P28" s="136"/>
      <c r="Q28" s="174"/>
      <c r="R28" s="135"/>
      <c r="S28" s="81"/>
      <c r="T28" s="81"/>
      <c r="U28" s="81"/>
      <c r="V28" s="81"/>
      <c r="W28" s="81"/>
      <c r="X28" s="81"/>
      <c r="Y28" s="81"/>
      <c r="Z28" s="81"/>
      <c r="AA28" s="81"/>
      <c r="AB28" s="81"/>
      <c r="AC28" s="81"/>
      <c r="AD28" s="81"/>
      <c r="AE28" s="81"/>
      <c r="AF28" s="81"/>
      <c r="AG28" s="136"/>
      <c r="AH28" s="174"/>
      <c r="AI28" s="135"/>
      <c r="AJ28" s="81"/>
      <c r="AK28" s="81"/>
      <c r="AL28" s="81"/>
      <c r="AM28" s="81"/>
      <c r="AN28" s="81"/>
      <c r="AO28" s="81"/>
      <c r="AP28" s="81"/>
      <c r="AQ28" s="81"/>
      <c r="AR28" s="81"/>
      <c r="AS28" s="81"/>
      <c r="AT28" s="81"/>
      <c r="AU28" s="81"/>
      <c r="AV28" s="81"/>
      <c r="AW28" s="81"/>
      <c r="AX28" s="136"/>
      <c r="AY28" s="174"/>
      <c r="AZ28" s="135"/>
      <c r="BA28" s="81"/>
      <c r="BB28" s="81"/>
      <c r="BC28" s="81"/>
      <c r="BD28" s="81"/>
      <c r="BE28" s="81"/>
      <c r="BF28" s="81"/>
      <c r="BG28" s="81"/>
      <c r="BH28" s="81"/>
      <c r="BI28" s="81"/>
      <c r="BJ28" s="81"/>
      <c r="BK28" s="81"/>
      <c r="BL28" s="81"/>
      <c r="BM28" s="81"/>
      <c r="BN28" s="81"/>
      <c r="BO28" s="136"/>
      <c r="BP28" s="174"/>
      <c r="BQ28" s="135"/>
      <c r="BR28" s="81"/>
      <c r="BS28" s="81"/>
      <c r="BT28" s="81"/>
      <c r="BU28" s="81"/>
      <c r="BV28" s="81"/>
      <c r="BW28" s="81"/>
      <c r="BX28" s="81"/>
      <c r="BY28" s="81"/>
      <c r="BZ28" s="81"/>
      <c r="CA28" s="81"/>
      <c r="CB28" s="81"/>
      <c r="CC28" s="81"/>
      <c r="CD28" s="81"/>
      <c r="CE28" s="81"/>
      <c r="CF28" s="136"/>
      <c r="CG28" s="174"/>
      <c r="CH28" s="135"/>
      <c r="CI28" s="81"/>
      <c r="CJ28" s="81"/>
      <c r="CK28" s="81"/>
      <c r="CL28" s="81"/>
      <c r="CM28" s="81"/>
      <c r="CN28" s="81"/>
      <c r="CO28" s="81"/>
      <c r="CP28" s="81"/>
      <c r="CQ28" s="81"/>
      <c r="CR28" s="81"/>
      <c r="CS28" s="81"/>
      <c r="CT28" s="81"/>
      <c r="CU28" s="81"/>
      <c r="CV28" s="81"/>
      <c r="CW28" s="136"/>
      <c r="CX28" s="174"/>
      <c r="CY28" s="135"/>
      <c r="CZ28" s="81"/>
      <c r="DA28" s="81"/>
      <c r="DB28" s="81"/>
      <c r="DC28" s="81"/>
      <c r="DD28" s="81"/>
      <c r="DE28" s="81"/>
      <c r="DF28" s="81"/>
      <c r="DG28" s="81"/>
      <c r="DH28" s="81"/>
      <c r="DI28" s="81"/>
      <c r="DJ28" s="81"/>
      <c r="DK28" s="81"/>
      <c r="DL28" s="81"/>
      <c r="DM28" s="81"/>
      <c r="DN28" s="136"/>
      <c r="DO28" s="174"/>
      <c r="DP28" s="135"/>
      <c r="DQ28" s="81"/>
      <c r="DR28" s="81"/>
      <c r="DS28" s="81"/>
      <c r="DT28" s="81"/>
      <c r="DU28" s="81"/>
      <c r="DV28" s="81"/>
      <c r="DW28" s="81"/>
      <c r="DX28" s="81"/>
      <c r="DY28" s="81"/>
      <c r="DZ28" s="81"/>
      <c r="EA28" s="81"/>
      <c r="EB28" s="81"/>
      <c r="EC28" s="81"/>
      <c r="ED28" s="81"/>
      <c r="EE28" s="136"/>
      <c r="EF28" s="174"/>
    </row>
    <row r="29" spans="1:136">
      <c r="A29" s="135"/>
      <c r="B29" s="81"/>
      <c r="C29" s="81"/>
      <c r="D29" s="81"/>
      <c r="E29" s="81"/>
      <c r="F29" s="81"/>
      <c r="G29" s="81"/>
      <c r="H29" s="81"/>
      <c r="I29" s="81"/>
      <c r="J29" s="81"/>
      <c r="K29" s="81"/>
      <c r="L29" s="81"/>
      <c r="M29" s="81"/>
      <c r="N29" s="81"/>
      <c r="O29" s="81"/>
      <c r="P29" s="136"/>
      <c r="Q29" s="174"/>
      <c r="R29" s="135"/>
      <c r="S29" s="81"/>
      <c r="T29" s="81"/>
      <c r="U29" s="81"/>
      <c r="V29" s="81"/>
      <c r="W29" s="81"/>
      <c r="X29" s="81"/>
      <c r="Y29" s="81"/>
      <c r="Z29" s="81"/>
      <c r="AA29" s="81"/>
      <c r="AB29" s="81"/>
      <c r="AC29" s="81"/>
      <c r="AD29" s="81"/>
      <c r="AE29" s="81"/>
      <c r="AF29" s="81"/>
      <c r="AG29" s="136"/>
      <c r="AH29" s="174"/>
      <c r="AI29" s="135"/>
      <c r="AJ29" s="81"/>
      <c r="AK29" s="81"/>
      <c r="AL29" s="81"/>
      <c r="AM29" s="81"/>
      <c r="AN29" s="81"/>
      <c r="AO29" s="81"/>
      <c r="AP29" s="81"/>
      <c r="AQ29" s="81"/>
      <c r="AR29" s="81"/>
      <c r="AS29" s="81"/>
      <c r="AT29" s="81"/>
      <c r="AU29" s="81"/>
      <c r="AV29" s="81"/>
      <c r="AW29" s="81"/>
      <c r="AX29" s="136"/>
      <c r="AY29" s="174"/>
      <c r="AZ29" s="135"/>
      <c r="BA29" s="81"/>
      <c r="BB29" s="81"/>
      <c r="BC29" s="81"/>
      <c r="BD29" s="81"/>
      <c r="BE29" s="81"/>
      <c r="BF29" s="81"/>
      <c r="BG29" s="81"/>
      <c r="BH29" s="81"/>
      <c r="BI29" s="81"/>
      <c r="BJ29" s="81"/>
      <c r="BK29" s="81"/>
      <c r="BL29" s="81"/>
      <c r="BM29" s="81"/>
      <c r="BN29" s="81"/>
      <c r="BO29" s="136"/>
      <c r="BP29" s="174"/>
      <c r="BQ29" s="135"/>
      <c r="BR29" s="81"/>
      <c r="BS29" s="81"/>
      <c r="BT29" s="81"/>
      <c r="BU29" s="81"/>
      <c r="BV29" s="81"/>
      <c r="BW29" s="81"/>
      <c r="BX29" s="81"/>
      <c r="BY29" s="81"/>
      <c r="BZ29" s="81"/>
      <c r="CA29" s="81"/>
      <c r="CB29" s="81"/>
      <c r="CC29" s="81"/>
      <c r="CD29" s="81"/>
      <c r="CE29" s="81"/>
      <c r="CF29" s="136"/>
      <c r="CG29" s="174"/>
      <c r="CH29" s="135"/>
      <c r="CI29" s="81"/>
      <c r="CJ29" s="81"/>
      <c r="CK29" s="81"/>
      <c r="CL29" s="81"/>
      <c r="CM29" s="81"/>
      <c r="CN29" s="81"/>
      <c r="CO29" s="81"/>
      <c r="CP29" s="81"/>
      <c r="CQ29" s="81"/>
      <c r="CR29" s="81"/>
      <c r="CS29" s="81"/>
      <c r="CT29" s="81"/>
      <c r="CU29" s="81"/>
      <c r="CV29" s="81"/>
      <c r="CW29" s="136"/>
      <c r="CX29" s="174"/>
      <c r="CY29" s="135"/>
      <c r="CZ29" s="81"/>
      <c r="DA29" s="81"/>
      <c r="DB29" s="81"/>
      <c r="DC29" s="81"/>
      <c r="DD29" s="81"/>
      <c r="DE29" s="81"/>
      <c r="DF29" s="81"/>
      <c r="DG29" s="81"/>
      <c r="DH29" s="81"/>
      <c r="DI29" s="81"/>
      <c r="DJ29" s="81"/>
      <c r="DK29" s="81"/>
      <c r="DL29" s="81"/>
      <c r="DM29" s="81"/>
      <c r="DN29" s="136"/>
      <c r="DO29" s="174"/>
      <c r="DP29" s="135"/>
      <c r="DQ29" s="81"/>
      <c r="DR29" s="81"/>
      <c r="DS29" s="81"/>
      <c r="DT29" s="81"/>
      <c r="DU29" s="81"/>
      <c r="DV29" s="81"/>
      <c r="DW29" s="81"/>
      <c r="DX29" s="81"/>
      <c r="DY29" s="81"/>
      <c r="DZ29" s="81"/>
      <c r="EA29" s="81"/>
      <c r="EB29" s="81"/>
      <c r="EC29" s="81"/>
      <c r="ED29" s="81"/>
      <c r="EE29" s="136"/>
      <c r="EF29" s="174"/>
    </row>
    <row r="30" spans="1:136">
      <c r="A30" s="135"/>
      <c r="B30" s="81"/>
      <c r="C30" s="81"/>
      <c r="D30" s="81"/>
      <c r="E30" s="81"/>
      <c r="F30" s="81"/>
      <c r="G30" s="81"/>
      <c r="H30" s="81"/>
      <c r="I30" s="81"/>
      <c r="J30" s="81"/>
      <c r="K30" s="81"/>
      <c r="L30" s="81"/>
      <c r="M30" s="81"/>
      <c r="N30" s="81"/>
      <c r="O30" s="81"/>
      <c r="P30" s="136"/>
      <c r="Q30" s="174"/>
      <c r="R30" s="135"/>
      <c r="S30" s="81"/>
      <c r="T30" s="81"/>
      <c r="U30" s="81"/>
      <c r="V30" s="81"/>
      <c r="W30" s="81"/>
      <c r="X30" s="81"/>
      <c r="Y30" s="81"/>
      <c r="Z30" s="81"/>
      <c r="AA30" s="81"/>
      <c r="AB30" s="81"/>
      <c r="AC30" s="81"/>
      <c r="AD30" s="81"/>
      <c r="AE30" s="81"/>
      <c r="AF30" s="81"/>
      <c r="AG30" s="136"/>
      <c r="AH30" s="174"/>
      <c r="AI30" s="135"/>
      <c r="AJ30" s="81"/>
      <c r="AK30" s="81"/>
      <c r="AL30" s="81"/>
      <c r="AM30" s="81"/>
      <c r="AN30" s="81"/>
      <c r="AO30" s="81"/>
      <c r="AP30" s="81"/>
      <c r="AQ30" s="81"/>
      <c r="AR30" s="81"/>
      <c r="AS30" s="81"/>
      <c r="AT30" s="81"/>
      <c r="AU30" s="81"/>
      <c r="AV30" s="81"/>
      <c r="AW30" s="81"/>
      <c r="AX30" s="136"/>
      <c r="AY30" s="174"/>
      <c r="AZ30" s="135"/>
      <c r="BA30" s="81"/>
      <c r="BB30" s="81"/>
      <c r="BC30" s="81"/>
      <c r="BD30" s="81"/>
      <c r="BE30" s="81"/>
      <c r="BF30" s="81"/>
      <c r="BG30" s="81"/>
      <c r="BH30" s="81"/>
      <c r="BI30" s="81"/>
      <c r="BJ30" s="81"/>
      <c r="BK30" s="81"/>
      <c r="BL30" s="81"/>
      <c r="BM30" s="81"/>
      <c r="BN30" s="81"/>
      <c r="BO30" s="136"/>
      <c r="BP30" s="174"/>
      <c r="BQ30" s="135"/>
      <c r="BR30" s="81"/>
      <c r="BS30" s="81"/>
      <c r="BT30" s="81"/>
      <c r="BU30" s="81"/>
      <c r="BV30" s="81"/>
      <c r="BW30" s="81"/>
      <c r="BX30" s="81"/>
      <c r="BY30" s="81"/>
      <c r="BZ30" s="81"/>
      <c r="CA30" s="81"/>
      <c r="CB30" s="81"/>
      <c r="CC30" s="81"/>
      <c r="CD30" s="81"/>
      <c r="CE30" s="81"/>
      <c r="CF30" s="136"/>
      <c r="CG30" s="174"/>
      <c r="CH30" s="135"/>
      <c r="CI30" s="81"/>
      <c r="CJ30" s="81"/>
      <c r="CK30" s="81"/>
      <c r="CL30" s="81"/>
      <c r="CM30" s="81"/>
      <c r="CN30" s="81"/>
      <c r="CO30" s="81"/>
      <c r="CP30" s="81"/>
      <c r="CQ30" s="81"/>
      <c r="CR30" s="81"/>
      <c r="CS30" s="81"/>
      <c r="CT30" s="81"/>
      <c r="CU30" s="81"/>
      <c r="CV30" s="81"/>
      <c r="CW30" s="136"/>
      <c r="CX30" s="174"/>
      <c r="CY30" s="135"/>
      <c r="CZ30" s="81"/>
      <c r="DA30" s="81"/>
      <c r="DB30" s="81"/>
      <c r="DC30" s="81"/>
      <c r="DD30" s="81"/>
      <c r="DE30" s="81"/>
      <c r="DF30" s="81"/>
      <c r="DG30" s="81"/>
      <c r="DH30" s="81"/>
      <c r="DI30" s="81"/>
      <c r="DJ30" s="81"/>
      <c r="DK30" s="81"/>
      <c r="DL30" s="81"/>
      <c r="DM30" s="81"/>
      <c r="DN30" s="136"/>
      <c r="DO30" s="174"/>
      <c r="DP30" s="135"/>
      <c r="DQ30" s="81"/>
      <c r="DR30" s="81"/>
      <c r="DS30" s="81"/>
      <c r="DT30" s="81"/>
      <c r="DU30" s="81"/>
      <c r="DV30" s="81"/>
      <c r="DW30" s="81"/>
      <c r="DX30" s="81"/>
      <c r="DY30" s="81"/>
      <c r="DZ30" s="81"/>
      <c r="EA30" s="81"/>
      <c r="EB30" s="81"/>
      <c r="EC30" s="81"/>
      <c r="ED30" s="81"/>
      <c r="EE30" s="136"/>
      <c r="EF30" s="174"/>
    </row>
    <row r="31" spans="1:136">
      <c r="A31" s="135"/>
      <c r="B31" s="81"/>
      <c r="C31" s="81"/>
      <c r="D31" s="81"/>
      <c r="E31" s="81"/>
      <c r="F31" s="81"/>
      <c r="G31" s="81"/>
      <c r="H31" s="81"/>
      <c r="I31" s="81"/>
      <c r="J31" s="81"/>
      <c r="K31" s="81"/>
      <c r="L31" s="81"/>
      <c r="M31" s="81"/>
      <c r="N31" s="81"/>
      <c r="O31" s="81"/>
      <c r="P31" s="136"/>
      <c r="Q31" s="174"/>
      <c r="R31" s="135"/>
      <c r="S31" s="81"/>
      <c r="T31" s="81"/>
      <c r="U31" s="81"/>
      <c r="V31" s="81"/>
      <c r="W31" s="81"/>
      <c r="X31" s="81"/>
      <c r="Y31" s="81"/>
      <c r="Z31" s="81"/>
      <c r="AA31" s="81"/>
      <c r="AB31" s="81"/>
      <c r="AC31" s="81"/>
      <c r="AD31" s="81"/>
      <c r="AE31" s="81"/>
      <c r="AF31" s="81"/>
      <c r="AG31" s="136"/>
      <c r="AH31" s="174"/>
      <c r="AI31" s="135"/>
      <c r="AJ31" s="81"/>
      <c r="AK31" s="81"/>
      <c r="AL31" s="81"/>
      <c r="AM31" s="81"/>
      <c r="AN31" s="81"/>
      <c r="AO31" s="81"/>
      <c r="AP31" s="81"/>
      <c r="AQ31" s="81"/>
      <c r="AR31" s="81"/>
      <c r="AS31" s="81"/>
      <c r="AT31" s="81"/>
      <c r="AU31" s="81"/>
      <c r="AV31" s="81"/>
      <c r="AW31" s="81"/>
      <c r="AX31" s="136"/>
      <c r="AY31" s="174"/>
      <c r="AZ31" s="135"/>
      <c r="BA31" s="81"/>
      <c r="BB31" s="81"/>
      <c r="BC31" s="81"/>
      <c r="BD31" s="81"/>
      <c r="BE31" s="81"/>
      <c r="BF31" s="81"/>
      <c r="BG31" s="81"/>
      <c r="BH31" s="81"/>
      <c r="BI31" s="81"/>
      <c r="BJ31" s="81"/>
      <c r="BK31" s="81"/>
      <c r="BL31" s="81"/>
      <c r="BM31" s="81"/>
      <c r="BN31" s="81"/>
      <c r="BO31" s="136"/>
      <c r="BP31" s="174"/>
      <c r="BQ31" s="135"/>
      <c r="BR31" s="81"/>
      <c r="BS31" s="81"/>
      <c r="BT31" s="81"/>
      <c r="BU31" s="81"/>
      <c r="BV31" s="81"/>
      <c r="BW31" s="81"/>
      <c r="BX31" s="81"/>
      <c r="BY31" s="81"/>
      <c r="BZ31" s="81"/>
      <c r="CA31" s="81"/>
      <c r="CB31" s="81"/>
      <c r="CC31" s="81"/>
      <c r="CD31" s="81"/>
      <c r="CE31" s="81"/>
      <c r="CF31" s="136"/>
      <c r="CG31" s="174"/>
      <c r="CH31" s="135"/>
      <c r="CI31" s="81"/>
      <c r="CJ31" s="81"/>
      <c r="CK31" s="81"/>
      <c r="CL31" s="81"/>
      <c r="CM31" s="81"/>
      <c r="CN31" s="81"/>
      <c r="CO31" s="81"/>
      <c r="CP31" s="81"/>
      <c r="CQ31" s="81"/>
      <c r="CR31" s="81"/>
      <c r="CS31" s="81"/>
      <c r="CT31" s="81"/>
      <c r="CU31" s="81"/>
      <c r="CV31" s="81"/>
      <c r="CW31" s="136"/>
      <c r="CX31" s="174"/>
      <c r="CY31" s="135"/>
      <c r="CZ31" s="81"/>
      <c r="DA31" s="81"/>
      <c r="DB31" s="81"/>
      <c r="DC31" s="81"/>
      <c r="DD31" s="81"/>
      <c r="DE31" s="81"/>
      <c r="DF31" s="81"/>
      <c r="DG31" s="81"/>
      <c r="DH31" s="81"/>
      <c r="DI31" s="81"/>
      <c r="DJ31" s="81"/>
      <c r="DK31" s="81"/>
      <c r="DL31" s="81"/>
      <c r="DM31" s="81"/>
      <c r="DN31" s="136"/>
      <c r="DO31" s="174"/>
      <c r="DP31" s="135"/>
      <c r="DQ31" s="81"/>
      <c r="DR31" s="81"/>
      <c r="DS31" s="81"/>
      <c r="DT31" s="81"/>
      <c r="DU31" s="81"/>
      <c r="DV31" s="81"/>
      <c r="DW31" s="81"/>
      <c r="DX31" s="81"/>
      <c r="DY31" s="81"/>
      <c r="DZ31" s="81"/>
      <c r="EA31" s="81"/>
      <c r="EB31" s="81"/>
      <c r="EC31" s="81"/>
      <c r="ED31" s="81"/>
      <c r="EE31" s="136"/>
      <c r="EF31" s="174"/>
    </row>
    <row r="32" spans="1:136">
      <c r="A32" s="135"/>
      <c r="B32" s="81"/>
      <c r="C32" s="81"/>
      <c r="D32" s="81"/>
      <c r="E32" s="81"/>
      <c r="F32" s="81"/>
      <c r="G32" s="81"/>
      <c r="H32" s="81"/>
      <c r="I32" s="81"/>
      <c r="J32" s="81"/>
      <c r="K32" s="81"/>
      <c r="L32" s="81"/>
      <c r="M32" s="81"/>
      <c r="N32" s="81"/>
      <c r="O32" s="81"/>
      <c r="P32" s="136"/>
      <c r="Q32" s="174"/>
      <c r="R32" s="135"/>
      <c r="S32" s="81"/>
      <c r="T32" s="81"/>
      <c r="U32" s="81"/>
      <c r="V32" s="81"/>
      <c r="W32" s="81"/>
      <c r="X32" s="81"/>
      <c r="Y32" s="81"/>
      <c r="Z32" s="81"/>
      <c r="AA32" s="81"/>
      <c r="AB32" s="81"/>
      <c r="AC32" s="81"/>
      <c r="AD32" s="81"/>
      <c r="AE32" s="81"/>
      <c r="AF32" s="81"/>
      <c r="AG32" s="136"/>
      <c r="AH32" s="174"/>
      <c r="AI32" s="135"/>
      <c r="AJ32" s="81"/>
      <c r="AK32" s="81"/>
      <c r="AL32" s="81"/>
      <c r="AM32" s="81"/>
      <c r="AN32" s="81"/>
      <c r="AO32" s="81"/>
      <c r="AP32" s="81"/>
      <c r="AQ32" s="81"/>
      <c r="AR32" s="81"/>
      <c r="AS32" s="81"/>
      <c r="AT32" s="81"/>
      <c r="AU32" s="81"/>
      <c r="AV32" s="81"/>
      <c r="AW32" s="81"/>
      <c r="AX32" s="136"/>
      <c r="AY32" s="174"/>
      <c r="AZ32" s="135"/>
      <c r="BA32" s="81"/>
      <c r="BB32" s="81"/>
      <c r="BC32" s="81"/>
      <c r="BD32" s="81"/>
      <c r="BE32" s="81"/>
      <c r="BF32" s="81"/>
      <c r="BG32" s="81"/>
      <c r="BH32" s="81"/>
      <c r="BI32" s="81"/>
      <c r="BJ32" s="81"/>
      <c r="BK32" s="81"/>
      <c r="BL32" s="81"/>
      <c r="BM32" s="81"/>
      <c r="BN32" s="81"/>
      <c r="BO32" s="136"/>
      <c r="BP32" s="174"/>
      <c r="BQ32" s="135"/>
      <c r="BR32" s="81"/>
      <c r="BS32" s="81"/>
      <c r="BT32" s="81"/>
      <c r="BU32" s="81"/>
      <c r="BV32" s="81"/>
      <c r="BW32" s="81"/>
      <c r="BX32" s="81"/>
      <c r="BY32" s="81"/>
      <c r="BZ32" s="81"/>
      <c r="CA32" s="81"/>
      <c r="CB32" s="81"/>
      <c r="CC32" s="81"/>
      <c r="CD32" s="81"/>
      <c r="CE32" s="81"/>
      <c r="CF32" s="136"/>
      <c r="CG32" s="174"/>
      <c r="CH32" s="135"/>
      <c r="CI32" s="81"/>
      <c r="CJ32" s="81"/>
      <c r="CK32" s="81"/>
      <c r="CL32" s="81"/>
      <c r="CM32" s="81"/>
      <c r="CN32" s="81"/>
      <c r="CO32" s="81"/>
      <c r="CP32" s="81"/>
      <c r="CQ32" s="81"/>
      <c r="CR32" s="81"/>
      <c r="CS32" s="81"/>
      <c r="CT32" s="81"/>
      <c r="CU32" s="81"/>
      <c r="CV32" s="81"/>
      <c r="CW32" s="136"/>
      <c r="CX32" s="174"/>
      <c r="CY32" s="135"/>
      <c r="CZ32" s="81"/>
      <c r="DA32" s="81"/>
      <c r="DB32" s="81"/>
      <c r="DC32" s="81"/>
      <c r="DD32" s="81"/>
      <c r="DE32" s="81"/>
      <c r="DF32" s="81"/>
      <c r="DG32" s="81"/>
      <c r="DH32" s="81"/>
      <c r="DI32" s="81"/>
      <c r="DJ32" s="81"/>
      <c r="DK32" s="81"/>
      <c r="DL32" s="81"/>
      <c r="DM32" s="81"/>
      <c r="DN32" s="136"/>
      <c r="DO32" s="174"/>
      <c r="DP32" s="135"/>
      <c r="DQ32" s="81"/>
      <c r="DR32" s="81"/>
      <c r="DS32" s="81"/>
      <c r="DT32" s="81"/>
      <c r="DU32" s="81"/>
      <c r="DV32" s="81"/>
      <c r="DW32" s="81"/>
      <c r="DX32" s="81"/>
      <c r="DY32" s="81"/>
      <c r="DZ32" s="81"/>
      <c r="EA32" s="81"/>
      <c r="EB32" s="81"/>
      <c r="EC32" s="81"/>
      <c r="ED32" s="81"/>
      <c r="EE32" s="136"/>
      <c r="EF32" s="174"/>
    </row>
    <row r="33" spans="1:136">
      <c r="A33" s="135"/>
      <c r="B33" s="81"/>
      <c r="C33" s="81"/>
      <c r="D33" s="81"/>
      <c r="E33" s="81"/>
      <c r="F33" s="81"/>
      <c r="G33" s="81"/>
      <c r="H33" s="81"/>
      <c r="I33" s="81"/>
      <c r="J33" s="81"/>
      <c r="K33" s="81"/>
      <c r="L33" s="81"/>
      <c r="M33" s="81"/>
      <c r="N33" s="81"/>
      <c r="O33" s="81"/>
      <c r="P33" s="136"/>
      <c r="Q33" s="174"/>
      <c r="R33" s="135"/>
      <c r="S33" s="81"/>
      <c r="T33" s="81"/>
      <c r="U33" s="81"/>
      <c r="V33" s="81"/>
      <c r="W33" s="81"/>
      <c r="X33" s="81"/>
      <c r="Y33" s="81"/>
      <c r="Z33" s="81"/>
      <c r="AA33" s="81"/>
      <c r="AB33" s="81"/>
      <c r="AC33" s="81"/>
      <c r="AD33" s="81"/>
      <c r="AE33" s="81"/>
      <c r="AF33" s="81"/>
      <c r="AG33" s="136"/>
      <c r="AH33" s="174"/>
      <c r="AI33" s="135"/>
      <c r="AJ33" s="81"/>
      <c r="AK33" s="81"/>
      <c r="AL33" s="81"/>
      <c r="AM33" s="81"/>
      <c r="AN33" s="81"/>
      <c r="AO33" s="81"/>
      <c r="AP33" s="81"/>
      <c r="AQ33" s="81"/>
      <c r="AR33" s="81"/>
      <c r="AS33" s="81"/>
      <c r="AT33" s="81"/>
      <c r="AU33" s="81"/>
      <c r="AV33" s="81"/>
      <c r="AW33" s="81"/>
      <c r="AX33" s="136"/>
      <c r="AY33" s="174"/>
      <c r="AZ33" s="135"/>
      <c r="BA33" s="81"/>
      <c r="BB33" s="81"/>
      <c r="BC33" s="81"/>
      <c r="BD33" s="81"/>
      <c r="BE33" s="81"/>
      <c r="BF33" s="81"/>
      <c r="BG33" s="81"/>
      <c r="BH33" s="81"/>
      <c r="BI33" s="81"/>
      <c r="BJ33" s="81"/>
      <c r="BK33" s="81"/>
      <c r="BL33" s="81"/>
      <c r="BM33" s="81"/>
      <c r="BN33" s="81"/>
      <c r="BO33" s="136"/>
      <c r="BP33" s="174"/>
      <c r="BQ33" s="135"/>
      <c r="BR33" s="81"/>
      <c r="BS33" s="81"/>
      <c r="BT33" s="81"/>
      <c r="BU33" s="81"/>
      <c r="BV33" s="81"/>
      <c r="BW33" s="81"/>
      <c r="BX33" s="81"/>
      <c r="BY33" s="81"/>
      <c r="BZ33" s="81"/>
      <c r="CA33" s="81"/>
      <c r="CB33" s="81"/>
      <c r="CC33" s="81"/>
      <c r="CD33" s="81"/>
      <c r="CE33" s="81"/>
      <c r="CF33" s="136"/>
      <c r="CG33" s="174"/>
      <c r="CH33" s="135"/>
      <c r="CI33" s="81"/>
      <c r="CJ33" s="81"/>
      <c r="CK33" s="81"/>
      <c r="CL33" s="81"/>
      <c r="CM33" s="81"/>
      <c r="CN33" s="81"/>
      <c r="CO33" s="81"/>
      <c r="CP33" s="81"/>
      <c r="CQ33" s="81"/>
      <c r="CR33" s="81"/>
      <c r="CS33" s="81"/>
      <c r="CT33" s="81"/>
      <c r="CU33" s="81"/>
      <c r="CV33" s="81"/>
      <c r="CW33" s="136"/>
      <c r="CX33" s="174"/>
      <c r="CY33" s="135"/>
      <c r="CZ33" s="81"/>
      <c r="DA33" s="81"/>
      <c r="DB33" s="81"/>
      <c r="DC33" s="81"/>
      <c r="DD33" s="81"/>
      <c r="DE33" s="81"/>
      <c r="DF33" s="81"/>
      <c r="DG33" s="81"/>
      <c r="DH33" s="81"/>
      <c r="DI33" s="81"/>
      <c r="DJ33" s="81"/>
      <c r="DK33" s="81"/>
      <c r="DL33" s="81"/>
      <c r="DM33" s="81"/>
      <c r="DN33" s="136"/>
      <c r="DO33" s="174"/>
      <c r="DP33" s="135"/>
      <c r="DQ33" s="81"/>
      <c r="DR33" s="81"/>
      <c r="DS33" s="81"/>
      <c r="DT33" s="81"/>
      <c r="DU33" s="81"/>
      <c r="DV33" s="81"/>
      <c r="DW33" s="81"/>
      <c r="DX33" s="81"/>
      <c r="DY33" s="81"/>
      <c r="DZ33" s="81"/>
      <c r="EA33" s="81"/>
      <c r="EB33" s="81"/>
      <c r="EC33" s="81"/>
      <c r="ED33" s="81"/>
      <c r="EE33" s="136"/>
      <c r="EF33" s="174"/>
    </row>
    <row r="34" spans="1:136">
      <c r="A34" s="135"/>
      <c r="B34" s="81"/>
      <c r="C34" s="81"/>
      <c r="D34" s="81"/>
      <c r="E34" s="81"/>
      <c r="F34" s="81"/>
      <c r="G34" s="81"/>
      <c r="H34" s="81"/>
      <c r="I34" s="81"/>
      <c r="J34" s="81"/>
      <c r="K34" s="81"/>
      <c r="L34" s="81"/>
      <c r="M34" s="81"/>
      <c r="N34" s="81"/>
      <c r="O34" s="81"/>
      <c r="P34" s="136"/>
      <c r="Q34" s="174"/>
      <c r="R34" s="135"/>
      <c r="S34" s="81"/>
      <c r="T34" s="81"/>
      <c r="U34" s="81"/>
      <c r="V34" s="81"/>
      <c r="W34" s="81"/>
      <c r="X34" s="81"/>
      <c r="Y34" s="81"/>
      <c r="Z34" s="81"/>
      <c r="AA34" s="81"/>
      <c r="AB34" s="81"/>
      <c r="AC34" s="81"/>
      <c r="AD34" s="81"/>
      <c r="AE34" s="81"/>
      <c r="AF34" s="81"/>
      <c r="AG34" s="136"/>
      <c r="AH34" s="174"/>
      <c r="AI34" s="135"/>
      <c r="AJ34" s="81"/>
      <c r="AK34" s="81"/>
      <c r="AL34" s="81"/>
      <c r="AM34" s="81"/>
      <c r="AN34" s="81"/>
      <c r="AO34" s="81"/>
      <c r="AP34" s="81"/>
      <c r="AQ34" s="81"/>
      <c r="AR34" s="81"/>
      <c r="AS34" s="81"/>
      <c r="AT34" s="81"/>
      <c r="AU34" s="81"/>
      <c r="AV34" s="81"/>
      <c r="AW34" s="81"/>
      <c r="AX34" s="136"/>
      <c r="AY34" s="174"/>
      <c r="AZ34" s="135"/>
      <c r="BA34" s="81"/>
      <c r="BB34" s="81"/>
      <c r="BC34" s="81"/>
      <c r="BD34" s="81"/>
      <c r="BE34" s="81"/>
      <c r="BF34" s="81"/>
      <c r="BG34" s="81"/>
      <c r="BH34" s="81"/>
      <c r="BI34" s="81"/>
      <c r="BJ34" s="81"/>
      <c r="BK34" s="81"/>
      <c r="BL34" s="81"/>
      <c r="BM34" s="81"/>
      <c r="BN34" s="81"/>
      <c r="BO34" s="136"/>
      <c r="BP34" s="174"/>
      <c r="BQ34" s="135"/>
      <c r="BR34" s="81"/>
      <c r="BS34" s="81"/>
      <c r="BT34" s="81"/>
      <c r="BU34" s="81"/>
      <c r="BV34" s="81"/>
      <c r="BW34" s="81"/>
      <c r="BX34" s="81"/>
      <c r="BY34" s="81"/>
      <c r="BZ34" s="81"/>
      <c r="CA34" s="81"/>
      <c r="CB34" s="81"/>
      <c r="CC34" s="81"/>
      <c r="CD34" s="81"/>
      <c r="CE34" s="81"/>
      <c r="CF34" s="136"/>
      <c r="CG34" s="174"/>
      <c r="CH34" s="135"/>
      <c r="CI34" s="81"/>
      <c r="CJ34" s="81"/>
      <c r="CK34" s="81"/>
      <c r="CL34" s="81"/>
      <c r="CM34" s="81"/>
      <c r="CN34" s="81"/>
      <c r="CO34" s="81"/>
      <c r="CP34" s="81"/>
      <c r="CQ34" s="81"/>
      <c r="CR34" s="81"/>
      <c r="CS34" s="81"/>
      <c r="CT34" s="81"/>
      <c r="CU34" s="81"/>
      <c r="CV34" s="81"/>
      <c r="CW34" s="136"/>
      <c r="CX34" s="174"/>
      <c r="CY34" s="135"/>
      <c r="CZ34" s="81"/>
      <c r="DA34" s="81"/>
      <c r="DB34" s="81"/>
      <c r="DC34" s="81"/>
      <c r="DD34" s="81"/>
      <c r="DE34" s="81"/>
      <c r="DF34" s="81"/>
      <c r="DG34" s="81"/>
      <c r="DH34" s="81"/>
      <c r="DI34" s="81"/>
      <c r="DJ34" s="81"/>
      <c r="DK34" s="81"/>
      <c r="DL34" s="81"/>
      <c r="DM34" s="81"/>
      <c r="DN34" s="136"/>
      <c r="DO34" s="174"/>
      <c r="DP34" s="135"/>
      <c r="DQ34" s="81"/>
      <c r="DR34" s="81"/>
      <c r="DS34" s="81"/>
      <c r="DT34" s="81"/>
      <c r="DU34" s="81"/>
      <c r="DV34" s="81"/>
      <c r="DW34" s="81"/>
      <c r="DX34" s="81"/>
      <c r="DY34" s="81"/>
      <c r="DZ34" s="81"/>
      <c r="EA34" s="81"/>
      <c r="EB34" s="81"/>
      <c r="EC34" s="81"/>
      <c r="ED34" s="81"/>
      <c r="EE34" s="136"/>
      <c r="EF34" s="174"/>
    </row>
    <row r="35" spans="1:136">
      <c r="A35" s="135"/>
      <c r="B35" s="81"/>
      <c r="C35" s="81"/>
      <c r="D35" s="81"/>
      <c r="E35" s="81"/>
      <c r="F35" s="81"/>
      <c r="G35" s="81"/>
      <c r="H35" s="81"/>
      <c r="I35" s="81"/>
      <c r="J35" s="81"/>
      <c r="K35" s="81"/>
      <c r="L35" s="81"/>
      <c r="M35" s="81"/>
      <c r="N35" s="81"/>
      <c r="O35" s="81"/>
      <c r="P35" s="136"/>
      <c r="Q35" s="174"/>
      <c r="R35" s="135"/>
      <c r="S35" s="81"/>
      <c r="T35" s="81"/>
      <c r="U35" s="81"/>
      <c r="V35" s="81"/>
      <c r="W35" s="81"/>
      <c r="X35" s="81"/>
      <c r="Y35" s="81"/>
      <c r="Z35" s="81"/>
      <c r="AA35" s="81"/>
      <c r="AB35" s="81"/>
      <c r="AC35" s="81"/>
      <c r="AD35" s="81"/>
      <c r="AE35" s="81"/>
      <c r="AF35" s="81"/>
      <c r="AG35" s="136"/>
      <c r="AH35" s="174"/>
      <c r="AI35" s="135"/>
      <c r="AJ35" s="81"/>
      <c r="AK35" s="81"/>
      <c r="AL35" s="81"/>
      <c r="AM35" s="81"/>
      <c r="AN35" s="81"/>
      <c r="AO35" s="81"/>
      <c r="AP35" s="81"/>
      <c r="AQ35" s="81"/>
      <c r="AR35" s="81"/>
      <c r="AS35" s="81"/>
      <c r="AT35" s="81"/>
      <c r="AU35" s="81"/>
      <c r="AV35" s="81"/>
      <c r="AW35" s="81"/>
      <c r="AX35" s="136"/>
      <c r="AY35" s="174"/>
      <c r="AZ35" s="135"/>
      <c r="BA35" s="81"/>
      <c r="BB35" s="81"/>
      <c r="BC35" s="81"/>
      <c r="BD35" s="81"/>
      <c r="BE35" s="81"/>
      <c r="BF35" s="81"/>
      <c r="BG35" s="81"/>
      <c r="BH35" s="81"/>
      <c r="BI35" s="81"/>
      <c r="BJ35" s="81"/>
      <c r="BK35" s="81"/>
      <c r="BL35" s="81"/>
      <c r="BM35" s="81"/>
      <c r="BN35" s="81"/>
      <c r="BO35" s="136"/>
      <c r="BP35" s="174"/>
      <c r="BQ35" s="135"/>
      <c r="BR35" s="81"/>
      <c r="BS35" s="81"/>
      <c r="BT35" s="81"/>
      <c r="BU35" s="81"/>
      <c r="BV35" s="81"/>
      <c r="BW35" s="81"/>
      <c r="BX35" s="81"/>
      <c r="BY35" s="81"/>
      <c r="BZ35" s="81"/>
      <c r="CA35" s="81"/>
      <c r="CB35" s="81"/>
      <c r="CC35" s="81"/>
      <c r="CD35" s="81"/>
      <c r="CE35" s="81"/>
      <c r="CF35" s="136"/>
      <c r="CG35" s="174"/>
      <c r="CH35" s="135"/>
      <c r="CI35" s="81"/>
      <c r="CJ35" s="81"/>
      <c r="CK35" s="81"/>
      <c r="CL35" s="81"/>
      <c r="CM35" s="81"/>
      <c r="CN35" s="81"/>
      <c r="CO35" s="81"/>
      <c r="CP35" s="81"/>
      <c r="CQ35" s="81"/>
      <c r="CR35" s="81"/>
      <c r="CS35" s="81"/>
      <c r="CT35" s="81"/>
      <c r="CU35" s="81"/>
      <c r="CV35" s="81"/>
      <c r="CW35" s="136"/>
      <c r="CX35" s="174"/>
      <c r="CY35" s="135"/>
      <c r="CZ35" s="81"/>
      <c r="DA35" s="81"/>
      <c r="DB35" s="81"/>
      <c r="DC35" s="81"/>
      <c r="DD35" s="81"/>
      <c r="DE35" s="81"/>
      <c r="DF35" s="81"/>
      <c r="DG35" s="81"/>
      <c r="DH35" s="81"/>
      <c r="DI35" s="81"/>
      <c r="DJ35" s="81"/>
      <c r="DK35" s="81"/>
      <c r="DL35" s="81"/>
      <c r="DM35" s="81"/>
      <c r="DN35" s="136"/>
      <c r="DO35" s="174"/>
      <c r="DP35" s="135"/>
      <c r="DQ35" s="81"/>
      <c r="DR35" s="81"/>
      <c r="DS35" s="81"/>
      <c r="DT35" s="81"/>
      <c r="DU35" s="81"/>
      <c r="DV35" s="81"/>
      <c r="DW35" s="81"/>
      <c r="DX35" s="81"/>
      <c r="DY35" s="81"/>
      <c r="DZ35" s="81"/>
      <c r="EA35" s="81"/>
      <c r="EB35" s="81"/>
      <c r="EC35" s="81"/>
      <c r="ED35" s="81"/>
      <c r="EE35" s="136"/>
      <c r="EF35" s="174"/>
    </row>
    <row r="36" spans="1:136">
      <c r="A36" s="135"/>
      <c r="B36" s="81"/>
      <c r="C36" s="81"/>
      <c r="D36" s="81"/>
      <c r="E36" s="81"/>
      <c r="F36" s="81"/>
      <c r="G36" s="81"/>
      <c r="H36" s="81"/>
      <c r="I36" s="81"/>
      <c r="J36" s="81"/>
      <c r="K36" s="81"/>
      <c r="L36" s="81"/>
      <c r="M36" s="81"/>
      <c r="N36" s="81"/>
      <c r="O36" s="81"/>
      <c r="P36" s="136"/>
      <c r="Q36" s="174"/>
      <c r="R36" s="135"/>
      <c r="S36" s="81"/>
      <c r="T36" s="81"/>
      <c r="U36" s="81"/>
      <c r="V36" s="81"/>
      <c r="W36" s="81"/>
      <c r="X36" s="81"/>
      <c r="Y36" s="81"/>
      <c r="Z36" s="81"/>
      <c r="AA36" s="81"/>
      <c r="AB36" s="81"/>
      <c r="AC36" s="81"/>
      <c r="AD36" s="81"/>
      <c r="AE36" s="81"/>
      <c r="AF36" s="81"/>
      <c r="AG36" s="136"/>
      <c r="AH36" s="174"/>
      <c r="AI36" s="135"/>
      <c r="AJ36" s="81"/>
      <c r="AK36" s="81"/>
      <c r="AL36" s="81"/>
      <c r="AM36" s="81"/>
      <c r="AN36" s="81"/>
      <c r="AO36" s="81"/>
      <c r="AP36" s="81"/>
      <c r="AQ36" s="81"/>
      <c r="AR36" s="81"/>
      <c r="AS36" s="81"/>
      <c r="AT36" s="81"/>
      <c r="AU36" s="81"/>
      <c r="AV36" s="81"/>
      <c r="AW36" s="81"/>
      <c r="AX36" s="136"/>
      <c r="AY36" s="174"/>
      <c r="AZ36" s="135"/>
      <c r="BA36" s="81"/>
      <c r="BB36" s="81"/>
      <c r="BC36" s="81"/>
      <c r="BD36" s="81"/>
      <c r="BE36" s="81"/>
      <c r="BF36" s="81"/>
      <c r="BG36" s="81"/>
      <c r="BH36" s="81"/>
      <c r="BI36" s="81"/>
      <c r="BJ36" s="81"/>
      <c r="BK36" s="81"/>
      <c r="BL36" s="81"/>
      <c r="BM36" s="81"/>
      <c r="BN36" s="81"/>
      <c r="BO36" s="136"/>
      <c r="BP36" s="174"/>
      <c r="BQ36" s="135"/>
      <c r="BR36" s="81"/>
      <c r="BS36" s="81"/>
      <c r="BT36" s="81"/>
      <c r="BU36" s="81"/>
      <c r="BV36" s="81"/>
      <c r="BW36" s="81"/>
      <c r="BX36" s="81"/>
      <c r="BY36" s="81"/>
      <c r="BZ36" s="81"/>
      <c r="CA36" s="81"/>
      <c r="CB36" s="81"/>
      <c r="CC36" s="81"/>
      <c r="CD36" s="81"/>
      <c r="CE36" s="81"/>
      <c r="CF36" s="136"/>
      <c r="CG36" s="174"/>
      <c r="CH36" s="135"/>
      <c r="CI36" s="81"/>
      <c r="CJ36" s="81"/>
      <c r="CK36" s="81"/>
      <c r="CL36" s="81"/>
      <c r="CM36" s="81"/>
      <c r="CN36" s="81"/>
      <c r="CO36" s="81"/>
      <c r="CP36" s="81"/>
      <c r="CQ36" s="81"/>
      <c r="CR36" s="81"/>
      <c r="CS36" s="81"/>
      <c r="CT36" s="81"/>
      <c r="CU36" s="81"/>
      <c r="CV36" s="81"/>
      <c r="CW36" s="136"/>
      <c r="CX36" s="174"/>
      <c r="CY36" s="135"/>
      <c r="CZ36" s="81"/>
      <c r="DA36" s="81"/>
      <c r="DB36" s="81"/>
      <c r="DC36" s="81"/>
      <c r="DD36" s="81"/>
      <c r="DE36" s="81"/>
      <c r="DF36" s="81"/>
      <c r="DG36" s="81"/>
      <c r="DH36" s="81"/>
      <c r="DI36" s="81"/>
      <c r="DJ36" s="81"/>
      <c r="DK36" s="81"/>
      <c r="DL36" s="81"/>
      <c r="DM36" s="81"/>
      <c r="DN36" s="136"/>
      <c r="DO36" s="174"/>
      <c r="DP36" s="135"/>
      <c r="DQ36" s="81"/>
      <c r="DR36" s="81"/>
      <c r="DS36" s="81"/>
      <c r="DT36" s="81"/>
      <c r="DU36" s="81"/>
      <c r="DV36" s="81"/>
      <c r="DW36" s="81"/>
      <c r="DX36" s="81"/>
      <c r="DY36" s="81"/>
      <c r="DZ36" s="81"/>
      <c r="EA36" s="81"/>
      <c r="EB36" s="81"/>
      <c r="EC36" s="81"/>
      <c r="ED36" s="81"/>
      <c r="EE36" s="136"/>
      <c r="EF36" s="174"/>
    </row>
    <row r="37" spans="1:136">
      <c r="A37" s="135"/>
      <c r="B37" s="81"/>
      <c r="C37" s="81"/>
      <c r="D37" s="81"/>
      <c r="E37" s="81"/>
      <c r="F37" s="81"/>
      <c r="G37" s="81"/>
      <c r="H37" s="81"/>
      <c r="I37" s="81"/>
      <c r="J37" s="81"/>
      <c r="K37" s="81"/>
      <c r="L37" s="81"/>
      <c r="M37" s="81"/>
      <c r="N37" s="81"/>
      <c r="O37" s="81"/>
      <c r="P37" s="136"/>
      <c r="Q37" s="174"/>
      <c r="R37" s="135"/>
      <c r="S37" s="81"/>
      <c r="T37" s="81"/>
      <c r="U37" s="81"/>
      <c r="V37" s="81"/>
      <c r="W37" s="81"/>
      <c r="X37" s="81"/>
      <c r="Y37" s="81"/>
      <c r="Z37" s="81"/>
      <c r="AA37" s="81"/>
      <c r="AB37" s="81"/>
      <c r="AC37" s="81"/>
      <c r="AD37" s="81"/>
      <c r="AE37" s="81"/>
      <c r="AF37" s="81"/>
      <c r="AG37" s="136"/>
      <c r="AH37" s="174"/>
      <c r="AI37" s="135"/>
      <c r="AJ37" s="81"/>
      <c r="AK37" s="81"/>
      <c r="AL37" s="81"/>
      <c r="AM37" s="81"/>
      <c r="AN37" s="81"/>
      <c r="AO37" s="81"/>
      <c r="AP37" s="81"/>
      <c r="AQ37" s="81"/>
      <c r="AR37" s="81"/>
      <c r="AS37" s="81"/>
      <c r="AT37" s="81"/>
      <c r="AU37" s="81"/>
      <c r="AV37" s="81"/>
      <c r="AW37" s="81"/>
      <c r="AX37" s="136"/>
      <c r="AY37" s="174"/>
      <c r="AZ37" s="135"/>
      <c r="BA37" s="81"/>
      <c r="BB37" s="81"/>
      <c r="BC37" s="81"/>
      <c r="BD37" s="81"/>
      <c r="BE37" s="81"/>
      <c r="BF37" s="81"/>
      <c r="BG37" s="81"/>
      <c r="BH37" s="81"/>
      <c r="BI37" s="81"/>
      <c r="BJ37" s="81"/>
      <c r="BK37" s="81"/>
      <c r="BL37" s="81"/>
      <c r="BM37" s="81"/>
      <c r="BN37" s="81"/>
      <c r="BO37" s="136"/>
      <c r="BP37" s="174"/>
      <c r="BQ37" s="135"/>
      <c r="BR37" s="81"/>
      <c r="BS37" s="81"/>
      <c r="BT37" s="81"/>
      <c r="BU37" s="81"/>
      <c r="BV37" s="81"/>
      <c r="BW37" s="81"/>
      <c r="BX37" s="81"/>
      <c r="BY37" s="81"/>
      <c r="BZ37" s="81"/>
      <c r="CA37" s="81"/>
      <c r="CB37" s="81"/>
      <c r="CC37" s="81"/>
      <c r="CD37" s="81"/>
      <c r="CE37" s="81"/>
      <c r="CF37" s="136"/>
      <c r="CG37" s="174"/>
      <c r="CH37" s="135"/>
      <c r="CI37" s="81"/>
      <c r="CJ37" s="81"/>
      <c r="CK37" s="81"/>
      <c r="CL37" s="81"/>
      <c r="CM37" s="81"/>
      <c r="CN37" s="81"/>
      <c r="CO37" s="81"/>
      <c r="CP37" s="81"/>
      <c r="CQ37" s="81"/>
      <c r="CR37" s="81"/>
      <c r="CS37" s="81"/>
      <c r="CT37" s="81"/>
      <c r="CU37" s="81"/>
      <c r="CV37" s="81"/>
      <c r="CW37" s="136"/>
      <c r="CX37" s="174"/>
      <c r="CY37" s="135"/>
      <c r="CZ37" s="81"/>
      <c r="DA37" s="81"/>
      <c r="DB37" s="81"/>
      <c r="DC37" s="81"/>
      <c r="DD37" s="81"/>
      <c r="DE37" s="81"/>
      <c r="DF37" s="81"/>
      <c r="DG37" s="81"/>
      <c r="DH37" s="81"/>
      <c r="DI37" s="81"/>
      <c r="DJ37" s="81"/>
      <c r="DK37" s="81"/>
      <c r="DL37" s="81"/>
      <c r="DM37" s="81"/>
      <c r="DN37" s="136"/>
      <c r="DO37" s="174"/>
      <c r="DP37" s="135"/>
      <c r="DQ37" s="81"/>
      <c r="DR37" s="81"/>
      <c r="DS37" s="81"/>
      <c r="DT37" s="81"/>
      <c r="DU37" s="81"/>
      <c r="DV37" s="81"/>
      <c r="DW37" s="81"/>
      <c r="DX37" s="81"/>
      <c r="DY37" s="81"/>
      <c r="DZ37" s="81"/>
      <c r="EA37" s="81"/>
      <c r="EB37" s="81"/>
      <c r="EC37" s="81"/>
      <c r="ED37" s="81"/>
      <c r="EE37" s="136"/>
      <c r="EF37" s="174"/>
    </row>
    <row r="38" spans="1:136">
      <c r="A38" s="135"/>
      <c r="B38" s="81"/>
      <c r="C38" s="81"/>
      <c r="D38" s="81"/>
      <c r="E38" s="81"/>
      <c r="F38" s="81"/>
      <c r="G38" s="81"/>
      <c r="H38" s="81"/>
      <c r="I38" s="81"/>
      <c r="J38" s="81"/>
      <c r="K38" s="81"/>
      <c r="L38" s="81"/>
      <c r="M38" s="81"/>
      <c r="N38" s="81"/>
      <c r="O38" s="81"/>
      <c r="P38" s="136"/>
      <c r="Q38" s="174"/>
      <c r="R38" s="135"/>
      <c r="S38" s="81"/>
      <c r="T38" s="81"/>
      <c r="U38" s="81"/>
      <c r="V38" s="81"/>
      <c r="W38" s="81"/>
      <c r="X38" s="81"/>
      <c r="Y38" s="81"/>
      <c r="Z38" s="81"/>
      <c r="AA38" s="81"/>
      <c r="AB38" s="81"/>
      <c r="AC38" s="81"/>
      <c r="AD38" s="81"/>
      <c r="AE38" s="81"/>
      <c r="AF38" s="81"/>
      <c r="AG38" s="136"/>
      <c r="AH38" s="174"/>
      <c r="AI38" s="135"/>
      <c r="AJ38" s="81"/>
      <c r="AK38" s="81"/>
      <c r="AL38" s="81"/>
      <c r="AM38" s="81"/>
      <c r="AN38" s="81"/>
      <c r="AO38" s="81"/>
      <c r="AP38" s="81"/>
      <c r="AQ38" s="81"/>
      <c r="AR38" s="81"/>
      <c r="AS38" s="81"/>
      <c r="AT38" s="81"/>
      <c r="AU38" s="81"/>
      <c r="AV38" s="81"/>
      <c r="AW38" s="81"/>
      <c r="AX38" s="136"/>
      <c r="AY38" s="174"/>
      <c r="AZ38" s="135"/>
      <c r="BA38" s="81"/>
      <c r="BB38" s="81"/>
      <c r="BC38" s="81"/>
      <c r="BD38" s="81"/>
      <c r="BE38" s="81"/>
      <c r="BF38" s="81"/>
      <c r="BG38" s="81"/>
      <c r="BH38" s="81"/>
      <c r="BI38" s="81"/>
      <c r="BJ38" s="81"/>
      <c r="BK38" s="81"/>
      <c r="BL38" s="81"/>
      <c r="BM38" s="81"/>
      <c r="BN38" s="81"/>
      <c r="BO38" s="136"/>
      <c r="BP38" s="174"/>
      <c r="BQ38" s="135"/>
      <c r="BR38" s="81"/>
      <c r="BS38" s="81"/>
      <c r="BT38" s="81"/>
      <c r="BU38" s="81"/>
      <c r="BV38" s="81"/>
      <c r="BW38" s="81"/>
      <c r="BX38" s="81"/>
      <c r="BY38" s="81"/>
      <c r="BZ38" s="81"/>
      <c r="CA38" s="81"/>
      <c r="CB38" s="81"/>
      <c r="CC38" s="81"/>
      <c r="CD38" s="81"/>
      <c r="CE38" s="81"/>
      <c r="CF38" s="136"/>
      <c r="CG38" s="174"/>
      <c r="CH38" s="135"/>
      <c r="CI38" s="81"/>
      <c r="CJ38" s="81"/>
      <c r="CK38" s="81"/>
      <c r="CL38" s="81"/>
      <c r="CM38" s="81"/>
      <c r="CN38" s="81"/>
      <c r="CO38" s="81"/>
      <c r="CP38" s="81"/>
      <c r="CQ38" s="81"/>
      <c r="CR38" s="81"/>
      <c r="CS38" s="81"/>
      <c r="CT38" s="81"/>
      <c r="CU38" s="81"/>
      <c r="CV38" s="81"/>
      <c r="CW38" s="136"/>
      <c r="CX38" s="174"/>
      <c r="CY38" s="135"/>
      <c r="CZ38" s="81"/>
      <c r="DA38" s="81"/>
      <c r="DB38" s="81"/>
      <c r="DC38" s="81"/>
      <c r="DD38" s="81"/>
      <c r="DE38" s="81"/>
      <c r="DF38" s="81"/>
      <c r="DG38" s="81"/>
      <c r="DH38" s="81"/>
      <c r="DI38" s="81"/>
      <c r="DJ38" s="81"/>
      <c r="DK38" s="81"/>
      <c r="DL38" s="81"/>
      <c r="DM38" s="81"/>
      <c r="DN38" s="136"/>
      <c r="DO38" s="174"/>
      <c r="DP38" s="135"/>
      <c r="DQ38" s="81"/>
      <c r="DR38" s="81"/>
      <c r="DS38" s="81"/>
      <c r="DT38" s="81"/>
      <c r="DU38" s="81"/>
      <c r="DV38" s="81"/>
      <c r="DW38" s="81"/>
      <c r="DX38" s="81"/>
      <c r="DY38" s="81"/>
      <c r="DZ38" s="81"/>
      <c r="EA38" s="81"/>
      <c r="EB38" s="81"/>
      <c r="EC38" s="81"/>
      <c r="ED38" s="81"/>
      <c r="EE38" s="136"/>
      <c r="EF38" s="174"/>
    </row>
    <row r="39" spans="1:136">
      <c r="A39" s="135"/>
      <c r="B39" s="81"/>
      <c r="C39" s="81"/>
      <c r="D39" s="81"/>
      <c r="E39" s="81"/>
      <c r="F39" s="81"/>
      <c r="G39" s="81"/>
      <c r="H39" s="81"/>
      <c r="I39" s="81"/>
      <c r="J39" s="81"/>
      <c r="K39" s="81"/>
      <c r="L39" s="81"/>
      <c r="M39" s="81"/>
      <c r="N39" s="81"/>
      <c r="O39" s="81"/>
      <c r="P39" s="136"/>
      <c r="Q39" s="174"/>
      <c r="R39" s="135"/>
      <c r="S39" s="81"/>
      <c r="T39" s="81"/>
      <c r="U39" s="81"/>
      <c r="V39" s="81"/>
      <c r="W39" s="81"/>
      <c r="X39" s="81"/>
      <c r="Y39" s="81"/>
      <c r="Z39" s="81"/>
      <c r="AA39" s="81"/>
      <c r="AB39" s="81"/>
      <c r="AC39" s="81"/>
      <c r="AD39" s="81"/>
      <c r="AE39" s="81"/>
      <c r="AF39" s="81"/>
      <c r="AG39" s="136"/>
      <c r="AH39" s="174"/>
      <c r="AI39" s="135"/>
      <c r="AJ39" s="81"/>
      <c r="AK39" s="81"/>
      <c r="AL39" s="81"/>
      <c r="AM39" s="81"/>
      <c r="AN39" s="81"/>
      <c r="AO39" s="81"/>
      <c r="AP39" s="81"/>
      <c r="AQ39" s="81"/>
      <c r="AR39" s="81"/>
      <c r="AS39" s="81"/>
      <c r="AT39" s="81"/>
      <c r="AU39" s="81"/>
      <c r="AV39" s="81"/>
      <c r="AW39" s="81"/>
      <c r="AX39" s="136"/>
      <c r="AY39" s="174"/>
      <c r="AZ39" s="135"/>
      <c r="BA39" s="81"/>
      <c r="BB39" s="81"/>
      <c r="BC39" s="81"/>
      <c r="BD39" s="81"/>
      <c r="BE39" s="81"/>
      <c r="BF39" s="81"/>
      <c r="BG39" s="81"/>
      <c r="BH39" s="81"/>
      <c r="BI39" s="81"/>
      <c r="BJ39" s="81"/>
      <c r="BK39" s="81"/>
      <c r="BL39" s="81"/>
      <c r="BM39" s="81"/>
      <c r="BN39" s="81"/>
      <c r="BO39" s="136"/>
      <c r="BP39" s="174"/>
      <c r="BQ39" s="135"/>
      <c r="BR39" s="81"/>
      <c r="BS39" s="81"/>
      <c r="BT39" s="81"/>
      <c r="BU39" s="81"/>
      <c r="BV39" s="81"/>
      <c r="BW39" s="81"/>
      <c r="BX39" s="81"/>
      <c r="BY39" s="81"/>
      <c r="BZ39" s="81"/>
      <c r="CA39" s="81"/>
      <c r="CB39" s="81"/>
      <c r="CC39" s="81"/>
      <c r="CD39" s="81"/>
      <c r="CE39" s="81"/>
      <c r="CF39" s="136"/>
      <c r="CG39" s="174"/>
      <c r="CH39" s="135"/>
      <c r="CI39" s="81"/>
      <c r="CJ39" s="81"/>
      <c r="CK39" s="81"/>
      <c r="CL39" s="81"/>
      <c r="CM39" s="81"/>
      <c r="CN39" s="81"/>
      <c r="CO39" s="81"/>
      <c r="CP39" s="81"/>
      <c r="CQ39" s="81"/>
      <c r="CR39" s="81"/>
      <c r="CS39" s="81"/>
      <c r="CT39" s="81"/>
      <c r="CU39" s="81"/>
      <c r="CV39" s="81"/>
      <c r="CW39" s="136"/>
      <c r="CX39" s="174"/>
      <c r="CY39" s="135"/>
      <c r="CZ39" s="81"/>
      <c r="DA39" s="81"/>
      <c r="DB39" s="81"/>
      <c r="DC39" s="81"/>
      <c r="DD39" s="81"/>
      <c r="DE39" s="81"/>
      <c r="DF39" s="81"/>
      <c r="DG39" s="81"/>
      <c r="DH39" s="81"/>
      <c r="DI39" s="81"/>
      <c r="DJ39" s="81"/>
      <c r="DK39" s="81"/>
      <c r="DL39" s="81"/>
      <c r="DM39" s="81"/>
      <c r="DN39" s="136"/>
      <c r="DO39" s="174"/>
      <c r="DP39" s="135"/>
      <c r="DQ39" s="81"/>
      <c r="DR39" s="81"/>
      <c r="DS39" s="81"/>
      <c r="DT39" s="81"/>
      <c r="DU39" s="81"/>
      <c r="DV39" s="81"/>
      <c r="DW39" s="81"/>
      <c r="DX39" s="81"/>
      <c r="DY39" s="81"/>
      <c r="DZ39" s="81"/>
      <c r="EA39" s="81"/>
      <c r="EB39" s="81"/>
      <c r="EC39" s="81"/>
      <c r="ED39" s="81"/>
      <c r="EE39" s="136"/>
      <c r="EF39" s="174"/>
    </row>
    <row r="40" spans="1:136">
      <c r="A40" s="135"/>
      <c r="B40" s="81"/>
      <c r="C40" s="81"/>
      <c r="D40" s="81"/>
      <c r="E40" s="81"/>
      <c r="F40" s="81"/>
      <c r="G40" s="81"/>
      <c r="H40" s="81"/>
      <c r="I40" s="81"/>
      <c r="J40" s="81"/>
      <c r="K40" s="81"/>
      <c r="L40" s="81"/>
      <c r="M40" s="81"/>
      <c r="N40" s="81"/>
      <c r="O40" s="81"/>
      <c r="P40" s="136"/>
      <c r="Q40" s="174"/>
      <c r="R40" s="135"/>
      <c r="S40" s="81"/>
      <c r="T40" s="81"/>
      <c r="U40" s="81"/>
      <c r="V40" s="81"/>
      <c r="W40" s="81"/>
      <c r="X40" s="81"/>
      <c r="Y40" s="81"/>
      <c r="Z40" s="81"/>
      <c r="AA40" s="81"/>
      <c r="AB40" s="81"/>
      <c r="AC40" s="81"/>
      <c r="AD40" s="81"/>
      <c r="AE40" s="81"/>
      <c r="AF40" s="81"/>
      <c r="AG40" s="136"/>
      <c r="AH40" s="174"/>
      <c r="AI40" s="135"/>
      <c r="AJ40" s="81"/>
      <c r="AK40" s="81"/>
      <c r="AL40" s="81"/>
      <c r="AM40" s="81"/>
      <c r="AN40" s="81"/>
      <c r="AO40" s="81"/>
      <c r="AP40" s="81"/>
      <c r="AQ40" s="81"/>
      <c r="AR40" s="81"/>
      <c r="AS40" s="81"/>
      <c r="AT40" s="81"/>
      <c r="AU40" s="81"/>
      <c r="AV40" s="81"/>
      <c r="AW40" s="81"/>
      <c r="AX40" s="136"/>
      <c r="AY40" s="174"/>
      <c r="AZ40" s="135"/>
      <c r="BA40" s="81"/>
      <c r="BB40" s="81"/>
      <c r="BC40" s="81"/>
      <c r="BD40" s="81"/>
      <c r="BE40" s="81"/>
      <c r="BF40" s="81"/>
      <c r="BG40" s="81"/>
      <c r="BH40" s="81"/>
      <c r="BI40" s="81"/>
      <c r="BJ40" s="81"/>
      <c r="BK40" s="81"/>
      <c r="BL40" s="81"/>
      <c r="BM40" s="81"/>
      <c r="BN40" s="81"/>
      <c r="BO40" s="136"/>
      <c r="BP40" s="174"/>
      <c r="BQ40" s="135"/>
      <c r="BR40" s="81"/>
      <c r="BS40" s="81"/>
      <c r="BT40" s="81"/>
      <c r="BU40" s="81"/>
      <c r="BV40" s="81"/>
      <c r="BW40" s="81"/>
      <c r="BX40" s="81"/>
      <c r="BY40" s="81"/>
      <c r="BZ40" s="81"/>
      <c r="CA40" s="81"/>
      <c r="CB40" s="81"/>
      <c r="CC40" s="81"/>
      <c r="CD40" s="81"/>
      <c r="CE40" s="81"/>
      <c r="CF40" s="136"/>
      <c r="CG40" s="174"/>
      <c r="CH40" s="135"/>
      <c r="CI40" s="81"/>
      <c r="CJ40" s="81"/>
      <c r="CK40" s="81"/>
      <c r="CL40" s="81"/>
      <c r="CM40" s="81"/>
      <c r="CN40" s="81"/>
      <c r="CO40" s="81"/>
      <c r="CP40" s="81"/>
      <c r="CQ40" s="81"/>
      <c r="CR40" s="81"/>
      <c r="CS40" s="81"/>
      <c r="CT40" s="81"/>
      <c r="CU40" s="81"/>
      <c r="CV40" s="81"/>
      <c r="CW40" s="136"/>
      <c r="CX40" s="174"/>
      <c r="CY40" s="135"/>
      <c r="CZ40" s="81"/>
      <c r="DA40" s="81"/>
      <c r="DB40" s="81"/>
      <c r="DC40" s="81"/>
      <c r="DD40" s="81"/>
      <c r="DE40" s="81"/>
      <c r="DF40" s="81"/>
      <c r="DG40" s="81"/>
      <c r="DH40" s="81"/>
      <c r="DI40" s="81"/>
      <c r="DJ40" s="81"/>
      <c r="DK40" s="81"/>
      <c r="DL40" s="81"/>
      <c r="DM40" s="81"/>
      <c r="DN40" s="136"/>
      <c r="DO40" s="174"/>
      <c r="DP40" s="135"/>
      <c r="DQ40" s="81"/>
      <c r="DR40" s="81"/>
      <c r="DS40" s="81"/>
      <c r="DT40" s="81"/>
      <c r="DU40" s="81"/>
      <c r="DV40" s="81"/>
      <c r="DW40" s="81"/>
      <c r="DX40" s="81"/>
      <c r="DY40" s="81"/>
      <c r="DZ40" s="81"/>
      <c r="EA40" s="81"/>
      <c r="EB40" s="81"/>
      <c r="EC40" s="81"/>
      <c r="ED40" s="81"/>
      <c r="EE40" s="136"/>
      <c r="EF40" s="174"/>
    </row>
    <row r="41" spans="1:136">
      <c r="A41" s="135"/>
      <c r="B41" s="81"/>
      <c r="C41" s="81"/>
      <c r="D41" s="81"/>
      <c r="E41" s="81"/>
      <c r="F41" s="81"/>
      <c r="G41" s="81"/>
      <c r="H41" s="81"/>
      <c r="I41" s="81"/>
      <c r="J41" s="81"/>
      <c r="K41" s="81"/>
      <c r="L41" s="81"/>
      <c r="M41" s="81"/>
      <c r="N41" s="81"/>
      <c r="O41" s="81"/>
      <c r="P41" s="136"/>
      <c r="Q41" s="174"/>
      <c r="R41" s="135"/>
      <c r="S41" s="81"/>
      <c r="T41" s="81"/>
      <c r="U41" s="81"/>
      <c r="V41" s="81"/>
      <c r="W41" s="81"/>
      <c r="X41" s="81"/>
      <c r="Y41" s="81"/>
      <c r="Z41" s="81"/>
      <c r="AA41" s="81"/>
      <c r="AB41" s="81"/>
      <c r="AC41" s="81"/>
      <c r="AD41" s="81"/>
      <c r="AE41" s="81"/>
      <c r="AF41" s="81"/>
      <c r="AG41" s="136"/>
      <c r="AH41" s="174"/>
      <c r="AI41" s="135"/>
      <c r="AJ41" s="81"/>
      <c r="AK41" s="81"/>
      <c r="AL41" s="81"/>
      <c r="AM41" s="81"/>
      <c r="AN41" s="81"/>
      <c r="AO41" s="81"/>
      <c r="AP41" s="81"/>
      <c r="AQ41" s="81"/>
      <c r="AR41" s="81"/>
      <c r="AS41" s="81"/>
      <c r="AT41" s="81"/>
      <c r="AU41" s="81"/>
      <c r="AV41" s="81"/>
      <c r="AW41" s="81"/>
      <c r="AX41" s="136"/>
      <c r="AY41" s="174"/>
      <c r="AZ41" s="135"/>
      <c r="BA41" s="81"/>
      <c r="BB41" s="81"/>
      <c r="BC41" s="81"/>
      <c r="BD41" s="81"/>
      <c r="BE41" s="81"/>
      <c r="BF41" s="81"/>
      <c r="BG41" s="81"/>
      <c r="BH41" s="81"/>
      <c r="BI41" s="81"/>
      <c r="BJ41" s="81"/>
      <c r="BK41" s="81"/>
      <c r="BL41" s="81"/>
      <c r="BM41" s="81"/>
      <c r="BN41" s="81"/>
      <c r="BO41" s="136"/>
      <c r="BP41" s="174"/>
      <c r="BQ41" s="135"/>
      <c r="BR41" s="81"/>
      <c r="BS41" s="81"/>
      <c r="BT41" s="81"/>
      <c r="BU41" s="81"/>
      <c r="BV41" s="81"/>
      <c r="BW41" s="81"/>
      <c r="BX41" s="81"/>
      <c r="BY41" s="81"/>
      <c r="BZ41" s="81"/>
      <c r="CA41" s="81"/>
      <c r="CB41" s="81"/>
      <c r="CC41" s="81"/>
      <c r="CD41" s="81"/>
      <c r="CE41" s="81"/>
      <c r="CF41" s="136"/>
      <c r="CG41" s="174"/>
      <c r="CH41" s="135"/>
      <c r="CI41" s="81"/>
      <c r="CJ41" s="81"/>
      <c r="CK41" s="81"/>
      <c r="CL41" s="81"/>
      <c r="CM41" s="81"/>
      <c r="CN41" s="81"/>
      <c r="CO41" s="81"/>
      <c r="CP41" s="81"/>
      <c r="CQ41" s="81"/>
      <c r="CR41" s="81"/>
      <c r="CS41" s="81"/>
      <c r="CT41" s="81"/>
      <c r="CU41" s="81"/>
      <c r="CV41" s="81"/>
      <c r="CW41" s="136"/>
      <c r="CX41" s="174"/>
      <c r="CY41" s="135"/>
      <c r="CZ41" s="81"/>
      <c r="DA41" s="81"/>
      <c r="DB41" s="81"/>
      <c r="DC41" s="81"/>
      <c r="DD41" s="81"/>
      <c r="DE41" s="81"/>
      <c r="DF41" s="81"/>
      <c r="DG41" s="81"/>
      <c r="DH41" s="81"/>
      <c r="DI41" s="81"/>
      <c r="DJ41" s="81"/>
      <c r="DK41" s="81"/>
      <c r="DL41" s="81"/>
      <c r="DM41" s="81"/>
      <c r="DN41" s="136"/>
      <c r="DO41" s="174"/>
      <c r="DP41" s="135"/>
      <c r="DQ41" s="81"/>
      <c r="DR41" s="81"/>
      <c r="DS41" s="81"/>
      <c r="DT41" s="81"/>
      <c r="DU41" s="81"/>
      <c r="DV41" s="81"/>
      <c r="DW41" s="81"/>
      <c r="DX41" s="81"/>
      <c r="DY41" s="81"/>
      <c r="DZ41" s="81"/>
      <c r="EA41" s="81"/>
      <c r="EB41" s="81"/>
      <c r="EC41" s="81"/>
      <c r="ED41" s="81"/>
      <c r="EE41" s="136"/>
      <c r="EF41" s="174"/>
    </row>
    <row r="42" spans="1:136">
      <c r="A42" s="135"/>
      <c r="B42" s="81"/>
      <c r="C42" s="81"/>
      <c r="D42" s="81"/>
      <c r="E42" s="81"/>
      <c r="F42" s="81"/>
      <c r="G42" s="81"/>
      <c r="H42" s="81"/>
      <c r="I42" s="81"/>
      <c r="J42" s="81"/>
      <c r="K42" s="81"/>
      <c r="L42" s="81"/>
      <c r="M42" s="81"/>
      <c r="N42" s="81"/>
      <c r="O42" s="81"/>
      <c r="P42" s="136"/>
      <c r="Q42" s="174"/>
      <c r="R42" s="135"/>
      <c r="S42" s="81"/>
      <c r="T42" s="81"/>
      <c r="U42" s="81"/>
      <c r="V42" s="81"/>
      <c r="W42" s="81"/>
      <c r="X42" s="81"/>
      <c r="Y42" s="81"/>
      <c r="Z42" s="81"/>
      <c r="AA42" s="81"/>
      <c r="AB42" s="81"/>
      <c r="AC42" s="81"/>
      <c r="AD42" s="81"/>
      <c r="AE42" s="81"/>
      <c r="AF42" s="81"/>
      <c r="AG42" s="136"/>
      <c r="AH42" s="174"/>
      <c r="AI42" s="135"/>
      <c r="AJ42" s="81"/>
      <c r="AK42" s="81"/>
      <c r="AL42" s="81"/>
      <c r="AM42" s="81"/>
      <c r="AN42" s="81"/>
      <c r="AO42" s="81"/>
      <c r="AP42" s="81"/>
      <c r="AQ42" s="81"/>
      <c r="AR42" s="81"/>
      <c r="AS42" s="81"/>
      <c r="AT42" s="81"/>
      <c r="AU42" s="81"/>
      <c r="AV42" s="81"/>
      <c r="AW42" s="81"/>
      <c r="AX42" s="136"/>
      <c r="AY42" s="174"/>
      <c r="AZ42" s="135"/>
      <c r="BA42" s="81"/>
      <c r="BB42" s="81"/>
      <c r="BC42" s="81"/>
      <c r="BD42" s="81"/>
      <c r="BE42" s="81"/>
      <c r="BF42" s="81"/>
      <c r="BG42" s="81"/>
      <c r="BH42" s="81"/>
      <c r="BI42" s="81"/>
      <c r="BJ42" s="81"/>
      <c r="BK42" s="81"/>
      <c r="BL42" s="81"/>
      <c r="BM42" s="81"/>
      <c r="BN42" s="81"/>
      <c r="BO42" s="136"/>
      <c r="BP42" s="174"/>
      <c r="BQ42" s="135"/>
      <c r="BR42" s="81"/>
      <c r="BS42" s="81"/>
      <c r="BT42" s="81"/>
      <c r="BU42" s="81"/>
      <c r="BV42" s="81"/>
      <c r="BW42" s="81"/>
      <c r="BX42" s="81"/>
      <c r="BY42" s="81"/>
      <c r="BZ42" s="81"/>
      <c r="CA42" s="81"/>
      <c r="CB42" s="81"/>
      <c r="CC42" s="81"/>
      <c r="CD42" s="81"/>
      <c r="CE42" s="81"/>
      <c r="CF42" s="136"/>
      <c r="CG42" s="174"/>
      <c r="CH42" s="135"/>
      <c r="CI42" s="81"/>
      <c r="CJ42" s="81"/>
      <c r="CK42" s="81"/>
      <c r="CL42" s="81"/>
      <c r="CM42" s="81"/>
      <c r="CN42" s="81"/>
      <c r="CO42" s="81"/>
      <c r="CP42" s="81"/>
      <c r="CQ42" s="81"/>
      <c r="CR42" s="81"/>
      <c r="CS42" s="81"/>
      <c r="CT42" s="81"/>
      <c r="CU42" s="81"/>
      <c r="CV42" s="81"/>
      <c r="CW42" s="136"/>
      <c r="CX42" s="174"/>
      <c r="CY42" s="135"/>
      <c r="CZ42" s="81"/>
      <c r="DA42" s="81"/>
      <c r="DB42" s="81"/>
      <c r="DC42" s="81"/>
      <c r="DD42" s="81"/>
      <c r="DE42" s="81"/>
      <c r="DF42" s="81"/>
      <c r="DG42" s="81"/>
      <c r="DH42" s="81"/>
      <c r="DI42" s="81"/>
      <c r="DJ42" s="81"/>
      <c r="DK42" s="81"/>
      <c r="DL42" s="81"/>
      <c r="DM42" s="81"/>
      <c r="DN42" s="136"/>
      <c r="DO42" s="174"/>
      <c r="DP42" s="135"/>
      <c r="DQ42" s="81"/>
      <c r="DR42" s="81"/>
      <c r="DS42" s="81"/>
      <c r="DT42" s="81"/>
      <c r="DU42" s="81"/>
      <c r="DV42" s="81"/>
      <c r="DW42" s="81"/>
      <c r="DX42" s="81"/>
      <c r="DY42" s="81"/>
      <c r="DZ42" s="81"/>
      <c r="EA42" s="81"/>
      <c r="EB42" s="81"/>
      <c r="EC42" s="81"/>
      <c r="ED42" s="81"/>
      <c r="EE42" s="136"/>
      <c r="EF42" s="174"/>
    </row>
    <row r="43" spans="1:136">
      <c r="A43" s="135"/>
      <c r="B43" s="81"/>
      <c r="C43" s="81"/>
      <c r="D43" s="81"/>
      <c r="E43" s="81"/>
      <c r="F43" s="81"/>
      <c r="G43" s="81"/>
      <c r="H43" s="81"/>
      <c r="I43" s="81"/>
      <c r="J43" s="81"/>
      <c r="K43" s="81"/>
      <c r="L43" s="81"/>
      <c r="M43" s="81"/>
      <c r="N43" s="81"/>
      <c r="O43" s="81"/>
      <c r="P43" s="136"/>
      <c r="Q43" s="174"/>
      <c r="R43" s="135"/>
      <c r="S43" s="81"/>
      <c r="T43" s="81"/>
      <c r="U43" s="81"/>
      <c r="V43" s="81"/>
      <c r="W43" s="81"/>
      <c r="X43" s="81"/>
      <c r="Y43" s="81"/>
      <c r="Z43" s="81"/>
      <c r="AA43" s="81"/>
      <c r="AB43" s="81"/>
      <c r="AC43" s="81"/>
      <c r="AD43" s="81"/>
      <c r="AE43" s="81"/>
      <c r="AF43" s="81"/>
      <c r="AG43" s="136"/>
      <c r="AH43" s="174"/>
      <c r="AI43" s="135"/>
      <c r="AJ43" s="81"/>
      <c r="AK43" s="81"/>
      <c r="AL43" s="81"/>
      <c r="AM43" s="81"/>
      <c r="AN43" s="81"/>
      <c r="AO43" s="81"/>
      <c r="AP43" s="81"/>
      <c r="AQ43" s="81"/>
      <c r="AR43" s="81"/>
      <c r="AS43" s="81"/>
      <c r="AT43" s="81"/>
      <c r="AU43" s="81"/>
      <c r="AV43" s="81"/>
      <c r="AW43" s="81"/>
      <c r="AX43" s="136"/>
      <c r="AY43" s="174"/>
      <c r="AZ43" s="135"/>
      <c r="BA43" s="81"/>
      <c r="BB43" s="81"/>
      <c r="BC43" s="81"/>
      <c r="BD43" s="81"/>
      <c r="BE43" s="81"/>
      <c r="BF43" s="81"/>
      <c r="BG43" s="81"/>
      <c r="BH43" s="81"/>
      <c r="BI43" s="81"/>
      <c r="BJ43" s="81"/>
      <c r="BK43" s="81"/>
      <c r="BL43" s="81"/>
      <c r="BM43" s="81"/>
      <c r="BN43" s="81"/>
      <c r="BO43" s="136"/>
      <c r="BP43" s="174"/>
      <c r="BQ43" s="135"/>
      <c r="BR43" s="81"/>
      <c r="BS43" s="81"/>
      <c r="BT43" s="81"/>
      <c r="BU43" s="81"/>
      <c r="BV43" s="81"/>
      <c r="BW43" s="81"/>
      <c r="BX43" s="81"/>
      <c r="BY43" s="81"/>
      <c r="BZ43" s="81"/>
      <c r="CA43" s="81"/>
      <c r="CB43" s="81"/>
      <c r="CC43" s="81"/>
      <c r="CD43" s="81"/>
      <c r="CE43" s="81"/>
      <c r="CF43" s="136"/>
      <c r="CG43" s="174"/>
      <c r="CH43" s="135"/>
      <c r="CI43" s="81"/>
      <c r="CJ43" s="81"/>
      <c r="CK43" s="81"/>
      <c r="CL43" s="81"/>
      <c r="CM43" s="81"/>
      <c r="CN43" s="81"/>
      <c r="CO43" s="81"/>
      <c r="CP43" s="81"/>
      <c r="CQ43" s="81"/>
      <c r="CR43" s="81"/>
      <c r="CS43" s="81"/>
      <c r="CT43" s="81"/>
      <c r="CU43" s="81"/>
      <c r="CV43" s="81"/>
      <c r="CW43" s="136"/>
      <c r="CX43" s="174"/>
      <c r="CY43" s="135"/>
      <c r="CZ43" s="81"/>
      <c r="DA43" s="81"/>
      <c r="DB43" s="81"/>
      <c r="DC43" s="81"/>
      <c r="DD43" s="81"/>
      <c r="DE43" s="81"/>
      <c r="DF43" s="81"/>
      <c r="DG43" s="81"/>
      <c r="DH43" s="81"/>
      <c r="DI43" s="81"/>
      <c r="DJ43" s="81"/>
      <c r="DK43" s="81"/>
      <c r="DL43" s="81"/>
      <c r="DM43" s="81"/>
      <c r="DN43" s="136"/>
      <c r="DO43" s="174"/>
      <c r="DP43" s="135"/>
      <c r="DQ43" s="81"/>
      <c r="DR43" s="81"/>
      <c r="DS43" s="81"/>
      <c r="DT43" s="81"/>
      <c r="DU43" s="81"/>
      <c r="DV43" s="81"/>
      <c r="DW43" s="81"/>
      <c r="DX43" s="81"/>
      <c r="DY43" s="81"/>
      <c r="DZ43" s="81"/>
      <c r="EA43" s="81"/>
      <c r="EB43" s="81"/>
      <c r="EC43" s="81"/>
      <c r="ED43" s="81"/>
      <c r="EE43" s="136"/>
      <c r="EF43" s="174"/>
    </row>
    <row r="44" spans="1:136">
      <c r="A44" s="135"/>
      <c r="B44" s="81"/>
      <c r="C44" s="81"/>
      <c r="D44" s="81"/>
      <c r="E44" s="81"/>
      <c r="F44" s="81"/>
      <c r="G44" s="81"/>
      <c r="H44" s="81"/>
      <c r="I44" s="81"/>
      <c r="J44" s="81"/>
      <c r="K44" s="81"/>
      <c r="L44" s="81"/>
      <c r="M44" s="81"/>
      <c r="N44" s="81"/>
      <c r="O44" s="81"/>
      <c r="P44" s="136"/>
      <c r="Q44" s="174"/>
      <c r="R44" s="135"/>
      <c r="S44" s="81"/>
      <c r="T44" s="81"/>
      <c r="U44" s="81"/>
      <c r="V44" s="81"/>
      <c r="W44" s="81"/>
      <c r="X44" s="81"/>
      <c r="Y44" s="81"/>
      <c r="Z44" s="81"/>
      <c r="AA44" s="81"/>
      <c r="AB44" s="81"/>
      <c r="AC44" s="81"/>
      <c r="AD44" s="81"/>
      <c r="AE44" s="81"/>
      <c r="AF44" s="81"/>
      <c r="AG44" s="136"/>
      <c r="AH44" s="174"/>
      <c r="AI44" s="135"/>
      <c r="AJ44" s="81"/>
      <c r="AK44" s="81"/>
      <c r="AL44" s="81"/>
      <c r="AM44" s="81"/>
      <c r="AN44" s="81"/>
      <c r="AO44" s="81"/>
      <c r="AP44" s="81"/>
      <c r="AQ44" s="81"/>
      <c r="AR44" s="81"/>
      <c r="AS44" s="81"/>
      <c r="AT44" s="81"/>
      <c r="AU44" s="81"/>
      <c r="AV44" s="81"/>
      <c r="AW44" s="81"/>
      <c r="AX44" s="136"/>
      <c r="AY44" s="174"/>
      <c r="AZ44" s="135"/>
      <c r="BA44" s="81"/>
      <c r="BB44" s="81"/>
      <c r="BC44" s="81"/>
      <c r="BD44" s="81"/>
      <c r="BE44" s="81"/>
      <c r="BF44" s="81"/>
      <c r="BG44" s="81"/>
      <c r="BH44" s="81"/>
      <c r="BI44" s="81"/>
      <c r="BJ44" s="81"/>
      <c r="BK44" s="81"/>
      <c r="BL44" s="81"/>
      <c r="BM44" s="81"/>
      <c r="BN44" s="81"/>
      <c r="BO44" s="136"/>
      <c r="BP44" s="174"/>
      <c r="BQ44" s="135"/>
      <c r="BR44" s="81"/>
      <c r="BS44" s="81"/>
      <c r="BT44" s="81"/>
      <c r="BU44" s="81"/>
      <c r="BV44" s="81"/>
      <c r="BW44" s="81"/>
      <c r="BX44" s="81"/>
      <c r="BY44" s="81"/>
      <c r="BZ44" s="81"/>
      <c r="CA44" s="81"/>
      <c r="CB44" s="81"/>
      <c r="CC44" s="81"/>
      <c r="CD44" s="81"/>
      <c r="CE44" s="81"/>
      <c r="CF44" s="136"/>
      <c r="CG44" s="174"/>
      <c r="CH44" s="135"/>
      <c r="CI44" s="81"/>
      <c r="CJ44" s="81"/>
      <c r="CK44" s="81"/>
      <c r="CL44" s="81"/>
      <c r="CM44" s="81"/>
      <c r="CN44" s="81"/>
      <c r="CO44" s="81"/>
      <c r="CP44" s="81"/>
      <c r="CQ44" s="81"/>
      <c r="CR44" s="81"/>
      <c r="CS44" s="81"/>
      <c r="CT44" s="81"/>
      <c r="CU44" s="81"/>
      <c r="CV44" s="81"/>
      <c r="CW44" s="136"/>
      <c r="CX44" s="174"/>
      <c r="CY44" s="135"/>
      <c r="CZ44" s="81"/>
      <c r="DA44" s="81"/>
      <c r="DB44" s="81"/>
      <c r="DC44" s="81"/>
      <c r="DD44" s="81"/>
      <c r="DE44" s="81"/>
      <c r="DF44" s="81"/>
      <c r="DG44" s="81"/>
      <c r="DH44" s="81"/>
      <c r="DI44" s="81"/>
      <c r="DJ44" s="81"/>
      <c r="DK44" s="81"/>
      <c r="DL44" s="81"/>
      <c r="DM44" s="81"/>
      <c r="DN44" s="136"/>
      <c r="DO44" s="174"/>
      <c r="DP44" s="135"/>
      <c r="DQ44" s="81"/>
      <c r="DR44" s="81"/>
      <c r="DS44" s="81"/>
      <c r="DT44" s="81"/>
      <c r="DU44" s="81"/>
      <c r="DV44" s="81"/>
      <c r="DW44" s="81"/>
      <c r="DX44" s="81"/>
      <c r="DY44" s="81"/>
      <c r="DZ44" s="81"/>
      <c r="EA44" s="81"/>
      <c r="EB44" s="81"/>
      <c r="EC44" s="81"/>
      <c r="ED44" s="81"/>
      <c r="EE44" s="136"/>
      <c r="EF44" s="174"/>
    </row>
    <row r="45" spans="1:136">
      <c r="A45" s="135"/>
      <c r="B45" s="81"/>
      <c r="C45" s="81"/>
      <c r="D45" s="81"/>
      <c r="E45" s="81"/>
      <c r="F45" s="81"/>
      <c r="G45" s="81"/>
      <c r="H45" s="81"/>
      <c r="I45" s="81"/>
      <c r="J45" s="81"/>
      <c r="K45" s="81"/>
      <c r="L45" s="81"/>
      <c r="M45" s="81"/>
      <c r="N45" s="81"/>
      <c r="O45" s="81"/>
      <c r="P45" s="136"/>
      <c r="Q45" s="174"/>
      <c r="R45" s="135"/>
      <c r="S45" s="81"/>
      <c r="T45" s="81"/>
      <c r="U45" s="81"/>
      <c r="V45" s="81"/>
      <c r="W45" s="81"/>
      <c r="X45" s="81"/>
      <c r="Y45" s="81"/>
      <c r="Z45" s="81"/>
      <c r="AA45" s="81"/>
      <c r="AB45" s="81"/>
      <c r="AC45" s="81"/>
      <c r="AD45" s="81"/>
      <c r="AE45" s="81"/>
      <c r="AF45" s="81"/>
      <c r="AG45" s="136"/>
      <c r="AH45" s="174"/>
      <c r="AI45" s="135"/>
      <c r="AJ45" s="81"/>
      <c r="AK45" s="81"/>
      <c r="AL45" s="81"/>
      <c r="AM45" s="81"/>
      <c r="AN45" s="81"/>
      <c r="AO45" s="81"/>
      <c r="AP45" s="81"/>
      <c r="AQ45" s="81"/>
      <c r="AR45" s="81"/>
      <c r="AS45" s="81"/>
      <c r="AT45" s="81"/>
      <c r="AU45" s="81"/>
      <c r="AV45" s="81"/>
      <c r="AW45" s="81"/>
      <c r="AX45" s="136"/>
      <c r="AY45" s="174"/>
      <c r="AZ45" s="135"/>
      <c r="BA45" s="81"/>
      <c r="BB45" s="81"/>
      <c r="BC45" s="81"/>
      <c r="BD45" s="81"/>
      <c r="BE45" s="81"/>
      <c r="BF45" s="81"/>
      <c r="BG45" s="81"/>
      <c r="BH45" s="81"/>
      <c r="BI45" s="81"/>
      <c r="BJ45" s="81"/>
      <c r="BK45" s="81"/>
      <c r="BL45" s="81"/>
      <c r="BM45" s="81"/>
      <c r="BN45" s="81"/>
      <c r="BO45" s="136"/>
      <c r="BP45" s="174"/>
      <c r="BQ45" s="135"/>
      <c r="BR45" s="81"/>
      <c r="BS45" s="81"/>
      <c r="BT45" s="81"/>
      <c r="BU45" s="81"/>
      <c r="BV45" s="81"/>
      <c r="BW45" s="81"/>
      <c r="BX45" s="81"/>
      <c r="BY45" s="81"/>
      <c r="BZ45" s="81"/>
      <c r="CA45" s="81"/>
      <c r="CB45" s="81"/>
      <c r="CC45" s="81"/>
      <c r="CD45" s="81"/>
      <c r="CE45" s="81"/>
      <c r="CF45" s="136"/>
      <c r="CG45" s="174"/>
      <c r="CH45" s="135"/>
      <c r="CI45" s="81"/>
      <c r="CJ45" s="81"/>
      <c r="CK45" s="81"/>
      <c r="CL45" s="81"/>
      <c r="CM45" s="81"/>
      <c r="CN45" s="81"/>
      <c r="CO45" s="81"/>
      <c r="CP45" s="81"/>
      <c r="CQ45" s="81"/>
      <c r="CR45" s="81"/>
      <c r="CS45" s="81"/>
      <c r="CT45" s="81"/>
      <c r="CU45" s="81"/>
      <c r="CV45" s="81"/>
      <c r="CW45" s="136"/>
      <c r="CX45" s="174"/>
      <c r="CY45" s="135"/>
      <c r="CZ45" s="81"/>
      <c r="DA45" s="81"/>
      <c r="DB45" s="81"/>
      <c r="DC45" s="81"/>
      <c r="DD45" s="81"/>
      <c r="DE45" s="81"/>
      <c r="DF45" s="81"/>
      <c r="DG45" s="81"/>
      <c r="DH45" s="81"/>
      <c r="DI45" s="81"/>
      <c r="DJ45" s="81"/>
      <c r="DK45" s="81"/>
      <c r="DL45" s="81"/>
      <c r="DM45" s="81"/>
      <c r="DN45" s="136"/>
      <c r="DO45" s="174"/>
      <c r="DP45" s="135"/>
      <c r="DQ45" s="81"/>
      <c r="DR45" s="81"/>
      <c r="DS45" s="81"/>
      <c r="DT45" s="81"/>
      <c r="DU45" s="81"/>
      <c r="DV45" s="81"/>
      <c r="DW45" s="81"/>
      <c r="DX45" s="81"/>
      <c r="DY45" s="81"/>
      <c r="DZ45" s="81"/>
      <c r="EA45" s="81"/>
      <c r="EB45" s="81"/>
      <c r="EC45" s="81"/>
      <c r="ED45" s="81"/>
      <c r="EE45" s="136"/>
      <c r="EF45" s="174"/>
    </row>
    <row r="46" spans="1:136">
      <c r="A46" s="135"/>
      <c r="B46" s="81"/>
      <c r="C46" s="81"/>
      <c r="D46" s="81"/>
      <c r="E46" s="81"/>
      <c r="F46" s="81"/>
      <c r="G46" s="81"/>
      <c r="H46" s="81"/>
      <c r="I46" s="81"/>
      <c r="J46" s="81"/>
      <c r="K46" s="81"/>
      <c r="L46" s="81"/>
      <c r="M46" s="81"/>
      <c r="N46" s="81"/>
      <c r="O46" s="81"/>
      <c r="P46" s="136"/>
      <c r="Q46" s="174"/>
      <c r="R46" s="135"/>
      <c r="S46" s="81"/>
      <c r="T46" s="81"/>
      <c r="U46" s="81"/>
      <c r="V46" s="81"/>
      <c r="W46" s="81"/>
      <c r="X46" s="81"/>
      <c r="Y46" s="81"/>
      <c r="Z46" s="81"/>
      <c r="AA46" s="81"/>
      <c r="AB46" s="81"/>
      <c r="AC46" s="81"/>
      <c r="AD46" s="81"/>
      <c r="AE46" s="81"/>
      <c r="AF46" s="81"/>
      <c r="AG46" s="136"/>
      <c r="AH46" s="174"/>
      <c r="AI46" s="135"/>
      <c r="AJ46" s="81"/>
      <c r="AK46" s="81"/>
      <c r="AL46" s="81"/>
      <c r="AM46" s="81"/>
      <c r="AN46" s="81"/>
      <c r="AO46" s="81"/>
      <c r="AP46" s="81"/>
      <c r="AQ46" s="81"/>
      <c r="AR46" s="81"/>
      <c r="AS46" s="81"/>
      <c r="AT46" s="81"/>
      <c r="AU46" s="81"/>
      <c r="AV46" s="81"/>
      <c r="AW46" s="81"/>
      <c r="AX46" s="136"/>
      <c r="AY46" s="174"/>
      <c r="AZ46" s="135"/>
      <c r="BA46" s="81"/>
      <c r="BB46" s="81"/>
      <c r="BC46" s="81"/>
      <c r="BD46" s="81"/>
      <c r="BE46" s="81"/>
      <c r="BF46" s="81"/>
      <c r="BG46" s="81"/>
      <c r="BH46" s="81"/>
      <c r="BI46" s="81"/>
      <c r="BJ46" s="81"/>
      <c r="BK46" s="81"/>
      <c r="BL46" s="81"/>
      <c r="BM46" s="81"/>
      <c r="BN46" s="81"/>
      <c r="BO46" s="136"/>
      <c r="BP46" s="174"/>
      <c r="BQ46" s="135"/>
      <c r="BR46" s="81"/>
      <c r="BS46" s="81"/>
      <c r="BT46" s="81"/>
      <c r="BU46" s="81"/>
      <c r="BV46" s="81"/>
      <c r="BW46" s="81"/>
      <c r="BX46" s="81"/>
      <c r="BY46" s="81"/>
      <c r="BZ46" s="81"/>
      <c r="CA46" s="81"/>
      <c r="CB46" s="81"/>
      <c r="CC46" s="81"/>
      <c r="CD46" s="81"/>
      <c r="CE46" s="81"/>
      <c r="CF46" s="136"/>
      <c r="CG46" s="174"/>
      <c r="CH46" s="135"/>
      <c r="CI46" s="81"/>
      <c r="CJ46" s="81"/>
      <c r="CK46" s="81"/>
      <c r="CL46" s="81"/>
      <c r="CM46" s="81"/>
      <c r="CN46" s="81"/>
      <c r="CO46" s="81"/>
      <c r="CP46" s="81"/>
      <c r="CQ46" s="81"/>
      <c r="CR46" s="81"/>
      <c r="CS46" s="81"/>
      <c r="CT46" s="81"/>
      <c r="CU46" s="81"/>
      <c r="CV46" s="81"/>
      <c r="CW46" s="136"/>
      <c r="CX46" s="174"/>
      <c r="CY46" s="135"/>
      <c r="CZ46" s="81"/>
      <c r="DA46" s="81"/>
      <c r="DB46" s="81"/>
      <c r="DC46" s="81"/>
      <c r="DD46" s="81"/>
      <c r="DE46" s="81"/>
      <c r="DF46" s="81"/>
      <c r="DG46" s="81"/>
      <c r="DH46" s="81"/>
      <c r="DI46" s="81"/>
      <c r="DJ46" s="81"/>
      <c r="DK46" s="81"/>
      <c r="DL46" s="81"/>
      <c r="DM46" s="81"/>
      <c r="DN46" s="136"/>
      <c r="DO46" s="174"/>
      <c r="DP46" s="135"/>
      <c r="DQ46" s="81"/>
      <c r="DR46" s="81"/>
      <c r="DS46" s="81"/>
      <c r="DT46" s="81"/>
      <c r="DU46" s="81"/>
      <c r="DV46" s="81"/>
      <c r="DW46" s="81"/>
      <c r="DX46" s="81"/>
      <c r="DY46" s="81"/>
      <c r="DZ46" s="81"/>
      <c r="EA46" s="81"/>
      <c r="EB46" s="81"/>
      <c r="EC46" s="81"/>
      <c r="ED46" s="81"/>
      <c r="EE46" s="136"/>
      <c r="EF46" s="174"/>
    </row>
    <row r="47" spans="1:136">
      <c r="A47" s="135"/>
      <c r="B47" s="81"/>
      <c r="C47" s="81"/>
      <c r="D47" s="81"/>
      <c r="E47" s="81"/>
      <c r="F47" s="81"/>
      <c r="G47" s="81"/>
      <c r="H47" s="81"/>
      <c r="I47" s="81"/>
      <c r="J47" s="81"/>
      <c r="K47" s="81"/>
      <c r="L47" s="81"/>
      <c r="M47" s="81"/>
      <c r="N47" s="81"/>
      <c r="O47" s="81"/>
      <c r="P47" s="136"/>
      <c r="Q47" s="174"/>
      <c r="R47" s="135"/>
      <c r="S47" s="81"/>
      <c r="T47" s="81"/>
      <c r="U47" s="81"/>
      <c r="V47" s="81"/>
      <c r="W47" s="81"/>
      <c r="X47" s="81"/>
      <c r="Y47" s="81"/>
      <c r="Z47" s="81"/>
      <c r="AA47" s="81"/>
      <c r="AB47" s="81"/>
      <c r="AC47" s="81"/>
      <c r="AD47" s="81"/>
      <c r="AE47" s="81"/>
      <c r="AF47" s="81"/>
      <c r="AG47" s="136"/>
      <c r="AH47" s="174"/>
      <c r="AI47" s="135"/>
      <c r="AJ47" s="81"/>
      <c r="AK47" s="81"/>
      <c r="AL47" s="81"/>
      <c r="AM47" s="81"/>
      <c r="AN47" s="81"/>
      <c r="AO47" s="81"/>
      <c r="AP47" s="81"/>
      <c r="AQ47" s="81"/>
      <c r="AR47" s="81"/>
      <c r="AS47" s="81"/>
      <c r="AT47" s="81"/>
      <c r="AU47" s="81"/>
      <c r="AV47" s="81"/>
      <c r="AW47" s="81"/>
      <c r="AX47" s="136"/>
      <c r="AY47" s="174"/>
      <c r="AZ47" s="135"/>
      <c r="BA47" s="81"/>
      <c r="BB47" s="81"/>
      <c r="BC47" s="81"/>
      <c r="BD47" s="81"/>
      <c r="BE47" s="81"/>
      <c r="BF47" s="81"/>
      <c r="BG47" s="81"/>
      <c r="BH47" s="81"/>
      <c r="BI47" s="81"/>
      <c r="BJ47" s="81"/>
      <c r="BK47" s="81"/>
      <c r="BL47" s="81"/>
      <c r="BM47" s="81"/>
      <c r="BN47" s="81"/>
      <c r="BO47" s="136"/>
      <c r="BP47" s="174"/>
      <c r="BQ47" s="135"/>
      <c r="BR47" s="81"/>
      <c r="BS47" s="81"/>
      <c r="BT47" s="81"/>
      <c r="BU47" s="81"/>
      <c r="BV47" s="81"/>
      <c r="BW47" s="81"/>
      <c r="BX47" s="81"/>
      <c r="BY47" s="81"/>
      <c r="BZ47" s="81"/>
      <c r="CA47" s="81"/>
      <c r="CB47" s="81"/>
      <c r="CC47" s="81"/>
      <c r="CD47" s="81"/>
      <c r="CE47" s="81"/>
      <c r="CF47" s="136"/>
      <c r="CG47" s="174"/>
      <c r="CH47" s="135"/>
      <c r="CI47" s="81"/>
      <c r="CJ47" s="81"/>
      <c r="CK47" s="81"/>
      <c r="CL47" s="81"/>
      <c r="CM47" s="81"/>
      <c r="CN47" s="81"/>
      <c r="CO47" s="81"/>
      <c r="CP47" s="81"/>
      <c r="CQ47" s="81"/>
      <c r="CR47" s="81"/>
      <c r="CS47" s="81"/>
      <c r="CT47" s="81"/>
      <c r="CU47" s="81"/>
      <c r="CV47" s="81"/>
      <c r="CW47" s="136"/>
      <c r="CX47" s="174"/>
      <c r="CY47" s="135"/>
      <c r="CZ47" s="81"/>
      <c r="DA47" s="81"/>
      <c r="DB47" s="81"/>
      <c r="DC47" s="81"/>
      <c r="DD47" s="81"/>
      <c r="DE47" s="81"/>
      <c r="DF47" s="81"/>
      <c r="DG47" s="81"/>
      <c r="DH47" s="81"/>
      <c r="DI47" s="81"/>
      <c r="DJ47" s="81"/>
      <c r="DK47" s="81"/>
      <c r="DL47" s="81"/>
      <c r="DM47" s="81"/>
      <c r="DN47" s="136"/>
      <c r="DO47" s="174"/>
      <c r="DP47" s="135"/>
      <c r="DQ47" s="81"/>
      <c r="DR47" s="81"/>
      <c r="DS47" s="81"/>
      <c r="DT47" s="81"/>
      <c r="DU47" s="81"/>
      <c r="DV47" s="81"/>
      <c r="DW47" s="81"/>
      <c r="DX47" s="81"/>
      <c r="DY47" s="81"/>
      <c r="DZ47" s="81"/>
      <c r="EA47" s="81"/>
      <c r="EB47" s="81"/>
      <c r="EC47" s="81"/>
      <c r="ED47" s="81"/>
      <c r="EE47" s="136"/>
      <c r="EF47" s="174"/>
    </row>
    <row r="48" spans="1:136">
      <c r="A48" s="135"/>
      <c r="B48" s="81"/>
      <c r="C48" s="81"/>
      <c r="D48" s="81"/>
      <c r="E48" s="81"/>
      <c r="F48" s="81"/>
      <c r="G48" s="81"/>
      <c r="H48" s="81"/>
      <c r="I48" s="81"/>
      <c r="J48" s="81"/>
      <c r="K48" s="81"/>
      <c r="L48" s="81"/>
      <c r="M48" s="81"/>
      <c r="N48" s="81"/>
      <c r="O48" s="81"/>
      <c r="P48" s="136"/>
      <c r="Q48" s="174"/>
      <c r="R48" s="135"/>
      <c r="S48" s="81"/>
      <c r="T48" s="81"/>
      <c r="U48" s="81"/>
      <c r="V48" s="81"/>
      <c r="W48" s="81"/>
      <c r="X48" s="81"/>
      <c r="Y48" s="81"/>
      <c r="Z48" s="81"/>
      <c r="AA48" s="81"/>
      <c r="AB48" s="81"/>
      <c r="AC48" s="81"/>
      <c r="AD48" s="81"/>
      <c r="AE48" s="81"/>
      <c r="AF48" s="81"/>
      <c r="AG48" s="136"/>
      <c r="AH48" s="174"/>
      <c r="AI48" s="135"/>
      <c r="AJ48" s="81"/>
      <c r="AK48" s="81"/>
      <c r="AL48" s="81"/>
      <c r="AM48" s="81"/>
      <c r="AN48" s="81"/>
      <c r="AO48" s="81"/>
      <c r="AP48" s="81"/>
      <c r="AQ48" s="81"/>
      <c r="AR48" s="81"/>
      <c r="AS48" s="81"/>
      <c r="AT48" s="81"/>
      <c r="AU48" s="81"/>
      <c r="AV48" s="81"/>
      <c r="AW48" s="81"/>
      <c r="AX48" s="136"/>
      <c r="AY48" s="174"/>
      <c r="AZ48" s="135"/>
      <c r="BA48" s="81"/>
      <c r="BB48" s="81"/>
      <c r="BC48" s="81"/>
      <c r="BD48" s="81"/>
      <c r="BE48" s="81"/>
      <c r="BF48" s="81"/>
      <c r="BG48" s="81"/>
      <c r="BH48" s="81"/>
      <c r="BI48" s="81"/>
      <c r="BJ48" s="81"/>
      <c r="BK48" s="81"/>
      <c r="BL48" s="81"/>
      <c r="BM48" s="81"/>
      <c r="BN48" s="81"/>
      <c r="BO48" s="136"/>
      <c r="BP48" s="174"/>
      <c r="BQ48" s="135"/>
      <c r="BR48" s="81"/>
      <c r="BS48" s="81"/>
      <c r="BT48" s="81"/>
      <c r="BU48" s="81"/>
      <c r="BV48" s="81"/>
      <c r="BW48" s="81"/>
      <c r="BX48" s="81"/>
      <c r="BY48" s="81"/>
      <c r="BZ48" s="81"/>
      <c r="CA48" s="81"/>
      <c r="CB48" s="81"/>
      <c r="CC48" s="81"/>
      <c r="CD48" s="81"/>
      <c r="CE48" s="81"/>
      <c r="CF48" s="136"/>
      <c r="CG48" s="174"/>
      <c r="CH48" s="135"/>
      <c r="CI48" s="81"/>
      <c r="CJ48" s="81"/>
      <c r="CK48" s="81"/>
      <c r="CL48" s="81"/>
      <c r="CM48" s="81"/>
      <c r="CN48" s="81"/>
      <c r="CO48" s="81"/>
      <c r="CP48" s="81"/>
      <c r="CQ48" s="81"/>
      <c r="CR48" s="81"/>
      <c r="CS48" s="81"/>
      <c r="CT48" s="81"/>
      <c r="CU48" s="81"/>
      <c r="CV48" s="81"/>
      <c r="CW48" s="136"/>
      <c r="CX48" s="174"/>
      <c r="CY48" s="135"/>
      <c r="CZ48" s="81"/>
      <c r="DA48" s="81"/>
      <c r="DB48" s="81"/>
      <c r="DC48" s="81"/>
      <c r="DD48" s="81"/>
      <c r="DE48" s="81"/>
      <c r="DF48" s="81"/>
      <c r="DG48" s="81"/>
      <c r="DH48" s="81"/>
      <c r="DI48" s="81"/>
      <c r="DJ48" s="81"/>
      <c r="DK48" s="81"/>
      <c r="DL48" s="81"/>
      <c r="DM48" s="81"/>
      <c r="DN48" s="136"/>
      <c r="DO48" s="174"/>
      <c r="DP48" s="135"/>
      <c r="DQ48" s="81"/>
      <c r="DR48" s="81"/>
      <c r="DS48" s="81"/>
      <c r="DT48" s="81"/>
      <c r="DU48" s="81"/>
      <c r="DV48" s="81"/>
      <c r="DW48" s="81"/>
      <c r="DX48" s="81"/>
      <c r="DY48" s="81"/>
      <c r="DZ48" s="81"/>
      <c r="EA48" s="81"/>
      <c r="EB48" s="81"/>
      <c r="EC48" s="81"/>
      <c r="ED48" s="81"/>
      <c r="EE48" s="136"/>
      <c r="EF48" s="174"/>
    </row>
    <row r="49" spans="1:136">
      <c r="A49" s="135"/>
      <c r="B49" s="81"/>
      <c r="C49" s="81"/>
      <c r="D49" s="81"/>
      <c r="E49" s="81"/>
      <c r="F49" s="81"/>
      <c r="G49" s="81"/>
      <c r="H49" s="81"/>
      <c r="I49" s="81"/>
      <c r="J49" s="81"/>
      <c r="K49" s="81"/>
      <c r="L49" s="81"/>
      <c r="M49" s="81"/>
      <c r="N49" s="81"/>
      <c r="O49" s="81"/>
      <c r="P49" s="136"/>
      <c r="Q49" s="174"/>
      <c r="R49" s="135"/>
      <c r="S49" s="81"/>
      <c r="T49" s="81"/>
      <c r="U49" s="81"/>
      <c r="V49" s="81"/>
      <c r="W49" s="81"/>
      <c r="X49" s="81"/>
      <c r="Y49" s="81"/>
      <c r="Z49" s="81"/>
      <c r="AA49" s="81"/>
      <c r="AB49" s="81"/>
      <c r="AC49" s="81"/>
      <c r="AD49" s="81"/>
      <c r="AE49" s="81"/>
      <c r="AF49" s="81"/>
      <c r="AG49" s="136"/>
      <c r="AH49" s="174"/>
      <c r="AI49" s="135"/>
      <c r="AJ49" s="81"/>
      <c r="AK49" s="81"/>
      <c r="AL49" s="81"/>
      <c r="AM49" s="81"/>
      <c r="AN49" s="81"/>
      <c r="AO49" s="81"/>
      <c r="AP49" s="81"/>
      <c r="AQ49" s="81"/>
      <c r="AR49" s="81"/>
      <c r="AS49" s="81"/>
      <c r="AT49" s="81"/>
      <c r="AU49" s="81"/>
      <c r="AV49" s="81"/>
      <c r="AW49" s="81"/>
      <c r="AX49" s="136"/>
      <c r="AY49" s="174"/>
      <c r="AZ49" s="135"/>
      <c r="BA49" s="81"/>
      <c r="BB49" s="81"/>
      <c r="BC49" s="81"/>
      <c r="BD49" s="81"/>
      <c r="BE49" s="81"/>
      <c r="BF49" s="81"/>
      <c r="BG49" s="81"/>
      <c r="BH49" s="81"/>
      <c r="BI49" s="81"/>
      <c r="BJ49" s="81"/>
      <c r="BK49" s="81"/>
      <c r="BL49" s="81"/>
      <c r="BM49" s="81"/>
      <c r="BN49" s="81"/>
      <c r="BO49" s="136"/>
      <c r="BP49" s="174"/>
      <c r="BQ49" s="135"/>
      <c r="BR49" s="81"/>
      <c r="BS49" s="81"/>
      <c r="BT49" s="81"/>
      <c r="BU49" s="81"/>
      <c r="BV49" s="81"/>
      <c r="BW49" s="81"/>
      <c r="BX49" s="81"/>
      <c r="BY49" s="81"/>
      <c r="BZ49" s="81"/>
      <c r="CA49" s="81"/>
      <c r="CB49" s="81"/>
      <c r="CC49" s="81"/>
      <c r="CD49" s="81"/>
      <c r="CE49" s="81"/>
      <c r="CF49" s="136"/>
      <c r="CG49" s="174"/>
      <c r="CH49" s="135"/>
      <c r="CI49" s="81"/>
      <c r="CJ49" s="81"/>
      <c r="CK49" s="81"/>
      <c r="CL49" s="81"/>
      <c r="CM49" s="81"/>
      <c r="CN49" s="81"/>
      <c r="CO49" s="81"/>
      <c r="CP49" s="81"/>
      <c r="CQ49" s="81"/>
      <c r="CR49" s="81"/>
      <c r="CS49" s="81"/>
      <c r="CT49" s="81"/>
      <c r="CU49" s="81"/>
      <c r="CV49" s="81"/>
      <c r="CW49" s="136"/>
      <c r="CX49" s="174"/>
      <c r="CY49" s="135"/>
      <c r="CZ49" s="81"/>
      <c r="DA49" s="81"/>
      <c r="DB49" s="81"/>
      <c r="DC49" s="81"/>
      <c r="DD49" s="81"/>
      <c r="DE49" s="81"/>
      <c r="DF49" s="81"/>
      <c r="DG49" s="81"/>
      <c r="DH49" s="81"/>
      <c r="DI49" s="81"/>
      <c r="DJ49" s="81"/>
      <c r="DK49" s="81"/>
      <c r="DL49" s="81"/>
      <c r="DM49" s="81"/>
      <c r="DN49" s="136"/>
      <c r="DO49" s="174"/>
      <c r="DP49" s="135"/>
      <c r="DQ49" s="81"/>
      <c r="DR49" s="81"/>
      <c r="DS49" s="81"/>
      <c r="DT49" s="81"/>
      <c r="DU49" s="81"/>
      <c r="DV49" s="81"/>
      <c r="DW49" s="81"/>
      <c r="DX49" s="81"/>
      <c r="DY49" s="81"/>
      <c r="DZ49" s="81"/>
      <c r="EA49" s="81"/>
      <c r="EB49" s="81"/>
      <c r="EC49" s="81"/>
      <c r="ED49" s="81"/>
      <c r="EE49" s="136"/>
      <c r="EF49" s="174"/>
    </row>
    <row r="50" spans="1:136">
      <c r="A50" s="135"/>
      <c r="B50" s="81"/>
      <c r="C50" s="81"/>
      <c r="D50" s="81"/>
      <c r="E50" s="81"/>
      <c r="F50" s="81"/>
      <c r="G50" s="81"/>
      <c r="H50" s="81"/>
      <c r="I50" s="81"/>
      <c r="J50" s="81"/>
      <c r="K50" s="81"/>
      <c r="L50" s="81"/>
      <c r="M50" s="81"/>
      <c r="N50" s="81"/>
      <c r="O50" s="81"/>
      <c r="P50" s="136"/>
      <c r="Q50" s="174"/>
      <c r="R50" s="135"/>
      <c r="S50" s="81"/>
      <c r="T50" s="81"/>
      <c r="U50" s="81"/>
      <c r="V50" s="81"/>
      <c r="W50" s="81"/>
      <c r="X50" s="81"/>
      <c r="Y50" s="81"/>
      <c r="Z50" s="81"/>
      <c r="AA50" s="81"/>
      <c r="AB50" s="81"/>
      <c r="AC50" s="81"/>
      <c r="AD50" s="81"/>
      <c r="AE50" s="81"/>
      <c r="AF50" s="81"/>
      <c r="AG50" s="136"/>
      <c r="AH50" s="174"/>
      <c r="AI50" s="135"/>
      <c r="AJ50" s="81"/>
      <c r="AK50" s="81"/>
      <c r="AL50" s="81"/>
      <c r="AM50" s="81"/>
      <c r="AN50" s="81"/>
      <c r="AO50" s="81"/>
      <c r="AP50" s="81"/>
      <c r="AQ50" s="81"/>
      <c r="AR50" s="81"/>
      <c r="AS50" s="81"/>
      <c r="AT50" s="81"/>
      <c r="AU50" s="81"/>
      <c r="AV50" s="81"/>
      <c r="AW50" s="81"/>
      <c r="AX50" s="136"/>
      <c r="AY50" s="174"/>
      <c r="AZ50" s="135"/>
      <c r="BA50" s="81"/>
      <c r="BB50" s="81"/>
      <c r="BC50" s="81"/>
      <c r="BD50" s="81"/>
      <c r="BE50" s="81"/>
      <c r="BF50" s="81"/>
      <c r="BG50" s="81"/>
      <c r="BH50" s="81"/>
      <c r="BI50" s="81"/>
      <c r="BJ50" s="81"/>
      <c r="BK50" s="81"/>
      <c r="BL50" s="81"/>
      <c r="BM50" s="81"/>
      <c r="BN50" s="81"/>
      <c r="BO50" s="136"/>
      <c r="BP50" s="174"/>
      <c r="BQ50" s="135"/>
      <c r="BR50" s="81"/>
      <c r="BS50" s="81"/>
      <c r="BT50" s="81"/>
      <c r="BU50" s="81"/>
      <c r="BV50" s="81"/>
      <c r="BW50" s="81"/>
      <c r="BX50" s="81"/>
      <c r="BY50" s="81"/>
      <c r="BZ50" s="81"/>
      <c r="CA50" s="81"/>
      <c r="CB50" s="81"/>
      <c r="CC50" s="81"/>
      <c r="CD50" s="81"/>
      <c r="CE50" s="81"/>
      <c r="CF50" s="136"/>
      <c r="CG50" s="174"/>
      <c r="CH50" s="135"/>
      <c r="CI50" s="81"/>
      <c r="CJ50" s="81"/>
      <c r="CK50" s="81"/>
      <c r="CL50" s="81"/>
      <c r="CM50" s="81"/>
      <c r="CN50" s="81"/>
      <c r="CO50" s="81"/>
      <c r="CP50" s="81"/>
      <c r="CQ50" s="81"/>
      <c r="CR50" s="81"/>
      <c r="CS50" s="81"/>
      <c r="CT50" s="81"/>
      <c r="CU50" s="81"/>
      <c r="CV50" s="81"/>
      <c r="CW50" s="136"/>
      <c r="CX50" s="174"/>
      <c r="CY50" s="135"/>
      <c r="CZ50" s="81"/>
      <c r="DA50" s="81"/>
      <c r="DB50" s="81"/>
      <c r="DC50" s="81"/>
      <c r="DD50" s="81"/>
      <c r="DE50" s="81"/>
      <c r="DF50" s="81"/>
      <c r="DG50" s="81"/>
      <c r="DH50" s="81"/>
      <c r="DI50" s="81"/>
      <c r="DJ50" s="81"/>
      <c r="DK50" s="81"/>
      <c r="DL50" s="81"/>
      <c r="DM50" s="81"/>
      <c r="DN50" s="136"/>
      <c r="DO50" s="174"/>
      <c r="DP50" s="135"/>
      <c r="DQ50" s="81"/>
      <c r="DR50" s="81"/>
      <c r="DS50" s="81"/>
      <c r="DT50" s="81"/>
      <c r="DU50" s="81"/>
      <c r="DV50" s="81"/>
      <c r="DW50" s="81"/>
      <c r="DX50" s="81"/>
      <c r="DY50" s="81"/>
      <c r="DZ50" s="81"/>
      <c r="EA50" s="81"/>
      <c r="EB50" s="81"/>
      <c r="EC50" s="81"/>
      <c r="ED50" s="81"/>
      <c r="EE50" s="136"/>
      <c r="EF50" s="174"/>
    </row>
    <row r="51" spans="1:136">
      <c r="A51" s="135"/>
      <c r="B51" s="81"/>
      <c r="C51" s="81"/>
      <c r="D51" s="81"/>
      <c r="E51" s="81"/>
      <c r="F51" s="81"/>
      <c r="G51" s="81"/>
      <c r="H51" s="81"/>
      <c r="I51" s="81"/>
      <c r="J51" s="81"/>
      <c r="K51" s="81"/>
      <c r="L51" s="81"/>
      <c r="M51" s="81"/>
      <c r="N51" s="81"/>
      <c r="O51" s="81"/>
      <c r="P51" s="136"/>
      <c r="Q51" s="174"/>
      <c r="R51" s="135"/>
      <c r="S51" s="81"/>
      <c r="T51" s="81"/>
      <c r="U51" s="81"/>
      <c r="V51" s="81"/>
      <c r="W51" s="81"/>
      <c r="X51" s="81"/>
      <c r="Y51" s="81"/>
      <c r="Z51" s="81"/>
      <c r="AA51" s="81"/>
      <c r="AB51" s="81"/>
      <c r="AC51" s="81"/>
      <c r="AD51" s="81"/>
      <c r="AE51" s="81"/>
      <c r="AF51" s="81"/>
      <c r="AG51" s="136"/>
      <c r="AH51" s="174"/>
      <c r="AI51" s="135"/>
      <c r="AJ51" s="81"/>
      <c r="AK51" s="81"/>
      <c r="AL51" s="81"/>
      <c r="AM51" s="81"/>
      <c r="AN51" s="81"/>
      <c r="AO51" s="81"/>
      <c r="AP51" s="81"/>
      <c r="AQ51" s="81"/>
      <c r="AR51" s="81"/>
      <c r="AS51" s="81"/>
      <c r="AT51" s="81"/>
      <c r="AU51" s="81"/>
      <c r="AV51" s="81"/>
      <c r="AW51" s="81"/>
      <c r="AX51" s="136"/>
      <c r="AY51" s="174"/>
      <c r="AZ51" s="135"/>
      <c r="BA51" s="81"/>
      <c r="BB51" s="81"/>
      <c r="BC51" s="81"/>
      <c r="BD51" s="81"/>
      <c r="BE51" s="81"/>
      <c r="BF51" s="81"/>
      <c r="BG51" s="81"/>
      <c r="BH51" s="81"/>
      <c r="BI51" s="81"/>
      <c r="BJ51" s="81"/>
      <c r="BK51" s="81"/>
      <c r="BL51" s="81"/>
      <c r="BM51" s="81"/>
      <c r="BN51" s="81"/>
      <c r="BO51" s="136"/>
      <c r="BP51" s="174"/>
      <c r="BQ51" s="135"/>
      <c r="BR51" s="81"/>
      <c r="BS51" s="81"/>
      <c r="BT51" s="81"/>
      <c r="BU51" s="81"/>
      <c r="BV51" s="81"/>
      <c r="BW51" s="81"/>
      <c r="BX51" s="81"/>
      <c r="BY51" s="81"/>
      <c r="BZ51" s="81"/>
      <c r="CA51" s="81"/>
      <c r="CB51" s="81"/>
      <c r="CC51" s="81"/>
      <c r="CD51" s="81"/>
      <c r="CE51" s="81"/>
      <c r="CF51" s="136"/>
      <c r="CG51" s="174"/>
      <c r="CH51" s="135"/>
      <c r="CI51" s="81"/>
      <c r="CJ51" s="81"/>
      <c r="CK51" s="81"/>
      <c r="CL51" s="81"/>
      <c r="CM51" s="81"/>
      <c r="CN51" s="81"/>
      <c r="CO51" s="81"/>
      <c r="CP51" s="81"/>
      <c r="CQ51" s="81"/>
      <c r="CR51" s="81"/>
      <c r="CS51" s="81"/>
      <c r="CT51" s="81"/>
      <c r="CU51" s="81"/>
      <c r="CV51" s="81"/>
      <c r="CW51" s="136"/>
      <c r="CX51" s="174"/>
      <c r="CY51" s="135"/>
      <c r="CZ51" s="81"/>
      <c r="DA51" s="81"/>
      <c r="DB51" s="81"/>
      <c r="DC51" s="81"/>
      <c r="DD51" s="81"/>
      <c r="DE51" s="81"/>
      <c r="DF51" s="81"/>
      <c r="DG51" s="81"/>
      <c r="DH51" s="81"/>
      <c r="DI51" s="81"/>
      <c r="DJ51" s="81"/>
      <c r="DK51" s="81"/>
      <c r="DL51" s="81"/>
      <c r="DM51" s="81"/>
      <c r="DN51" s="136"/>
      <c r="DO51" s="174"/>
      <c r="DP51" s="135"/>
      <c r="DQ51" s="81"/>
      <c r="DR51" s="81"/>
      <c r="DS51" s="81"/>
      <c r="DT51" s="81"/>
      <c r="DU51" s="81"/>
      <c r="DV51" s="81"/>
      <c r="DW51" s="81"/>
      <c r="DX51" s="81"/>
      <c r="DY51" s="81"/>
      <c r="DZ51" s="81"/>
      <c r="EA51" s="81"/>
      <c r="EB51" s="81"/>
      <c r="EC51" s="81"/>
      <c r="ED51" s="81"/>
      <c r="EE51" s="136"/>
      <c r="EF51" s="174"/>
    </row>
    <row r="52" spans="1:136">
      <c r="A52" s="135"/>
      <c r="B52" s="81"/>
      <c r="C52" s="81"/>
      <c r="D52" s="81"/>
      <c r="E52" s="81"/>
      <c r="F52" s="81"/>
      <c r="G52" s="81"/>
      <c r="H52" s="81"/>
      <c r="I52" s="81"/>
      <c r="J52" s="81"/>
      <c r="K52" s="81"/>
      <c r="L52" s="81"/>
      <c r="M52" s="81"/>
      <c r="N52" s="81"/>
      <c r="O52" s="81"/>
      <c r="P52" s="136"/>
      <c r="Q52" s="174"/>
      <c r="R52" s="135"/>
      <c r="S52" s="81"/>
      <c r="T52" s="81"/>
      <c r="U52" s="81"/>
      <c r="V52" s="81"/>
      <c r="W52" s="81"/>
      <c r="X52" s="81"/>
      <c r="Y52" s="81"/>
      <c r="Z52" s="81"/>
      <c r="AA52" s="81"/>
      <c r="AB52" s="81"/>
      <c r="AC52" s="81"/>
      <c r="AD52" s="81"/>
      <c r="AE52" s="81"/>
      <c r="AF52" s="81"/>
      <c r="AG52" s="136"/>
      <c r="AH52" s="174"/>
      <c r="AI52" s="135"/>
      <c r="AJ52" s="81"/>
      <c r="AK52" s="81"/>
      <c r="AL52" s="81"/>
      <c r="AM52" s="81"/>
      <c r="AN52" s="81"/>
      <c r="AO52" s="81"/>
      <c r="AP52" s="81"/>
      <c r="AQ52" s="81"/>
      <c r="AR52" s="81"/>
      <c r="AS52" s="81"/>
      <c r="AT52" s="81"/>
      <c r="AU52" s="81"/>
      <c r="AV52" s="81"/>
      <c r="AW52" s="81"/>
      <c r="AX52" s="136"/>
      <c r="AY52" s="174"/>
      <c r="AZ52" s="135"/>
      <c r="BA52" s="81"/>
      <c r="BB52" s="81"/>
      <c r="BC52" s="81"/>
      <c r="BD52" s="81"/>
      <c r="BE52" s="81"/>
      <c r="BF52" s="81"/>
      <c r="BG52" s="81"/>
      <c r="BH52" s="81"/>
      <c r="BI52" s="81"/>
      <c r="BJ52" s="81"/>
      <c r="BK52" s="81"/>
      <c r="BL52" s="81"/>
      <c r="BM52" s="81"/>
      <c r="BN52" s="81"/>
      <c r="BO52" s="136"/>
      <c r="BP52" s="174"/>
      <c r="BQ52" s="135"/>
      <c r="BR52" s="81"/>
      <c r="BS52" s="81"/>
      <c r="BT52" s="81"/>
      <c r="BU52" s="81"/>
      <c r="BV52" s="81"/>
      <c r="BW52" s="81"/>
      <c r="BX52" s="81"/>
      <c r="BY52" s="81"/>
      <c r="BZ52" s="81"/>
      <c r="CA52" s="81"/>
      <c r="CB52" s="81"/>
      <c r="CC52" s="81"/>
      <c r="CD52" s="81"/>
      <c r="CE52" s="81"/>
      <c r="CF52" s="136"/>
      <c r="CG52" s="174"/>
      <c r="CH52" s="135"/>
      <c r="CI52" s="81"/>
      <c r="CJ52" s="81"/>
      <c r="CK52" s="81"/>
      <c r="CL52" s="81"/>
      <c r="CM52" s="81"/>
      <c r="CN52" s="81"/>
      <c r="CO52" s="81"/>
      <c r="CP52" s="81"/>
      <c r="CQ52" s="81"/>
      <c r="CR52" s="81"/>
      <c r="CS52" s="81"/>
      <c r="CT52" s="81"/>
      <c r="CU52" s="81"/>
      <c r="CV52" s="81"/>
      <c r="CW52" s="136"/>
      <c r="CX52" s="174"/>
      <c r="CY52" s="135"/>
      <c r="CZ52" s="81"/>
      <c r="DA52" s="81"/>
      <c r="DB52" s="81"/>
      <c r="DC52" s="81"/>
      <c r="DD52" s="81"/>
      <c r="DE52" s="81"/>
      <c r="DF52" s="81"/>
      <c r="DG52" s="81"/>
      <c r="DH52" s="81"/>
      <c r="DI52" s="81"/>
      <c r="DJ52" s="81"/>
      <c r="DK52" s="81"/>
      <c r="DL52" s="81"/>
      <c r="DM52" s="81"/>
      <c r="DN52" s="136"/>
      <c r="DO52" s="174"/>
      <c r="DP52" s="135"/>
      <c r="DQ52" s="81"/>
      <c r="DR52" s="81"/>
      <c r="DS52" s="81"/>
      <c r="DT52" s="81"/>
      <c r="DU52" s="81"/>
      <c r="DV52" s="81"/>
      <c r="DW52" s="81"/>
      <c r="DX52" s="81"/>
      <c r="DY52" s="81"/>
      <c r="DZ52" s="81"/>
      <c r="EA52" s="81"/>
      <c r="EB52" s="81"/>
      <c r="EC52" s="81"/>
      <c r="ED52" s="81"/>
      <c r="EE52" s="136"/>
      <c r="EF52" s="174"/>
    </row>
    <row r="53" spans="1:136">
      <c r="A53" s="135"/>
      <c r="B53" s="81"/>
      <c r="C53" s="81"/>
      <c r="D53" s="81"/>
      <c r="E53" s="81"/>
      <c r="F53" s="81"/>
      <c r="G53" s="81"/>
      <c r="H53" s="81"/>
      <c r="I53" s="81"/>
      <c r="J53" s="81"/>
      <c r="K53" s="81"/>
      <c r="L53" s="81"/>
      <c r="M53" s="81"/>
      <c r="N53" s="81"/>
      <c r="O53" s="81"/>
      <c r="P53" s="136"/>
      <c r="Q53" s="174"/>
      <c r="R53" s="135"/>
      <c r="S53" s="81"/>
      <c r="T53" s="81"/>
      <c r="U53" s="81"/>
      <c r="V53" s="81"/>
      <c r="W53" s="81"/>
      <c r="X53" s="81"/>
      <c r="Y53" s="81"/>
      <c r="Z53" s="81"/>
      <c r="AA53" s="81"/>
      <c r="AB53" s="81"/>
      <c r="AC53" s="81"/>
      <c r="AD53" s="81"/>
      <c r="AE53" s="81"/>
      <c r="AF53" s="81"/>
      <c r="AG53" s="136"/>
      <c r="AH53" s="174"/>
      <c r="AI53" s="135"/>
      <c r="AJ53" s="81"/>
      <c r="AK53" s="81"/>
      <c r="AL53" s="81"/>
      <c r="AM53" s="81"/>
      <c r="AN53" s="81"/>
      <c r="AO53" s="81"/>
      <c r="AP53" s="81"/>
      <c r="AQ53" s="81"/>
      <c r="AR53" s="81"/>
      <c r="AS53" s="81"/>
      <c r="AT53" s="81"/>
      <c r="AU53" s="81"/>
      <c r="AV53" s="81"/>
      <c r="AW53" s="81"/>
      <c r="AX53" s="136"/>
      <c r="AY53" s="174"/>
      <c r="AZ53" s="135"/>
      <c r="BA53" s="81"/>
      <c r="BB53" s="81"/>
      <c r="BC53" s="81"/>
      <c r="BD53" s="81"/>
      <c r="BE53" s="81"/>
      <c r="BF53" s="81"/>
      <c r="BG53" s="81"/>
      <c r="BH53" s="81"/>
      <c r="BI53" s="81"/>
      <c r="BJ53" s="81"/>
      <c r="BK53" s="81"/>
      <c r="BL53" s="81"/>
      <c r="BM53" s="81"/>
      <c r="BN53" s="81"/>
      <c r="BO53" s="136"/>
      <c r="BP53" s="174"/>
      <c r="BQ53" s="135"/>
      <c r="BR53" s="81"/>
      <c r="BS53" s="81"/>
      <c r="BT53" s="81"/>
      <c r="BU53" s="81"/>
      <c r="BV53" s="81"/>
      <c r="BW53" s="81"/>
      <c r="BX53" s="81"/>
      <c r="BY53" s="81"/>
      <c r="BZ53" s="81"/>
      <c r="CA53" s="81"/>
      <c r="CB53" s="81"/>
      <c r="CC53" s="81"/>
      <c r="CD53" s="81"/>
      <c r="CE53" s="81"/>
      <c r="CF53" s="136"/>
      <c r="CG53" s="174"/>
      <c r="CH53" s="135"/>
      <c r="CI53" s="81"/>
      <c r="CJ53" s="81"/>
      <c r="CK53" s="81"/>
      <c r="CL53" s="81"/>
      <c r="CM53" s="81"/>
      <c r="CN53" s="81"/>
      <c r="CO53" s="81"/>
      <c r="CP53" s="81"/>
      <c r="CQ53" s="81"/>
      <c r="CR53" s="81"/>
      <c r="CS53" s="81"/>
      <c r="CT53" s="81"/>
      <c r="CU53" s="81"/>
      <c r="CV53" s="81"/>
      <c r="CW53" s="136"/>
      <c r="CX53" s="174"/>
      <c r="CY53" s="135"/>
      <c r="CZ53" s="81"/>
      <c r="DA53" s="81"/>
      <c r="DB53" s="81"/>
      <c r="DC53" s="81"/>
      <c r="DD53" s="81"/>
      <c r="DE53" s="81"/>
      <c r="DF53" s="81"/>
      <c r="DG53" s="81"/>
      <c r="DH53" s="81"/>
      <c r="DI53" s="81"/>
      <c r="DJ53" s="81"/>
      <c r="DK53" s="81"/>
      <c r="DL53" s="81"/>
      <c r="DM53" s="81"/>
      <c r="DN53" s="136"/>
      <c r="DO53" s="174"/>
      <c r="DP53" s="135"/>
      <c r="DQ53" s="81"/>
      <c r="DR53" s="81"/>
      <c r="DS53" s="81"/>
      <c r="DT53" s="81"/>
      <c r="DU53" s="81"/>
      <c r="DV53" s="81"/>
      <c r="DW53" s="81"/>
      <c r="DX53" s="81"/>
      <c r="DY53" s="81"/>
      <c r="DZ53" s="81"/>
      <c r="EA53" s="81"/>
      <c r="EB53" s="81"/>
      <c r="EC53" s="81"/>
      <c r="ED53" s="81"/>
      <c r="EE53" s="136"/>
      <c r="EF53" s="174"/>
    </row>
    <row r="54" spans="1:136">
      <c r="A54" s="135"/>
      <c r="B54" s="81"/>
      <c r="C54" s="81"/>
      <c r="D54" s="81"/>
      <c r="E54" s="81"/>
      <c r="F54" s="81"/>
      <c r="G54" s="81"/>
      <c r="H54" s="81"/>
      <c r="I54" s="81"/>
      <c r="J54" s="81"/>
      <c r="K54" s="81"/>
      <c r="L54" s="81"/>
      <c r="M54" s="81"/>
      <c r="N54" s="81"/>
      <c r="O54" s="81"/>
      <c r="P54" s="136"/>
      <c r="Q54" s="174"/>
      <c r="R54" s="135"/>
      <c r="S54" s="81"/>
      <c r="T54" s="81"/>
      <c r="U54" s="81"/>
      <c r="V54" s="81"/>
      <c r="W54" s="81"/>
      <c r="X54" s="81"/>
      <c r="Y54" s="81"/>
      <c r="Z54" s="81"/>
      <c r="AA54" s="81"/>
      <c r="AB54" s="81"/>
      <c r="AC54" s="81"/>
      <c r="AD54" s="81"/>
      <c r="AE54" s="81"/>
      <c r="AF54" s="81"/>
      <c r="AG54" s="136"/>
      <c r="AH54" s="174"/>
      <c r="AI54" s="135"/>
      <c r="AJ54" s="81"/>
      <c r="AK54" s="81"/>
      <c r="AL54" s="81"/>
      <c r="AM54" s="81"/>
      <c r="AN54" s="81"/>
      <c r="AO54" s="81"/>
      <c r="AP54" s="81"/>
      <c r="AQ54" s="81"/>
      <c r="AR54" s="81"/>
      <c r="AS54" s="81"/>
      <c r="AT54" s="81"/>
      <c r="AU54" s="81"/>
      <c r="AV54" s="81"/>
      <c r="AW54" s="81"/>
      <c r="AX54" s="136"/>
      <c r="AY54" s="174"/>
      <c r="AZ54" s="135"/>
      <c r="BA54" s="81"/>
      <c r="BB54" s="81"/>
      <c r="BC54" s="81"/>
      <c r="BD54" s="81"/>
      <c r="BE54" s="81"/>
      <c r="BF54" s="81"/>
      <c r="BG54" s="81"/>
      <c r="BH54" s="81"/>
      <c r="BI54" s="81"/>
      <c r="BJ54" s="81"/>
      <c r="BK54" s="81"/>
      <c r="BL54" s="81"/>
      <c r="BM54" s="81"/>
      <c r="BN54" s="81"/>
      <c r="BO54" s="136"/>
      <c r="BP54" s="174"/>
      <c r="BQ54" s="135"/>
      <c r="BR54" s="81"/>
      <c r="BS54" s="81"/>
      <c r="BT54" s="81"/>
      <c r="BU54" s="81"/>
      <c r="BV54" s="81"/>
      <c r="BW54" s="81"/>
      <c r="BX54" s="81"/>
      <c r="BY54" s="81"/>
      <c r="BZ54" s="81"/>
      <c r="CA54" s="81"/>
      <c r="CB54" s="81"/>
      <c r="CC54" s="81"/>
      <c r="CD54" s="81"/>
      <c r="CE54" s="81"/>
      <c r="CF54" s="136"/>
      <c r="CG54" s="174"/>
      <c r="CH54" s="135"/>
      <c r="CI54" s="81"/>
      <c r="CJ54" s="81"/>
      <c r="CK54" s="81"/>
      <c r="CL54" s="81"/>
      <c r="CM54" s="81"/>
      <c r="CN54" s="81"/>
      <c r="CO54" s="81"/>
      <c r="CP54" s="81"/>
      <c r="CQ54" s="81"/>
      <c r="CR54" s="81"/>
      <c r="CS54" s="81"/>
      <c r="CT54" s="81"/>
      <c r="CU54" s="81"/>
      <c r="CV54" s="81"/>
      <c r="CW54" s="136"/>
      <c r="CX54" s="174"/>
      <c r="CY54" s="135"/>
      <c r="CZ54" s="81"/>
      <c r="DA54" s="81"/>
      <c r="DB54" s="81"/>
      <c r="DC54" s="81"/>
      <c r="DD54" s="81"/>
      <c r="DE54" s="81"/>
      <c r="DF54" s="81"/>
      <c r="DG54" s="81"/>
      <c r="DH54" s="81"/>
      <c r="DI54" s="81"/>
      <c r="DJ54" s="81"/>
      <c r="DK54" s="81"/>
      <c r="DL54" s="81"/>
      <c r="DM54" s="81"/>
      <c r="DN54" s="136"/>
      <c r="DO54" s="174"/>
      <c r="DP54" s="135"/>
      <c r="DQ54" s="81"/>
      <c r="DR54" s="81"/>
      <c r="DS54" s="81"/>
      <c r="DT54" s="81"/>
      <c r="DU54" s="81"/>
      <c r="DV54" s="81"/>
      <c r="DW54" s="81"/>
      <c r="DX54" s="81"/>
      <c r="DY54" s="81"/>
      <c r="DZ54" s="81"/>
      <c r="EA54" s="81"/>
      <c r="EB54" s="81"/>
      <c r="EC54" s="81"/>
      <c r="ED54" s="81"/>
      <c r="EE54" s="136"/>
      <c r="EF54" s="174"/>
    </row>
    <row r="55" spans="1:136">
      <c r="A55" s="135"/>
      <c r="B55" s="81"/>
      <c r="C55" s="81"/>
      <c r="D55" s="81"/>
      <c r="E55" s="81"/>
      <c r="F55" s="81"/>
      <c r="G55" s="81"/>
      <c r="H55" s="81"/>
      <c r="I55" s="81"/>
      <c r="J55" s="81"/>
      <c r="K55" s="81"/>
      <c r="L55" s="81"/>
      <c r="M55" s="81"/>
      <c r="N55" s="81"/>
      <c r="O55" s="81"/>
      <c r="P55" s="136"/>
      <c r="Q55" s="174"/>
      <c r="R55" s="135"/>
      <c r="S55" s="81"/>
      <c r="T55" s="81"/>
      <c r="U55" s="81"/>
      <c r="V55" s="81"/>
      <c r="W55" s="81"/>
      <c r="X55" s="81"/>
      <c r="Y55" s="81"/>
      <c r="Z55" s="81"/>
      <c r="AA55" s="81"/>
      <c r="AB55" s="81"/>
      <c r="AC55" s="81"/>
      <c r="AD55" s="81"/>
      <c r="AE55" s="81"/>
      <c r="AF55" s="81"/>
      <c r="AG55" s="136"/>
      <c r="AH55" s="174"/>
      <c r="AI55" s="135"/>
      <c r="AJ55" s="81"/>
      <c r="AK55" s="81"/>
      <c r="AL55" s="81"/>
      <c r="AM55" s="81"/>
      <c r="AN55" s="81"/>
      <c r="AO55" s="81"/>
      <c r="AP55" s="81"/>
      <c r="AQ55" s="81"/>
      <c r="AR55" s="81"/>
      <c r="AS55" s="81"/>
      <c r="AT55" s="81"/>
      <c r="AU55" s="81"/>
      <c r="AV55" s="81"/>
      <c r="AW55" s="81"/>
      <c r="AX55" s="136"/>
      <c r="AY55" s="174"/>
      <c r="AZ55" s="135"/>
      <c r="BA55" s="81"/>
      <c r="BB55" s="81"/>
      <c r="BC55" s="81"/>
      <c r="BD55" s="81"/>
      <c r="BE55" s="81"/>
      <c r="BF55" s="81"/>
      <c r="BG55" s="81"/>
      <c r="BH55" s="81"/>
      <c r="BI55" s="81"/>
      <c r="BJ55" s="81"/>
      <c r="BK55" s="81"/>
      <c r="BL55" s="81"/>
      <c r="BM55" s="81"/>
      <c r="BN55" s="81"/>
      <c r="BO55" s="136"/>
      <c r="BP55" s="174"/>
      <c r="BQ55" s="135"/>
      <c r="BR55" s="81"/>
      <c r="BS55" s="81"/>
      <c r="BT55" s="81"/>
      <c r="BU55" s="81"/>
      <c r="BV55" s="81"/>
      <c r="BW55" s="81"/>
      <c r="BX55" s="81"/>
      <c r="BY55" s="81"/>
      <c r="BZ55" s="81"/>
      <c r="CA55" s="81"/>
      <c r="CB55" s="81"/>
      <c r="CC55" s="81"/>
      <c r="CD55" s="81"/>
      <c r="CE55" s="81"/>
      <c r="CF55" s="136"/>
      <c r="CG55" s="174"/>
      <c r="CH55" s="135"/>
      <c r="CI55" s="81"/>
      <c r="CJ55" s="81"/>
      <c r="CK55" s="81"/>
      <c r="CL55" s="81"/>
      <c r="CM55" s="81"/>
      <c r="CN55" s="81"/>
      <c r="CO55" s="81"/>
      <c r="CP55" s="81"/>
      <c r="CQ55" s="81"/>
      <c r="CR55" s="81"/>
      <c r="CS55" s="81"/>
      <c r="CT55" s="81"/>
      <c r="CU55" s="81"/>
      <c r="CV55" s="81"/>
      <c r="CW55" s="136"/>
      <c r="CX55" s="174"/>
      <c r="CY55" s="135"/>
      <c r="CZ55" s="81"/>
      <c r="DA55" s="81"/>
      <c r="DB55" s="81"/>
      <c r="DC55" s="81"/>
      <c r="DD55" s="81"/>
      <c r="DE55" s="81"/>
      <c r="DF55" s="81"/>
      <c r="DG55" s="81"/>
      <c r="DH55" s="81"/>
      <c r="DI55" s="81"/>
      <c r="DJ55" s="81"/>
      <c r="DK55" s="81"/>
      <c r="DL55" s="81"/>
      <c r="DM55" s="81"/>
      <c r="DN55" s="136"/>
      <c r="DO55" s="174"/>
      <c r="DP55" s="135"/>
      <c r="DQ55" s="81"/>
      <c r="DR55" s="81"/>
      <c r="DS55" s="81"/>
      <c r="DT55" s="81"/>
      <c r="DU55" s="81"/>
      <c r="DV55" s="81"/>
      <c r="DW55" s="81"/>
      <c r="DX55" s="81"/>
      <c r="DY55" s="81"/>
      <c r="DZ55" s="81"/>
      <c r="EA55" s="81"/>
      <c r="EB55" s="81"/>
      <c r="EC55" s="81"/>
      <c r="ED55" s="81"/>
      <c r="EE55" s="136"/>
      <c r="EF55" s="174"/>
    </row>
    <row r="56" spans="1:136">
      <c r="A56" s="135"/>
      <c r="B56" s="81"/>
      <c r="C56" s="81"/>
      <c r="D56" s="81"/>
      <c r="E56" s="81"/>
      <c r="F56" s="81"/>
      <c r="G56" s="81"/>
      <c r="H56" s="81"/>
      <c r="I56" s="81"/>
      <c r="J56" s="81"/>
      <c r="K56" s="81"/>
      <c r="L56" s="81"/>
      <c r="M56" s="81"/>
      <c r="N56" s="81"/>
      <c r="O56" s="81"/>
      <c r="P56" s="136"/>
      <c r="Q56" s="174"/>
      <c r="R56" s="135"/>
      <c r="S56" s="81"/>
      <c r="T56" s="81"/>
      <c r="U56" s="81"/>
      <c r="V56" s="81"/>
      <c r="W56" s="81"/>
      <c r="X56" s="81"/>
      <c r="Y56" s="81"/>
      <c r="Z56" s="81"/>
      <c r="AA56" s="81"/>
      <c r="AB56" s="81"/>
      <c r="AC56" s="81"/>
      <c r="AD56" s="81"/>
      <c r="AE56" s="81"/>
      <c r="AF56" s="81"/>
      <c r="AG56" s="136"/>
      <c r="AH56" s="174"/>
      <c r="AI56" s="135"/>
      <c r="AJ56" s="81"/>
      <c r="AK56" s="81"/>
      <c r="AL56" s="81"/>
      <c r="AM56" s="81"/>
      <c r="AN56" s="81"/>
      <c r="AO56" s="81"/>
      <c r="AP56" s="81"/>
      <c r="AQ56" s="81"/>
      <c r="AR56" s="81"/>
      <c r="AS56" s="81"/>
      <c r="AT56" s="81"/>
      <c r="AU56" s="81"/>
      <c r="AV56" s="81"/>
      <c r="AW56" s="81"/>
      <c r="AX56" s="136"/>
      <c r="AY56" s="174"/>
      <c r="AZ56" s="135"/>
      <c r="BA56" s="81"/>
      <c r="BB56" s="81"/>
      <c r="BC56" s="81"/>
      <c r="BD56" s="81"/>
      <c r="BE56" s="81"/>
      <c r="BF56" s="81"/>
      <c r="BG56" s="81"/>
      <c r="BH56" s="81"/>
      <c r="BI56" s="81"/>
      <c r="BJ56" s="81"/>
      <c r="BK56" s="81"/>
      <c r="BL56" s="81"/>
      <c r="BM56" s="81"/>
      <c r="BN56" s="81"/>
      <c r="BO56" s="136"/>
      <c r="BP56" s="174"/>
      <c r="BQ56" s="135"/>
      <c r="BR56" s="81"/>
      <c r="BS56" s="81"/>
      <c r="BT56" s="81"/>
      <c r="BU56" s="81"/>
      <c r="BV56" s="81"/>
      <c r="BW56" s="81"/>
      <c r="BX56" s="81"/>
      <c r="BY56" s="81"/>
      <c r="BZ56" s="81"/>
      <c r="CA56" s="81"/>
      <c r="CB56" s="81"/>
      <c r="CC56" s="81"/>
      <c r="CD56" s="81"/>
      <c r="CE56" s="81"/>
      <c r="CF56" s="136"/>
      <c r="CG56" s="174"/>
      <c r="CH56" s="135"/>
      <c r="CI56" s="81"/>
      <c r="CJ56" s="81"/>
      <c r="CK56" s="81"/>
      <c r="CL56" s="81"/>
      <c r="CM56" s="81"/>
      <c r="CN56" s="81"/>
      <c r="CO56" s="81"/>
      <c r="CP56" s="81"/>
      <c r="CQ56" s="81"/>
      <c r="CR56" s="81"/>
      <c r="CS56" s="81"/>
      <c r="CT56" s="81"/>
      <c r="CU56" s="81"/>
      <c r="CV56" s="81"/>
      <c r="CW56" s="136"/>
      <c r="CX56" s="174"/>
      <c r="CY56" s="135"/>
      <c r="CZ56" s="81"/>
      <c r="DA56" s="81"/>
      <c r="DB56" s="81"/>
      <c r="DC56" s="81"/>
      <c r="DD56" s="81"/>
      <c r="DE56" s="81"/>
      <c r="DF56" s="81"/>
      <c r="DG56" s="81"/>
      <c r="DH56" s="81"/>
      <c r="DI56" s="81"/>
      <c r="DJ56" s="81"/>
      <c r="DK56" s="81"/>
      <c r="DL56" s="81"/>
      <c r="DM56" s="81"/>
      <c r="DN56" s="136"/>
      <c r="DO56" s="174"/>
      <c r="DP56" s="135"/>
      <c r="DQ56" s="81"/>
      <c r="DR56" s="81"/>
      <c r="DS56" s="81"/>
      <c r="DT56" s="81"/>
      <c r="DU56" s="81"/>
      <c r="DV56" s="81"/>
      <c r="DW56" s="81"/>
      <c r="DX56" s="81"/>
      <c r="DY56" s="81"/>
      <c r="DZ56" s="81"/>
      <c r="EA56" s="81"/>
      <c r="EB56" s="81"/>
      <c r="EC56" s="81"/>
      <c r="ED56" s="81"/>
      <c r="EE56" s="136"/>
      <c r="EF56" s="174"/>
    </row>
    <row r="57" spans="1:136">
      <c r="A57" s="135"/>
      <c r="B57" s="81"/>
      <c r="C57" s="81"/>
      <c r="D57" s="81"/>
      <c r="E57" s="81"/>
      <c r="F57" s="81"/>
      <c r="G57" s="81"/>
      <c r="H57" s="81"/>
      <c r="I57" s="81"/>
      <c r="J57" s="81"/>
      <c r="K57" s="81"/>
      <c r="L57" s="81"/>
      <c r="M57" s="81"/>
      <c r="N57" s="81"/>
      <c r="O57" s="81"/>
      <c r="P57" s="136"/>
      <c r="Q57" s="174"/>
      <c r="R57" s="135"/>
      <c r="S57" s="81"/>
      <c r="T57" s="81"/>
      <c r="U57" s="81"/>
      <c r="V57" s="81"/>
      <c r="W57" s="81"/>
      <c r="X57" s="81"/>
      <c r="Y57" s="81"/>
      <c r="Z57" s="81"/>
      <c r="AA57" s="81"/>
      <c r="AB57" s="81"/>
      <c r="AC57" s="81"/>
      <c r="AD57" s="81"/>
      <c r="AE57" s="81"/>
      <c r="AF57" s="81"/>
      <c r="AG57" s="136"/>
      <c r="AH57" s="174"/>
      <c r="AI57" s="135"/>
      <c r="AJ57" s="81"/>
      <c r="AK57" s="81"/>
      <c r="AL57" s="81"/>
      <c r="AM57" s="81"/>
      <c r="AN57" s="81"/>
      <c r="AO57" s="81"/>
      <c r="AP57" s="81"/>
      <c r="AQ57" s="81"/>
      <c r="AR57" s="81"/>
      <c r="AS57" s="81"/>
      <c r="AT57" s="81"/>
      <c r="AU57" s="81"/>
      <c r="AV57" s="81"/>
      <c r="AW57" s="81"/>
      <c r="AX57" s="136"/>
      <c r="AY57" s="174"/>
      <c r="AZ57" s="135"/>
      <c r="BA57" s="81"/>
      <c r="BB57" s="81"/>
      <c r="BC57" s="81"/>
      <c r="BD57" s="81"/>
      <c r="BE57" s="81"/>
      <c r="BF57" s="81"/>
      <c r="BG57" s="81"/>
      <c r="BH57" s="81"/>
      <c r="BI57" s="81"/>
      <c r="BJ57" s="81"/>
      <c r="BK57" s="81"/>
      <c r="BL57" s="81"/>
      <c r="BM57" s="81"/>
      <c r="BN57" s="81"/>
      <c r="BO57" s="136"/>
      <c r="BP57" s="174"/>
      <c r="BQ57" s="135"/>
      <c r="BR57" s="81"/>
      <c r="BS57" s="81"/>
      <c r="BT57" s="81"/>
      <c r="BU57" s="81"/>
      <c r="BV57" s="81"/>
      <c r="BW57" s="81"/>
      <c r="BX57" s="81"/>
      <c r="BY57" s="81"/>
      <c r="BZ57" s="81"/>
      <c r="CA57" s="81"/>
      <c r="CB57" s="81"/>
      <c r="CC57" s="81"/>
      <c r="CD57" s="81"/>
      <c r="CE57" s="81"/>
      <c r="CF57" s="136"/>
      <c r="CG57" s="174"/>
      <c r="CH57" s="135"/>
      <c r="CI57" s="81"/>
      <c r="CJ57" s="81"/>
      <c r="CK57" s="81"/>
      <c r="CL57" s="81"/>
      <c r="CM57" s="81"/>
      <c r="CN57" s="81"/>
      <c r="CO57" s="81"/>
      <c r="CP57" s="81"/>
      <c r="CQ57" s="81"/>
      <c r="CR57" s="81"/>
      <c r="CS57" s="81"/>
      <c r="CT57" s="81"/>
      <c r="CU57" s="81"/>
      <c r="CV57" s="81"/>
      <c r="CW57" s="136"/>
      <c r="CX57" s="174"/>
      <c r="CY57" s="135"/>
      <c r="CZ57" s="81"/>
      <c r="DA57" s="81"/>
      <c r="DB57" s="81"/>
      <c r="DC57" s="81"/>
      <c r="DD57" s="81"/>
      <c r="DE57" s="81"/>
      <c r="DF57" s="81"/>
      <c r="DG57" s="81"/>
      <c r="DH57" s="81"/>
      <c r="DI57" s="81"/>
      <c r="DJ57" s="81"/>
      <c r="DK57" s="81"/>
      <c r="DL57" s="81"/>
      <c r="DM57" s="81"/>
      <c r="DN57" s="136"/>
      <c r="DO57" s="174"/>
      <c r="DP57" s="135"/>
      <c r="DQ57" s="81"/>
      <c r="DR57" s="81"/>
      <c r="DS57" s="81"/>
      <c r="DT57" s="81"/>
      <c r="DU57" s="81"/>
      <c r="DV57" s="81"/>
      <c r="DW57" s="81"/>
      <c r="DX57" s="81"/>
      <c r="DY57" s="81"/>
      <c r="DZ57" s="81"/>
      <c r="EA57" s="81"/>
      <c r="EB57" s="81"/>
      <c r="EC57" s="81"/>
      <c r="ED57" s="81"/>
      <c r="EE57" s="136"/>
      <c r="EF57" s="174"/>
    </row>
    <row r="58" spans="1:136">
      <c r="A58" s="135"/>
      <c r="B58" s="81"/>
      <c r="C58" s="81"/>
      <c r="D58" s="81"/>
      <c r="E58" s="81"/>
      <c r="F58" s="81"/>
      <c r="G58" s="81"/>
      <c r="H58" s="81"/>
      <c r="I58" s="81"/>
      <c r="J58" s="81"/>
      <c r="K58" s="81"/>
      <c r="L58" s="81"/>
      <c r="M58" s="81"/>
      <c r="N58" s="81"/>
      <c r="O58" s="81"/>
      <c r="P58" s="136"/>
      <c r="Q58" s="174"/>
      <c r="R58" s="135"/>
      <c r="S58" s="81"/>
      <c r="T58" s="81"/>
      <c r="U58" s="81"/>
      <c r="V58" s="81"/>
      <c r="W58" s="81"/>
      <c r="X58" s="81"/>
      <c r="Y58" s="81"/>
      <c r="Z58" s="81"/>
      <c r="AA58" s="81"/>
      <c r="AB58" s="81"/>
      <c r="AC58" s="81"/>
      <c r="AD58" s="81"/>
      <c r="AE58" s="81"/>
      <c r="AF58" s="81"/>
      <c r="AG58" s="136"/>
      <c r="AH58" s="174"/>
      <c r="AI58" s="135"/>
      <c r="AJ58" s="81"/>
      <c r="AK58" s="81"/>
      <c r="AL58" s="81"/>
      <c r="AM58" s="81"/>
      <c r="AN58" s="81"/>
      <c r="AO58" s="81"/>
      <c r="AP58" s="81"/>
      <c r="AQ58" s="81"/>
      <c r="AR58" s="81"/>
      <c r="AS58" s="81"/>
      <c r="AT58" s="81"/>
      <c r="AU58" s="81"/>
      <c r="AV58" s="81"/>
      <c r="AW58" s="81"/>
      <c r="AX58" s="136"/>
      <c r="AY58" s="174"/>
      <c r="AZ58" s="135"/>
      <c r="BA58" s="81"/>
      <c r="BB58" s="81"/>
      <c r="BC58" s="81"/>
      <c r="BD58" s="81"/>
      <c r="BE58" s="81"/>
      <c r="BF58" s="81"/>
      <c r="BG58" s="81"/>
      <c r="BH58" s="81"/>
      <c r="BI58" s="81"/>
      <c r="BJ58" s="81"/>
      <c r="BK58" s="81"/>
      <c r="BL58" s="81"/>
      <c r="BM58" s="81"/>
      <c r="BN58" s="81"/>
      <c r="BO58" s="136"/>
      <c r="BP58" s="174"/>
      <c r="BQ58" s="135"/>
      <c r="BR58" s="81"/>
      <c r="BS58" s="81"/>
      <c r="BT58" s="81"/>
      <c r="BU58" s="81"/>
      <c r="BV58" s="81"/>
      <c r="BW58" s="81"/>
      <c r="BX58" s="81"/>
      <c r="BY58" s="81"/>
      <c r="BZ58" s="81"/>
      <c r="CA58" s="81"/>
      <c r="CB58" s="81"/>
      <c r="CC58" s="81"/>
      <c r="CD58" s="81"/>
      <c r="CE58" s="81"/>
      <c r="CF58" s="136"/>
      <c r="CG58" s="174"/>
      <c r="CH58" s="135"/>
      <c r="CI58" s="81"/>
      <c r="CJ58" s="81"/>
      <c r="CK58" s="81"/>
      <c r="CL58" s="81"/>
      <c r="CM58" s="81"/>
      <c r="CN58" s="81"/>
      <c r="CO58" s="81"/>
      <c r="CP58" s="81"/>
      <c r="CQ58" s="81"/>
      <c r="CR58" s="81"/>
      <c r="CS58" s="81"/>
      <c r="CT58" s="81"/>
      <c r="CU58" s="81"/>
      <c r="CV58" s="81"/>
      <c r="CW58" s="136"/>
      <c r="CX58" s="174"/>
      <c r="CY58" s="135"/>
      <c r="CZ58" s="81"/>
      <c r="DA58" s="81"/>
      <c r="DB58" s="81"/>
      <c r="DC58" s="81"/>
      <c r="DD58" s="81"/>
      <c r="DE58" s="81"/>
      <c r="DF58" s="81"/>
      <c r="DG58" s="81"/>
      <c r="DH58" s="81"/>
      <c r="DI58" s="81"/>
      <c r="DJ58" s="81"/>
      <c r="DK58" s="81"/>
      <c r="DL58" s="81"/>
      <c r="DM58" s="81"/>
      <c r="DN58" s="136"/>
      <c r="DO58" s="174"/>
      <c r="DP58" s="135"/>
      <c r="DQ58" s="81"/>
      <c r="DR58" s="81"/>
      <c r="DS58" s="81"/>
      <c r="DT58" s="81"/>
      <c r="DU58" s="81"/>
      <c r="DV58" s="81"/>
      <c r="DW58" s="81"/>
      <c r="DX58" s="81"/>
      <c r="DY58" s="81"/>
      <c r="DZ58" s="81"/>
      <c r="EA58" s="81"/>
      <c r="EB58" s="81"/>
      <c r="EC58" s="81"/>
      <c r="ED58" s="81"/>
      <c r="EE58" s="136"/>
      <c r="EF58" s="174"/>
    </row>
    <row r="59" spans="1:136">
      <c r="A59" s="135"/>
      <c r="B59" s="81"/>
      <c r="C59" s="81"/>
      <c r="D59" s="81"/>
      <c r="E59" s="81"/>
      <c r="F59" s="81"/>
      <c r="G59" s="81"/>
      <c r="H59" s="81"/>
      <c r="I59" s="81"/>
      <c r="J59" s="81"/>
      <c r="K59" s="81"/>
      <c r="L59" s="81"/>
      <c r="M59" s="81"/>
      <c r="N59" s="81"/>
      <c r="O59" s="81"/>
      <c r="P59" s="136"/>
      <c r="Q59" s="174"/>
      <c r="R59" s="135"/>
      <c r="S59" s="81"/>
      <c r="T59" s="81"/>
      <c r="U59" s="81"/>
      <c r="V59" s="81"/>
      <c r="W59" s="81"/>
      <c r="X59" s="81"/>
      <c r="Y59" s="81"/>
      <c r="Z59" s="81"/>
      <c r="AA59" s="81"/>
      <c r="AB59" s="81"/>
      <c r="AC59" s="81"/>
      <c r="AD59" s="81"/>
      <c r="AE59" s="81"/>
      <c r="AF59" s="81"/>
      <c r="AG59" s="136"/>
      <c r="AH59" s="174"/>
      <c r="AI59" s="135"/>
      <c r="AJ59" s="81"/>
      <c r="AK59" s="81"/>
      <c r="AL59" s="81"/>
      <c r="AM59" s="81"/>
      <c r="AN59" s="81"/>
      <c r="AO59" s="81"/>
      <c r="AP59" s="81"/>
      <c r="AQ59" s="81"/>
      <c r="AR59" s="81"/>
      <c r="AS59" s="81"/>
      <c r="AT59" s="81"/>
      <c r="AU59" s="81"/>
      <c r="AV59" s="81"/>
      <c r="AW59" s="81"/>
      <c r="AX59" s="136"/>
      <c r="AY59" s="174"/>
      <c r="AZ59" s="135"/>
      <c r="BA59" s="81"/>
      <c r="BB59" s="81"/>
      <c r="BC59" s="81"/>
      <c r="BD59" s="81"/>
      <c r="BE59" s="81"/>
      <c r="BF59" s="81"/>
      <c r="BG59" s="81"/>
      <c r="BH59" s="81"/>
      <c r="BI59" s="81"/>
      <c r="BJ59" s="81"/>
      <c r="BK59" s="81"/>
      <c r="BL59" s="81"/>
      <c r="BM59" s="81"/>
      <c r="BN59" s="81"/>
      <c r="BO59" s="136"/>
      <c r="BP59" s="174"/>
      <c r="BQ59" s="135"/>
      <c r="BR59" s="81"/>
      <c r="BS59" s="81"/>
      <c r="BT59" s="81"/>
      <c r="BU59" s="81"/>
      <c r="BV59" s="81"/>
      <c r="BW59" s="81"/>
      <c r="BX59" s="81"/>
      <c r="BY59" s="81"/>
      <c r="BZ59" s="81"/>
      <c r="CA59" s="81"/>
      <c r="CB59" s="81"/>
      <c r="CC59" s="81"/>
      <c r="CD59" s="81"/>
      <c r="CE59" s="81"/>
      <c r="CF59" s="136"/>
      <c r="CG59" s="174"/>
      <c r="CH59" s="135"/>
      <c r="CI59" s="81"/>
      <c r="CJ59" s="81"/>
      <c r="CK59" s="81"/>
      <c r="CL59" s="81"/>
      <c r="CM59" s="81"/>
      <c r="CN59" s="81"/>
      <c r="CO59" s="81"/>
      <c r="CP59" s="81"/>
      <c r="CQ59" s="81"/>
      <c r="CR59" s="81"/>
      <c r="CS59" s="81"/>
      <c r="CT59" s="81"/>
      <c r="CU59" s="81"/>
      <c r="CV59" s="81"/>
      <c r="CW59" s="136"/>
      <c r="CX59" s="174"/>
      <c r="CY59" s="135"/>
      <c r="CZ59" s="81"/>
      <c r="DA59" s="81"/>
      <c r="DB59" s="81"/>
      <c r="DC59" s="81"/>
      <c r="DD59" s="81"/>
      <c r="DE59" s="81"/>
      <c r="DF59" s="81"/>
      <c r="DG59" s="81"/>
      <c r="DH59" s="81"/>
      <c r="DI59" s="81"/>
      <c r="DJ59" s="81"/>
      <c r="DK59" s="81"/>
      <c r="DL59" s="81"/>
      <c r="DM59" s="81"/>
      <c r="DN59" s="136"/>
      <c r="DO59" s="174"/>
      <c r="DP59" s="135"/>
      <c r="DQ59" s="81"/>
      <c r="DR59" s="81"/>
      <c r="DS59" s="81"/>
      <c r="DT59" s="81"/>
      <c r="DU59" s="81"/>
      <c r="DV59" s="81"/>
      <c r="DW59" s="81"/>
      <c r="DX59" s="81"/>
      <c r="DY59" s="81"/>
      <c r="DZ59" s="81"/>
      <c r="EA59" s="81"/>
      <c r="EB59" s="81"/>
      <c r="EC59" s="81"/>
      <c r="ED59" s="81"/>
      <c r="EE59" s="136"/>
      <c r="EF59" s="174"/>
    </row>
    <row r="60" spans="1:136">
      <c r="A60" s="135"/>
      <c r="B60" s="81"/>
      <c r="C60" s="81"/>
      <c r="D60" s="81"/>
      <c r="E60" s="81"/>
      <c r="F60" s="81"/>
      <c r="G60" s="81"/>
      <c r="H60" s="81"/>
      <c r="I60" s="81"/>
      <c r="J60" s="81"/>
      <c r="K60" s="81"/>
      <c r="L60" s="81"/>
      <c r="M60" s="81"/>
      <c r="N60" s="81"/>
      <c r="O60" s="81"/>
      <c r="P60" s="136"/>
      <c r="Q60" s="174"/>
      <c r="R60" s="135"/>
      <c r="S60" s="81"/>
      <c r="T60" s="81"/>
      <c r="U60" s="81"/>
      <c r="V60" s="81"/>
      <c r="W60" s="81"/>
      <c r="X60" s="81"/>
      <c r="Y60" s="81"/>
      <c r="Z60" s="81"/>
      <c r="AA60" s="81"/>
      <c r="AB60" s="81"/>
      <c r="AC60" s="81"/>
      <c r="AD60" s="81"/>
      <c r="AE60" s="81"/>
      <c r="AF60" s="81"/>
      <c r="AG60" s="136"/>
      <c r="AH60" s="174"/>
      <c r="AI60" s="135"/>
      <c r="AJ60" s="81"/>
      <c r="AK60" s="81"/>
      <c r="AL60" s="81"/>
      <c r="AM60" s="81"/>
      <c r="AN60" s="81"/>
      <c r="AO60" s="81"/>
      <c r="AP60" s="81"/>
      <c r="AQ60" s="81"/>
      <c r="AR60" s="81"/>
      <c r="AS60" s="81"/>
      <c r="AT60" s="81"/>
      <c r="AU60" s="81"/>
      <c r="AV60" s="81"/>
      <c r="AW60" s="81"/>
      <c r="AX60" s="136"/>
      <c r="AY60" s="174"/>
      <c r="AZ60" s="135"/>
      <c r="BA60" s="81"/>
      <c r="BB60" s="81"/>
      <c r="BC60" s="81"/>
      <c r="BD60" s="81"/>
      <c r="BE60" s="81"/>
      <c r="BF60" s="81"/>
      <c r="BG60" s="81"/>
      <c r="BH60" s="81"/>
      <c r="BI60" s="81"/>
      <c r="BJ60" s="81"/>
      <c r="BK60" s="81"/>
      <c r="BL60" s="81"/>
      <c r="BM60" s="81"/>
      <c r="BN60" s="81"/>
      <c r="BO60" s="136"/>
      <c r="BP60" s="174"/>
      <c r="BQ60" s="135"/>
      <c r="BR60" s="81"/>
      <c r="BS60" s="81"/>
      <c r="BT60" s="81"/>
      <c r="BU60" s="81"/>
      <c r="BV60" s="81"/>
      <c r="BW60" s="81"/>
      <c r="BX60" s="81"/>
      <c r="BY60" s="81"/>
      <c r="BZ60" s="81"/>
      <c r="CA60" s="81"/>
      <c r="CB60" s="81"/>
      <c r="CC60" s="81"/>
      <c r="CD60" s="81"/>
      <c r="CE60" s="81"/>
      <c r="CF60" s="136"/>
      <c r="CG60" s="174"/>
      <c r="CH60" s="135"/>
      <c r="CI60" s="81"/>
      <c r="CJ60" s="81"/>
      <c r="CK60" s="81"/>
      <c r="CL60" s="81"/>
      <c r="CM60" s="81"/>
      <c r="CN60" s="81"/>
      <c r="CO60" s="81"/>
      <c r="CP60" s="81"/>
      <c r="CQ60" s="81"/>
      <c r="CR60" s="81"/>
      <c r="CS60" s="81"/>
      <c r="CT60" s="81"/>
      <c r="CU60" s="81"/>
      <c r="CV60" s="81"/>
      <c r="CW60" s="136"/>
      <c r="CX60" s="174"/>
      <c r="CY60" s="135"/>
      <c r="CZ60" s="81"/>
      <c r="DA60" s="81"/>
      <c r="DB60" s="81"/>
      <c r="DC60" s="81"/>
      <c r="DD60" s="81"/>
      <c r="DE60" s="81"/>
      <c r="DF60" s="81"/>
      <c r="DG60" s="81"/>
      <c r="DH60" s="81"/>
      <c r="DI60" s="81"/>
      <c r="DJ60" s="81"/>
      <c r="DK60" s="81"/>
      <c r="DL60" s="81"/>
      <c r="DM60" s="81"/>
      <c r="DN60" s="136"/>
      <c r="DO60" s="174"/>
      <c r="DP60" s="135"/>
      <c r="DQ60" s="81"/>
      <c r="DR60" s="81"/>
      <c r="DS60" s="81"/>
      <c r="DT60" s="81"/>
      <c r="DU60" s="81"/>
      <c r="DV60" s="81"/>
      <c r="DW60" s="81"/>
      <c r="DX60" s="81"/>
      <c r="DY60" s="81"/>
      <c r="DZ60" s="81"/>
      <c r="EA60" s="81"/>
      <c r="EB60" s="81"/>
      <c r="EC60" s="81"/>
      <c r="ED60" s="81"/>
      <c r="EE60" s="136"/>
      <c r="EF60" s="174"/>
    </row>
    <row r="61" spans="1:136">
      <c r="A61" s="135"/>
      <c r="B61" s="81"/>
      <c r="C61" s="81"/>
      <c r="D61" s="81"/>
      <c r="E61" s="81"/>
      <c r="F61" s="81"/>
      <c r="G61" s="81"/>
      <c r="H61" s="81"/>
      <c r="I61" s="81"/>
      <c r="J61" s="81"/>
      <c r="K61" s="81"/>
      <c r="L61" s="81"/>
      <c r="M61" s="81"/>
      <c r="N61" s="81"/>
      <c r="O61" s="81"/>
      <c r="P61" s="136"/>
      <c r="Q61" s="174"/>
      <c r="R61" s="135"/>
      <c r="S61" s="81"/>
      <c r="T61" s="81"/>
      <c r="U61" s="81"/>
      <c r="V61" s="81"/>
      <c r="W61" s="81"/>
      <c r="X61" s="81"/>
      <c r="Y61" s="81"/>
      <c r="Z61" s="81"/>
      <c r="AA61" s="81"/>
      <c r="AB61" s="81"/>
      <c r="AC61" s="81"/>
      <c r="AD61" s="81"/>
      <c r="AE61" s="81"/>
      <c r="AF61" s="81"/>
      <c r="AG61" s="136"/>
      <c r="AH61" s="174"/>
      <c r="AI61" s="135"/>
      <c r="AJ61" s="81"/>
      <c r="AK61" s="81"/>
      <c r="AL61" s="81"/>
      <c r="AM61" s="81"/>
      <c r="AN61" s="81"/>
      <c r="AO61" s="81"/>
      <c r="AP61" s="81"/>
      <c r="AQ61" s="81"/>
      <c r="AR61" s="81"/>
      <c r="AS61" s="81"/>
      <c r="AT61" s="81"/>
      <c r="AU61" s="81"/>
      <c r="AV61" s="81"/>
      <c r="AW61" s="81"/>
      <c r="AX61" s="136"/>
      <c r="AY61" s="174"/>
      <c r="AZ61" s="135"/>
      <c r="BA61" s="81"/>
      <c r="BB61" s="81"/>
      <c r="BC61" s="81"/>
      <c r="BD61" s="81"/>
      <c r="BE61" s="81"/>
      <c r="BF61" s="81"/>
      <c r="BG61" s="81"/>
      <c r="BH61" s="81"/>
      <c r="BI61" s="81"/>
      <c r="BJ61" s="81"/>
      <c r="BK61" s="81"/>
      <c r="BL61" s="81"/>
      <c r="BM61" s="81"/>
      <c r="BN61" s="81"/>
      <c r="BO61" s="136"/>
      <c r="BP61" s="174"/>
      <c r="BQ61" s="135"/>
      <c r="BR61" s="81"/>
      <c r="BS61" s="81"/>
      <c r="BT61" s="81"/>
      <c r="BU61" s="81"/>
      <c r="BV61" s="81"/>
      <c r="BW61" s="81"/>
      <c r="BX61" s="81"/>
      <c r="BY61" s="81"/>
      <c r="BZ61" s="81"/>
      <c r="CA61" s="81"/>
      <c r="CB61" s="81"/>
      <c r="CC61" s="81"/>
      <c r="CD61" s="81"/>
      <c r="CE61" s="81"/>
      <c r="CF61" s="136"/>
      <c r="CG61" s="174"/>
      <c r="CH61" s="135"/>
      <c r="CI61" s="81"/>
      <c r="CJ61" s="81"/>
      <c r="CK61" s="81"/>
      <c r="CL61" s="81"/>
      <c r="CM61" s="81"/>
      <c r="CN61" s="81"/>
      <c r="CO61" s="81"/>
      <c r="CP61" s="81"/>
      <c r="CQ61" s="81"/>
      <c r="CR61" s="81"/>
      <c r="CS61" s="81"/>
      <c r="CT61" s="81"/>
      <c r="CU61" s="81"/>
      <c r="CV61" s="81"/>
      <c r="CW61" s="136"/>
      <c r="CX61" s="174"/>
      <c r="CY61" s="135"/>
      <c r="CZ61" s="81"/>
      <c r="DA61" s="81"/>
      <c r="DB61" s="81"/>
      <c r="DC61" s="81"/>
      <c r="DD61" s="81"/>
      <c r="DE61" s="81"/>
      <c r="DF61" s="81"/>
      <c r="DG61" s="81"/>
      <c r="DH61" s="81"/>
      <c r="DI61" s="81"/>
      <c r="DJ61" s="81"/>
      <c r="DK61" s="81"/>
      <c r="DL61" s="81"/>
      <c r="DM61" s="81"/>
      <c r="DN61" s="136"/>
      <c r="DO61" s="174"/>
      <c r="DP61" s="135"/>
      <c r="DQ61" s="81"/>
      <c r="DR61" s="81"/>
      <c r="DS61" s="81"/>
      <c r="DT61" s="81"/>
      <c r="DU61" s="81"/>
      <c r="DV61" s="81"/>
      <c r="DW61" s="81"/>
      <c r="DX61" s="81"/>
      <c r="DY61" s="81"/>
      <c r="DZ61" s="81"/>
      <c r="EA61" s="81"/>
      <c r="EB61" s="81"/>
      <c r="EC61" s="81"/>
      <c r="ED61" s="81"/>
      <c r="EE61" s="136"/>
      <c r="EF61" s="174"/>
    </row>
    <row r="62" spans="1:136">
      <c r="A62" s="135"/>
      <c r="B62" s="81"/>
      <c r="C62" s="81"/>
      <c r="D62" s="81"/>
      <c r="E62" s="81"/>
      <c r="F62" s="81"/>
      <c r="G62" s="81"/>
      <c r="H62" s="81"/>
      <c r="I62" s="81"/>
      <c r="J62" s="81"/>
      <c r="K62" s="81"/>
      <c r="L62" s="81"/>
      <c r="M62" s="81"/>
      <c r="N62" s="81"/>
      <c r="O62" s="81"/>
      <c r="P62" s="136"/>
      <c r="Q62" s="174"/>
      <c r="R62" s="135"/>
      <c r="S62" s="81"/>
      <c r="T62" s="81"/>
      <c r="U62" s="81"/>
      <c r="V62" s="81"/>
      <c r="W62" s="81"/>
      <c r="X62" s="81"/>
      <c r="Y62" s="81"/>
      <c r="Z62" s="81"/>
      <c r="AA62" s="81"/>
      <c r="AB62" s="81"/>
      <c r="AC62" s="81"/>
      <c r="AD62" s="81"/>
      <c r="AE62" s="81"/>
      <c r="AF62" s="81"/>
      <c r="AG62" s="136"/>
      <c r="AH62" s="174"/>
      <c r="AI62" s="135"/>
      <c r="AJ62" s="81"/>
      <c r="AK62" s="81"/>
      <c r="AL62" s="81"/>
      <c r="AM62" s="81"/>
      <c r="AN62" s="81"/>
      <c r="AO62" s="81"/>
      <c r="AP62" s="81"/>
      <c r="AQ62" s="81"/>
      <c r="AR62" s="81"/>
      <c r="AS62" s="81"/>
      <c r="AT62" s="81"/>
      <c r="AU62" s="81"/>
      <c r="AV62" s="81"/>
      <c r="AW62" s="81"/>
      <c r="AX62" s="136"/>
      <c r="AY62" s="174"/>
      <c r="AZ62" s="135"/>
      <c r="BA62" s="81"/>
      <c r="BB62" s="81"/>
      <c r="BC62" s="81"/>
      <c r="BD62" s="81"/>
      <c r="BE62" s="81"/>
      <c r="BF62" s="81"/>
      <c r="BG62" s="81"/>
      <c r="BH62" s="81"/>
      <c r="BI62" s="81"/>
      <c r="BJ62" s="81"/>
      <c r="BK62" s="81"/>
      <c r="BL62" s="81"/>
      <c r="BM62" s="81"/>
      <c r="BN62" s="81"/>
      <c r="BO62" s="136"/>
      <c r="BP62" s="174"/>
      <c r="BQ62" s="135"/>
      <c r="BR62" s="81"/>
      <c r="BS62" s="81"/>
      <c r="BT62" s="81"/>
      <c r="BU62" s="81"/>
      <c r="BV62" s="81"/>
      <c r="BW62" s="81"/>
      <c r="BX62" s="81"/>
      <c r="BY62" s="81"/>
      <c r="BZ62" s="81"/>
      <c r="CA62" s="81"/>
      <c r="CB62" s="81"/>
      <c r="CC62" s="81"/>
      <c r="CD62" s="81"/>
      <c r="CE62" s="81"/>
      <c r="CF62" s="136"/>
      <c r="CG62" s="174"/>
      <c r="CH62" s="135"/>
      <c r="CI62" s="81"/>
      <c r="CJ62" s="81"/>
      <c r="CK62" s="81"/>
      <c r="CL62" s="81"/>
      <c r="CM62" s="81"/>
      <c r="CN62" s="81"/>
      <c r="CO62" s="81"/>
      <c r="CP62" s="81"/>
      <c r="CQ62" s="81"/>
      <c r="CR62" s="81"/>
      <c r="CS62" s="81"/>
      <c r="CT62" s="81"/>
      <c r="CU62" s="81"/>
      <c r="CV62" s="81"/>
      <c r="CW62" s="136"/>
      <c r="CX62" s="174"/>
      <c r="CY62" s="135"/>
      <c r="CZ62" s="81"/>
      <c r="DA62" s="81"/>
      <c r="DB62" s="81"/>
      <c r="DC62" s="81"/>
      <c r="DD62" s="81"/>
      <c r="DE62" s="81"/>
      <c r="DF62" s="81"/>
      <c r="DG62" s="81"/>
      <c r="DH62" s="81"/>
      <c r="DI62" s="81"/>
      <c r="DJ62" s="81"/>
      <c r="DK62" s="81"/>
      <c r="DL62" s="81"/>
      <c r="DM62" s="81"/>
      <c r="DN62" s="136"/>
      <c r="DO62" s="174"/>
      <c r="DP62" s="135"/>
      <c r="DQ62" s="81"/>
      <c r="DR62" s="81"/>
      <c r="DS62" s="81"/>
      <c r="DT62" s="81"/>
      <c r="DU62" s="81"/>
      <c r="DV62" s="81"/>
      <c r="DW62" s="81"/>
      <c r="DX62" s="81"/>
      <c r="DY62" s="81"/>
      <c r="DZ62" s="81"/>
      <c r="EA62" s="81"/>
      <c r="EB62" s="81"/>
      <c r="EC62" s="81"/>
      <c r="ED62" s="81"/>
      <c r="EE62" s="136"/>
      <c r="EF62" s="174"/>
    </row>
    <row r="63" spans="1:136">
      <c r="A63" s="135"/>
      <c r="B63" s="81"/>
      <c r="C63" s="81"/>
      <c r="D63" s="81"/>
      <c r="E63" s="81"/>
      <c r="F63" s="81"/>
      <c r="G63" s="81"/>
      <c r="H63" s="81"/>
      <c r="I63" s="81"/>
      <c r="J63" s="81"/>
      <c r="K63" s="81"/>
      <c r="L63" s="81"/>
      <c r="M63" s="81"/>
      <c r="N63" s="81"/>
      <c r="O63" s="81"/>
      <c r="P63" s="136"/>
      <c r="Q63" s="174"/>
      <c r="R63" s="135"/>
      <c r="S63" s="81"/>
      <c r="T63" s="81"/>
      <c r="U63" s="81"/>
      <c r="V63" s="81"/>
      <c r="W63" s="81"/>
      <c r="X63" s="81"/>
      <c r="Y63" s="81"/>
      <c r="Z63" s="81"/>
      <c r="AA63" s="81"/>
      <c r="AB63" s="81"/>
      <c r="AC63" s="81"/>
      <c r="AD63" s="81"/>
      <c r="AE63" s="81"/>
      <c r="AF63" s="81"/>
      <c r="AG63" s="136"/>
      <c r="AH63" s="174"/>
      <c r="AI63" s="135"/>
      <c r="AJ63" s="81"/>
      <c r="AK63" s="81"/>
      <c r="AL63" s="81"/>
      <c r="AM63" s="81"/>
      <c r="AN63" s="81"/>
      <c r="AO63" s="81"/>
      <c r="AP63" s="81"/>
      <c r="AQ63" s="81"/>
      <c r="AR63" s="81"/>
      <c r="AS63" s="81"/>
      <c r="AT63" s="81"/>
      <c r="AU63" s="81"/>
      <c r="AV63" s="81"/>
      <c r="AW63" s="81"/>
      <c r="AX63" s="136"/>
      <c r="AY63" s="174"/>
      <c r="AZ63" s="135"/>
      <c r="BA63" s="81"/>
      <c r="BB63" s="81"/>
      <c r="BC63" s="81"/>
      <c r="BD63" s="81"/>
      <c r="BE63" s="81"/>
      <c r="BF63" s="81"/>
      <c r="BG63" s="81"/>
      <c r="BH63" s="81"/>
      <c r="BI63" s="81"/>
      <c r="BJ63" s="81"/>
      <c r="BK63" s="81"/>
      <c r="BL63" s="81"/>
      <c r="BM63" s="81"/>
      <c r="BN63" s="81"/>
      <c r="BO63" s="136"/>
      <c r="BP63" s="174"/>
      <c r="BQ63" s="135"/>
      <c r="BR63" s="81"/>
      <c r="BS63" s="81"/>
      <c r="BT63" s="81"/>
      <c r="BU63" s="81"/>
      <c r="BV63" s="81"/>
      <c r="BW63" s="81"/>
      <c r="BX63" s="81"/>
      <c r="BY63" s="81"/>
      <c r="BZ63" s="81"/>
      <c r="CA63" s="81"/>
      <c r="CB63" s="81"/>
      <c r="CC63" s="81"/>
      <c r="CD63" s="81"/>
      <c r="CE63" s="81"/>
      <c r="CF63" s="136"/>
      <c r="CG63" s="174"/>
      <c r="CH63" s="135"/>
      <c r="CI63" s="81"/>
      <c r="CJ63" s="81"/>
      <c r="CK63" s="81"/>
      <c r="CL63" s="81"/>
      <c r="CM63" s="81"/>
      <c r="CN63" s="81"/>
      <c r="CO63" s="81"/>
      <c r="CP63" s="81"/>
      <c r="CQ63" s="81"/>
      <c r="CR63" s="81"/>
      <c r="CS63" s="81"/>
      <c r="CT63" s="81"/>
      <c r="CU63" s="81"/>
      <c r="CV63" s="81"/>
      <c r="CW63" s="136"/>
      <c r="CX63" s="174"/>
      <c r="CY63" s="135"/>
      <c r="CZ63" s="81"/>
      <c r="DA63" s="81"/>
      <c r="DB63" s="81"/>
      <c r="DC63" s="81"/>
      <c r="DD63" s="81"/>
      <c r="DE63" s="81"/>
      <c r="DF63" s="81"/>
      <c r="DG63" s="81"/>
      <c r="DH63" s="81"/>
      <c r="DI63" s="81"/>
      <c r="DJ63" s="81"/>
      <c r="DK63" s="81"/>
      <c r="DL63" s="81"/>
      <c r="DM63" s="81"/>
      <c r="DN63" s="136"/>
      <c r="DO63" s="174"/>
      <c r="DP63" s="135"/>
      <c r="DQ63" s="81"/>
      <c r="DR63" s="81"/>
      <c r="DS63" s="81"/>
      <c r="DT63" s="81"/>
      <c r="DU63" s="81"/>
      <c r="DV63" s="81"/>
      <c r="DW63" s="81"/>
      <c r="DX63" s="81"/>
      <c r="DY63" s="81"/>
      <c r="DZ63" s="81"/>
      <c r="EA63" s="81"/>
      <c r="EB63" s="81"/>
      <c r="EC63" s="81"/>
      <c r="ED63" s="81"/>
      <c r="EE63" s="136"/>
      <c r="EF63" s="174"/>
    </row>
    <row r="64" spans="1:136">
      <c r="A64" s="135"/>
      <c r="B64" s="81"/>
      <c r="C64" s="81"/>
      <c r="D64" s="81"/>
      <c r="E64" s="81"/>
      <c r="F64" s="81"/>
      <c r="G64" s="81"/>
      <c r="H64" s="81"/>
      <c r="I64" s="81"/>
      <c r="J64" s="81"/>
      <c r="K64" s="81"/>
      <c r="L64" s="81"/>
      <c r="M64" s="81"/>
      <c r="N64" s="81"/>
      <c r="O64" s="81"/>
      <c r="P64" s="136"/>
      <c r="Q64" s="174"/>
      <c r="R64" s="135"/>
      <c r="S64" s="81"/>
      <c r="T64" s="81"/>
      <c r="U64" s="81"/>
      <c r="V64" s="81"/>
      <c r="W64" s="81"/>
      <c r="X64" s="81"/>
      <c r="Y64" s="81"/>
      <c r="Z64" s="81"/>
      <c r="AA64" s="81"/>
      <c r="AB64" s="81"/>
      <c r="AC64" s="81"/>
      <c r="AD64" s="81"/>
      <c r="AE64" s="81"/>
      <c r="AF64" s="81"/>
      <c r="AG64" s="136"/>
      <c r="AH64" s="174"/>
      <c r="AI64" s="135"/>
      <c r="AJ64" s="81"/>
      <c r="AK64" s="81"/>
      <c r="AL64" s="81"/>
      <c r="AM64" s="81"/>
      <c r="AN64" s="81"/>
      <c r="AO64" s="81"/>
      <c r="AP64" s="81"/>
      <c r="AQ64" s="81"/>
      <c r="AR64" s="81"/>
      <c r="AS64" s="81"/>
      <c r="AT64" s="81"/>
      <c r="AU64" s="81"/>
      <c r="AV64" s="81"/>
      <c r="AW64" s="81"/>
      <c r="AX64" s="136"/>
      <c r="AY64" s="174"/>
      <c r="AZ64" s="135"/>
      <c r="BA64" s="81"/>
      <c r="BB64" s="81"/>
      <c r="BC64" s="81"/>
      <c r="BD64" s="81"/>
      <c r="BE64" s="81"/>
      <c r="BF64" s="81"/>
      <c r="BG64" s="81"/>
      <c r="BH64" s="81"/>
      <c r="BI64" s="81"/>
      <c r="BJ64" s="81"/>
      <c r="BK64" s="81"/>
      <c r="BL64" s="81"/>
      <c r="BM64" s="81"/>
      <c r="BN64" s="81"/>
      <c r="BO64" s="136"/>
      <c r="BP64" s="174"/>
      <c r="BQ64" s="135"/>
      <c r="BR64" s="81"/>
      <c r="BS64" s="81"/>
      <c r="BT64" s="81"/>
      <c r="BU64" s="81"/>
      <c r="BV64" s="81"/>
      <c r="BW64" s="81"/>
      <c r="BX64" s="81"/>
      <c r="BY64" s="81"/>
      <c r="BZ64" s="81"/>
      <c r="CA64" s="81"/>
      <c r="CB64" s="81"/>
      <c r="CC64" s="81"/>
      <c r="CD64" s="81"/>
      <c r="CE64" s="81"/>
      <c r="CF64" s="136"/>
      <c r="CG64" s="174"/>
      <c r="CH64" s="135"/>
      <c r="CI64" s="81"/>
      <c r="CJ64" s="81"/>
      <c r="CK64" s="81"/>
      <c r="CL64" s="81"/>
      <c r="CM64" s="81"/>
      <c r="CN64" s="81"/>
      <c r="CO64" s="81"/>
      <c r="CP64" s="81"/>
      <c r="CQ64" s="81"/>
      <c r="CR64" s="81"/>
      <c r="CS64" s="81"/>
      <c r="CT64" s="81"/>
      <c r="CU64" s="81"/>
      <c r="CV64" s="81"/>
      <c r="CW64" s="136"/>
      <c r="CX64" s="174"/>
      <c r="CY64" s="135"/>
      <c r="CZ64" s="81"/>
      <c r="DA64" s="81"/>
      <c r="DB64" s="81"/>
      <c r="DC64" s="81"/>
      <c r="DD64" s="81"/>
      <c r="DE64" s="81"/>
      <c r="DF64" s="81"/>
      <c r="DG64" s="81"/>
      <c r="DH64" s="81"/>
      <c r="DI64" s="81"/>
      <c r="DJ64" s="81"/>
      <c r="DK64" s="81"/>
      <c r="DL64" s="81"/>
      <c r="DM64" s="81"/>
      <c r="DN64" s="136"/>
      <c r="DO64" s="174"/>
      <c r="DP64" s="135"/>
      <c r="DQ64" s="81"/>
      <c r="DR64" s="81"/>
      <c r="DS64" s="81"/>
      <c r="DT64" s="81"/>
      <c r="DU64" s="81"/>
      <c r="DV64" s="81"/>
      <c r="DW64" s="81"/>
      <c r="DX64" s="81"/>
      <c r="DY64" s="81"/>
      <c r="DZ64" s="81"/>
      <c r="EA64" s="81"/>
      <c r="EB64" s="81"/>
      <c r="EC64" s="81"/>
      <c r="ED64" s="81"/>
      <c r="EE64" s="136"/>
      <c r="EF64" s="174"/>
    </row>
    <row r="65" spans="1:136">
      <c r="A65" s="135"/>
      <c r="B65" s="81"/>
      <c r="C65" s="81"/>
      <c r="D65" s="81"/>
      <c r="E65" s="81"/>
      <c r="F65" s="81"/>
      <c r="G65" s="81"/>
      <c r="H65" s="81"/>
      <c r="I65" s="81"/>
      <c r="J65" s="81"/>
      <c r="K65" s="81"/>
      <c r="L65" s="81"/>
      <c r="M65" s="81"/>
      <c r="N65" s="81"/>
      <c r="O65" s="81"/>
      <c r="P65" s="136"/>
      <c r="Q65" s="174"/>
      <c r="R65" s="135"/>
      <c r="S65" s="81"/>
      <c r="T65" s="81"/>
      <c r="U65" s="81"/>
      <c r="V65" s="81"/>
      <c r="W65" s="81"/>
      <c r="X65" s="81"/>
      <c r="Y65" s="81"/>
      <c r="Z65" s="81"/>
      <c r="AA65" s="81"/>
      <c r="AB65" s="81"/>
      <c r="AC65" s="81"/>
      <c r="AD65" s="81"/>
      <c r="AE65" s="81"/>
      <c r="AF65" s="81"/>
      <c r="AG65" s="136"/>
      <c r="AH65" s="174"/>
      <c r="AI65" s="135"/>
      <c r="AJ65" s="81"/>
      <c r="AK65" s="81"/>
      <c r="AL65" s="81"/>
      <c r="AM65" s="81"/>
      <c r="AN65" s="81"/>
      <c r="AO65" s="81"/>
      <c r="AP65" s="81"/>
      <c r="AQ65" s="81"/>
      <c r="AR65" s="81"/>
      <c r="AS65" s="81"/>
      <c r="AT65" s="81"/>
      <c r="AU65" s="81"/>
      <c r="AV65" s="81"/>
      <c r="AW65" s="81"/>
      <c r="AX65" s="136"/>
      <c r="AY65" s="174"/>
      <c r="AZ65" s="135"/>
      <c r="BA65" s="81"/>
      <c r="BB65" s="81"/>
      <c r="BC65" s="81"/>
      <c r="BD65" s="81"/>
      <c r="BE65" s="81"/>
      <c r="BF65" s="81"/>
      <c r="BG65" s="81"/>
      <c r="BH65" s="81"/>
      <c r="BI65" s="81"/>
      <c r="BJ65" s="81"/>
      <c r="BK65" s="81"/>
      <c r="BL65" s="81"/>
      <c r="BM65" s="81"/>
      <c r="BN65" s="81"/>
      <c r="BO65" s="136"/>
      <c r="BP65" s="174"/>
      <c r="BQ65" s="135"/>
      <c r="BR65" s="81"/>
      <c r="BS65" s="81"/>
      <c r="BT65" s="81"/>
      <c r="BU65" s="81"/>
      <c r="BV65" s="81"/>
      <c r="BW65" s="81"/>
      <c r="BX65" s="81"/>
      <c r="BY65" s="81"/>
      <c r="BZ65" s="81"/>
      <c r="CA65" s="81"/>
      <c r="CB65" s="81"/>
      <c r="CC65" s="81"/>
      <c r="CD65" s="81"/>
      <c r="CE65" s="81"/>
      <c r="CF65" s="136"/>
      <c r="CG65" s="174"/>
      <c r="CH65" s="135"/>
      <c r="CI65" s="81"/>
      <c r="CJ65" s="81"/>
      <c r="CK65" s="81"/>
      <c r="CL65" s="81"/>
      <c r="CM65" s="81"/>
      <c r="CN65" s="81"/>
      <c r="CO65" s="81"/>
      <c r="CP65" s="81"/>
      <c r="CQ65" s="81"/>
      <c r="CR65" s="81"/>
      <c r="CS65" s="81"/>
      <c r="CT65" s="81"/>
      <c r="CU65" s="81"/>
      <c r="CV65" s="81"/>
      <c r="CW65" s="136"/>
      <c r="CX65" s="174"/>
      <c r="CY65" s="135"/>
      <c r="CZ65" s="81"/>
      <c r="DA65" s="81"/>
      <c r="DB65" s="81"/>
      <c r="DC65" s="81"/>
      <c r="DD65" s="81"/>
      <c r="DE65" s="81"/>
      <c r="DF65" s="81"/>
      <c r="DG65" s="81"/>
      <c r="DH65" s="81"/>
      <c r="DI65" s="81"/>
      <c r="DJ65" s="81"/>
      <c r="DK65" s="81"/>
      <c r="DL65" s="81"/>
      <c r="DM65" s="81"/>
      <c r="DN65" s="136"/>
      <c r="DO65" s="174"/>
      <c r="DP65" s="135"/>
      <c r="DQ65" s="81"/>
      <c r="DR65" s="81"/>
      <c r="DS65" s="81"/>
      <c r="DT65" s="81"/>
      <c r="DU65" s="81"/>
      <c r="DV65" s="81"/>
      <c r="DW65" s="81"/>
      <c r="DX65" s="81"/>
      <c r="DY65" s="81"/>
      <c r="DZ65" s="81"/>
      <c r="EA65" s="81"/>
      <c r="EB65" s="81"/>
      <c r="EC65" s="81"/>
      <c r="ED65" s="81"/>
      <c r="EE65" s="136"/>
      <c r="EF65" s="174"/>
    </row>
    <row r="66" spans="1:136">
      <c r="A66" s="135"/>
      <c r="B66" s="81"/>
      <c r="C66" s="81"/>
      <c r="D66" s="81"/>
      <c r="E66" s="81"/>
      <c r="F66" s="81"/>
      <c r="G66" s="81"/>
      <c r="H66" s="81"/>
      <c r="I66" s="81"/>
      <c r="J66" s="81"/>
      <c r="K66" s="81"/>
      <c r="L66" s="81"/>
      <c r="M66" s="81"/>
      <c r="N66" s="81"/>
      <c r="O66" s="81"/>
      <c r="P66" s="136"/>
      <c r="Q66" s="174"/>
      <c r="R66" s="135"/>
      <c r="S66" s="81"/>
      <c r="T66" s="81"/>
      <c r="U66" s="81"/>
      <c r="V66" s="81"/>
      <c r="W66" s="81"/>
      <c r="X66" s="81"/>
      <c r="Y66" s="81"/>
      <c r="Z66" s="81"/>
      <c r="AA66" s="81"/>
      <c r="AB66" s="81"/>
      <c r="AC66" s="81"/>
      <c r="AD66" s="81"/>
      <c r="AE66" s="81"/>
      <c r="AF66" s="81"/>
      <c r="AG66" s="136"/>
      <c r="AH66" s="174"/>
      <c r="AI66" s="135"/>
      <c r="AJ66" s="81"/>
      <c r="AK66" s="81"/>
      <c r="AL66" s="81"/>
      <c r="AM66" s="81"/>
      <c r="AN66" s="81"/>
      <c r="AO66" s="81"/>
      <c r="AP66" s="81"/>
      <c r="AQ66" s="81"/>
      <c r="AR66" s="81"/>
      <c r="AS66" s="81"/>
      <c r="AT66" s="81"/>
      <c r="AU66" s="81"/>
      <c r="AV66" s="81"/>
      <c r="AW66" s="81"/>
      <c r="AX66" s="136"/>
      <c r="AY66" s="174"/>
      <c r="AZ66" s="135"/>
      <c r="BA66" s="81"/>
      <c r="BB66" s="81"/>
      <c r="BC66" s="81"/>
      <c r="BD66" s="81"/>
      <c r="BE66" s="81"/>
      <c r="BF66" s="81"/>
      <c r="BG66" s="81"/>
      <c r="BH66" s="81"/>
      <c r="BI66" s="81"/>
      <c r="BJ66" s="81"/>
      <c r="BK66" s="81"/>
      <c r="BL66" s="81"/>
      <c r="BM66" s="81"/>
      <c r="BN66" s="81"/>
      <c r="BO66" s="136"/>
      <c r="BP66" s="174"/>
      <c r="BQ66" s="135"/>
      <c r="BR66" s="81"/>
      <c r="BS66" s="81"/>
      <c r="BT66" s="81"/>
      <c r="BU66" s="81"/>
      <c r="BV66" s="81"/>
      <c r="BW66" s="81"/>
      <c r="BX66" s="81"/>
      <c r="BY66" s="81"/>
      <c r="BZ66" s="81"/>
      <c r="CA66" s="81"/>
      <c r="CB66" s="81"/>
      <c r="CC66" s="81"/>
      <c r="CD66" s="81"/>
      <c r="CE66" s="81"/>
      <c r="CF66" s="136"/>
      <c r="CG66" s="174"/>
      <c r="CH66" s="135"/>
      <c r="CI66" s="81"/>
      <c r="CJ66" s="81"/>
      <c r="CK66" s="81"/>
      <c r="CL66" s="81"/>
      <c r="CM66" s="81"/>
      <c r="CN66" s="81"/>
      <c r="CO66" s="81"/>
      <c r="CP66" s="81"/>
      <c r="CQ66" s="81"/>
      <c r="CR66" s="81"/>
      <c r="CS66" s="81"/>
      <c r="CT66" s="81"/>
      <c r="CU66" s="81"/>
      <c r="CV66" s="81"/>
      <c r="CW66" s="136"/>
      <c r="CX66" s="174"/>
      <c r="CY66" s="135"/>
      <c r="CZ66" s="81"/>
      <c r="DA66" s="81"/>
      <c r="DB66" s="81"/>
      <c r="DC66" s="81"/>
      <c r="DD66" s="81"/>
      <c r="DE66" s="81"/>
      <c r="DF66" s="81"/>
      <c r="DG66" s="81"/>
      <c r="DH66" s="81"/>
      <c r="DI66" s="81"/>
      <c r="DJ66" s="81"/>
      <c r="DK66" s="81"/>
      <c r="DL66" s="81"/>
      <c r="DM66" s="81"/>
      <c r="DN66" s="136"/>
      <c r="DO66" s="174"/>
      <c r="DP66" s="135"/>
      <c r="DQ66" s="81"/>
      <c r="DR66" s="81"/>
      <c r="DS66" s="81"/>
      <c r="DT66" s="81"/>
      <c r="DU66" s="81"/>
      <c r="DV66" s="81"/>
      <c r="DW66" s="81"/>
      <c r="DX66" s="81"/>
      <c r="DY66" s="81"/>
      <c r="DZ66" s="81"/>
      <c r="EA66" s="81"/>
      <c r="EB66" s="81"/>
      <c r="EC66" s="81"/>
      <c r="ED66" s="81"/>
      <c r="EE66" s="136"/>
      <c r="EF66" s="174"/>
    </row>
    <row r="67" spans="1:136">
      <c r="A67" s="135"/>
      <c r="B67" s="81"/>
      <c r="C67" s="81"/>
      <c r="D67" s="81"/>
      <c r="E67" s="81"/>
      <c r="F67" s="81"/>
      <c r="G67" s="81"/>
      <c r="H67" s="81"/>
      <c r="I67" s="81"/>
      <c r="J67" s="81"/>
      <c r="K67" s="81"/>
      <c r="L67" s="81"/>
      <c r="M67" s="81"/>
      <c r="N67" s="81"/>
      <c r="O67" s="81"/>
      <c r="P67" s="136"/>
      <c r="Q67" s="174"/>
      <c r="R67" s="135"/>
      <c r="S67" s="81"/>
      <c r="T67" s="81"/>
      <c r="U67" s="81"/>
      <c r="V67" s="81"/>
      <c r="W67" s="81"/>
      <c r="X67" s="81"/>
      <c r="Y67" s="81"/>
      <c r="Z67" s="81"/>
      <c r="AA67" s="81"/>
      <c r="AB67" s="81"/>
      <c r="AC67" s="81"/>
      <c r="AD67" s="81"/>
      <c r="AE67" s="81"/>
      <c r="AF67" s="81"/>
      <c r="AG67" s="136"/>
      <c r="AH67" s="174"/>
      <c r="AI67" s="135"/>
      <c r="AJ67" s="81"/>
      <c r="AK67" s="81"/>
      <c r="AL67" s="81"/>
      <c r="AM67" s="81"/>
      <c r="AN67" s="81"/>
      <c r="AO67" s="81"/>
      <c r="AP67" s="81"/>
      <c r="AQ67" s="81"/>
      <c r="AR67" s="81"/>
      <c r="AS67" s="81"/>
      <c r="AT67" s="81"/>
      <c r="AU67" s="81"/>
      <c r="AV67" s="81"/>
      <c r="AW67" s="81"/>
      <c r="AX67" s="136"/>
      <c r="AY67" s="174"/>
      <c r="AZ67" s="135"/>
      <c r="BA67" s="81"/>
      <c r="BB67" s="81"/>
      <c r="BC67" s="81"/>
      <c r="BD67" s="81"/>
      <c r="BE67" s="81"/>
      <c r="BF67" s="81"/>
      <c r="BG67" s="81"/>
      <c r="BH67" s="81"/>
      <c r="BI67" s="81"/>
      <c r="BJ67" s="81"/>
      <c r="BK67" s="81"/>
      <c r="BL67" s="81"/>
      <c r="BM67" s="81"/>
      <c r="BN67" s="81"/>
      <c r="BO67" s="136"/>
      <c r="BP67" s="174"/>
      <c r="BQ67" s="135"/>
      <c r="BR67" s="81"/>
      <c r="BS67" s="81"/>
      <c r="BT67" s="81"/>
      <c r="BU67" s="81"/>
      <c r="BV67" s="81"/>
      <c r="BW67" s="81"/>
      <c r="BX67" s="81"/>
      <c r="BY67" s="81"/>
      <c r="BZ67" s="81"/>
      <c r="CA67" s="81"/>
      <c r="CB67" s="81"/>
      <c r="CC67" s="81"/>
      <c r="CD67" s="81"/>
      <c r="CE67" s="81"/>
      <c r="CF67" s="136"/>
      <c r="CG67" s="174"/>
      <c r="CH67" s="135"/>
      <c r="CI67" s="81"/>
      <c r="CJ67" s="81"/>
      <c r="CK67" s="81"/>
      <c r="CL67" s="81"/>
      <c r="CM67" s="81"/>
      <c r="CN67" s="81"/>
      <c r="CO67" s="81"/>
      <c r="CP67" s="81"/>
      <c r="CQ67" s="81"/>
      <c r="CR67" s="81"/>
      <c r="CS67" s="81"/>
      <c r="CT67" s="81"/>
      <c r="CU67" s="81"/>
      <c r="CV67" s="81"/>
      <c r="CW67" s="136"/>
      <c r="CX67" s="174"/>
      <c r="CY67" s="135"/>
      <c r="CZ67" s="81"/>
      <c r="DA67" s="81"/>
      <c r="DB67" s="81"/>
      <c r="DC67" s="81"/>
      <c r="DD67" s="81"/>
      <c r="DE67" s="81"/>
      <c r="DF67" s="81"/>
      <c r="DG67" s="81"/>
      <c r="DH67" s="81"/>
      <c r="DI67" s="81"/>
      <c r="DJ67" s="81"/>
      <c r="DK67" s="81"/>
      <c r="DL67" s="81"/>
      <c r="DM67" s="81"/>
      <c r="DN67" s="136"/>
      <c r="DO67" s="174"/>
      <c r="DP67" s="135"/>
      <c r="DQ67" s="81"/>
      <c r="DR67" s="81"/>
      <c r="DS67" s="81"/>
      <c r="DT67" s="81"/>
      <c r="DU67" s="81"/>
      <c r="DV67" s="81"/>
      <c r="DW67" s="81"/>
      <c r="DX67" s="81"/>
      <c r="DY67" s="81"/>
      <c r="DZ67" s="81"/>
      <c r="EA67" s="81"/>
      <c r="EB67" s="81"/>
      <c r="EC67" s="81"/>
      <c r="ED67" s="81"/>
      <c r="EE67" s="136"/>
      <c r="EF67" s="174"/>
    </row>
    <row r="68" spans="1:136">
      <c r="A68" s="135"/>
      <c r="B68" s="81"/>
      <c r="C68" s="81"/>
      <c r="D68" s="81"/>
      <c r="E68" s="81"/>
      <c r="F68" s="81"/>
      <c r="G68" s="81"/>
      <c r="H68" s="81"/>
      <c r="I68" s="81"/>
      <c r="J68" s="81"/>
      <c r="K68" s="81"/>
      <c r="L68" s="81"/>
      <c r="M68" s="81"/>
      <c r="N68" s="81"/>
      <c r="O68" s="81"/>
      <c r="P68" s="136"/>
      <c r="Q68" s="174"/>
      <c r="R68" s="135"/>
      <c r="S68" s="81"/>
      <c r="T68" s="81"/>
      <c r="U68" s="81"/>
      <c r="V68" s="81"/>
      <c r="W68" s="81"/>
      <c r="X68" s="81"/>
      <c r="Y68" s="81"/>
      <c r="Z68" s="81"/>
      <c r="AA68" s="81"/>
      <c r="AB68" s="81"/>
      <c r="AC68" s="81"/>
      <c r="AD68" s="81"/>
      <c r="AE68" s="81"/>
      <c r="AF68" s="81"/>
      <c r="AG68" s="136"/>
      <c r="AH68" s="174"/>
      <c r="AI68" s="135"/>
      <c r="AJ68" s="81"/>
      <c r="AK68" s="81"/>
      <c r="AL68" s="81"/>
      <c r="AM68" s="81"/>
      <c r="AN68" s="81"/>
      <c r="AO68" s="81"/>
      <c r="AP68" s="81"/>
      <c r="AQ68" s="81"/>
      <c r="AR68" s="81"/>
      <c r="AS68" s="81"/>
      <c r="AT68" s="81"/>
      <c r="AU68" s="81"/>
      <c r="AV68" s="81"/>
      <c r="AW68" s="81"/>
      <c r="AX68" s="136"/>
      <c r="AY68" s="174"/>
      <c r="AZ68" s="135"/>
      <c r="BA68" s="81"/>
      <c r="BB68" s="81"/>
      <c r="BC68" s="81"/>
      <c r="BD68" s="81"/>
      <c r="BE68" s="81"/>
      <c r="BF68" s="81"/>
      <c r="BG68" s="81"/>
      <c r="BH68" s="81"/>
      <c r="BI68" s="81"/>
      <c r="BJ68" s="81"/>
      <c r="BK68" s="81"/>
      <c r="BL68" s="81"/>
      <c r="BM68" s="81"/>
      <c r="BN68" s="81"/>
      <c r="BO68" s="136"/>
      <c r="BP68" s="174"/>
      <c r="BQ68" s="135"/>
      <c r="BR68" s="81"/>
      <c r="BS68" s="81"/>
      <c r="BT68" s="81"/>
      <c r="BU68" s="81"/>
      <c r="BV68" s="81"/>
      <c r="BW68" s="81"/>
      <c r="BX68" s="81"/>
      <c r="BY68" s="81"/>
      <c r="BZ68" s="81"/>
      <c r="CA68" s="81"/>
      <c r="CB68" s="81"/>
      <c r="CC68" s="81"/>
      <c r="CD68" s="81"/>
      <c r="CE68" s="81"/>
      <c r="CF68" s="136"/>
      <c r="CG68" s="174"/>
      <c r="CH68" s="135"/>
      <c r="CI68" s="81"/>
      <c r="CJ68" s="81"/>
      <c r="CK68" s="81"/>
      <c r="CL68" s="81"/>
      <c r="CM68" s="81"/>
      <c r="CN68" s="81"/>
      <c r="CO68" s="81"/>
      <c r="CP68" s="81"/>
      <c r="CQ68" s="81"/>
      <c r="CR68" s="81"/>
      <c r="CS68" s="81"/>
      <c r="CT68" s="81"/>
      <c r="CU68" s="81"/>
      <c r="CV68" s="81"/>
      <c r="CW68" s="136"/>
      <c r="CX68" s="174"/>
      <c r="CY68" s="135"/>
      <c r="CZ68" s="81"/>
      <c r="DA68" s="81"/>
      <c r="DB68" s="81"/>
      <c r="DC68" s="81"/>
      <c r="DD68" s="81"/>
      <c r="DE68" s="81"/>
      <c r="DF68" s="81"/>
      <c r="DG68" s="81"/>
      <c r="DH68" s="81"/>
      <c r="DI68" s="81"/>
      <c r="DJ68" s="81"/>
      <c r="DK68" s="81"/>
      <c r="DL68" s="81"/>
      <c r="DM68" s="81"/>
      <c r="DN68" s="136"/>
      <c r="DO68" s="174"/>
      <c r="DP68" s="135"/>
      <c r="DQ68" s="81"/>
      <c r="DR68" s="81"/>
      <c r="DS68" s="81"/>
      <c r="DT68" s="81"/>
      <c r="DU68" s="81"/>
      <c r="DV68" s="81"/>
      <c r="DW68" s="81"/>
      <c r="DX68" s="81"/>
      <c r="DY68" s="81"/>
      <c r="DZ68" s="81"/>
      <c r="EA68" s="81"/>
      <c r="EB68" s="81"/>
      <c r="EC68" s="81"/>
      <c r="ED68" s="81"/>
      <c r="EE68" s="136"/>
      <c r="EF68" s="174"/>
    </row>
    <row r="69" spans="1:136">
      <c r="A69" s="135"/>
      <c r="B69" s="81"/>
      <c r="C69" s="81"/>
      <c r="D69" s="81"/>
      <c r="E69" s="81"/>
      <c r="F69" s="81"/>
      <c r="G69" s="81"/>
      <c r="H69" s="81"/>
      <c r="I69" s="81"/>
      <c r="J69" s="81"/>
      <c r="K69" s="81"/>
      <c r="L69" s="81"/>
      <c r="M69" s="81"/>
      <c r="N69" s="81"/>
      <c r="O69" s="81"/>
      <c r="P69" s="136"/>
      <c r="Q69" s="174"/>
      <c r="R69" s="135"/>
      <c r="S69" s="81"/>
      <c r="T69" s="81"/>
      <c r="U69" s="81"/>
      <c r="V69" s="81"/>
      <c r="W69" s="81"/>
      <c r="X69" s="81"/>
      <c r="Y69" s="81"/>
      <c r="Z69" s="81"/>
      <c r="AA69" s="81"/>
      <c r="AB69" s="81"/>
      <c r="AC69" s="81"/>
      <c r="AD69" s="81"/>
      <c r="AE69" s="81"/>
      <c r="AF69" s="81"/>
      <c r="AG69" s="136"/>
      <c r="AH69" s="174"/>
      <c r="AI69" s="135"/>
      <c r="AJ69" s="81"/>
      <c r="AK69" s="81"/>
      <c r="AL69" s="81"/>
      <c r="AM69" s="81"/>
      <c r="AN69" s="81"/>
      <c r="AO69" s="81"/>
      <c r="AP69" s="81"/>
      <c r="AQ69" s="81"/>
      <c r="AR69" s="81"/>
      <c r="AS69" s="81"/>
      <c r="AT69" s="81"/>
      <c r="AU69" s="81"/>
      <c r="AV69" s="81"/>
      <c r="AW69" s="81"/>
      <c r="AX69" s="136"/>
      <c r="AY69" s="174"/>
      <c r="AZ69" s="135"/>
      <c r="BA69" s="81"/>
      <c r="BB69" s="81"/>
      <c r="BC69" s="81"/>
      <c r="BD69" s="81"/>
      <c r="BE69" s="81"/>
      <c r="BF69" s="81"/>
      <c r="BG69" s="81"/>
      <c r="BH69" s="81"/>
      <c r="BI69" s="81"/>
      <c r="BJ69" s="81"/>
      <c r="BK69" s="81"/>
      <c r="BL69" s="81"/>
      <c r="BM69" s="81"/>
      <c r="BN69" s="81"/>
      <c r="BO69" s="136"/>
      <c r="BP69" s="174"/>
      <c r="BQ69" s="135"/>
      <c r="BR69" s="81"/>
      <c r="BS69" s="81"/>
      <c r="BT69" s="81"/>
      <c r="BU69" s="81"/>
      <c r="BV69" s="81"/>
      <c r="BW69" s="81"/>
      <c r="BX69" s="81"/>
      <c r="BY69" s="81"/>
      <c r="BZ69" s="81"/>
      <c r="CA69" s="81"/>
      <c r="CB69" s="81"/>
      <c r="CC69" s="81"/>
      <c r="CD69" s="81"/>
      <c r="CE69" s="81"/>
      <c r="CF69" s="136"/>
      <c r="CG69" s="174"/>
      <c r="CH69" s="135"/>
      <c r="CI69" s="81"/>
      <c r="CJ69" s="81"/>
      <c r="CK69" s="81"/>
      <c r="CL69" s="81"/>
      <c r="CM69" s="81"/>
      <c r="CN69" s="81"/>
      <c r="CO69" s="81"/>
      <c r="CP69" s="81"/>
      <c r="CQ69" s="81"/>
      <c r="CR69" s="81"/>
      <c r="CS69" s="81"/>
      <c r="CT69" s="81"/>
      <c r="CU69" s="81"/>
      <c r="CV69" s="81"/>
      <c r="CW69" s="136"/>
      <c r="CX69" s="174"/>
      <c r="CY69" s="135"/>
      <c r="CZ69" s="81"/>
      <c r="DA69" s="81"/>
      <c r="DB69" s="81"/>
      <c r="DC69" s="81"/>
      <c r="DD69" s="81"/>
      <c r="DE69" s="81"/>
      <c r="DF69" s="81"/>
      <c r="DG69" s="81"/>
      <c r="DH69" s="81"/>
      <c r="DI69" s="81"/>
      <c r="DJ69" s="81"/>
      <c r="DK69" s="81"/>
      <c r="DL69" s="81"/>
      <c r="DM69" s="81"/>
      <c r="DN69" s="136"/>
      <c r="DO69" s="174"/>
      <c r="DP69" s="135"/>
      <c r="DQ69" s="81"/>
      <c r="DR69" s="81"/>
      <c r="DS69" s="81"/>
      <c r="DT69" s="81"/>
      <c r="DU69" s="81"/>
      <c r="DV69" s="81"/>
      <c r="DW69" s="81"/>
      <c r="DX69" s="81"/>
      <c r="DY69" s="81"/>
      <c r="DZ69" s="81"/>
      <c r="EA69" s="81"/>
      <c r="EB69" s="81"/>
      <c r="EC69" s="81"/>
      <c r="ED69" s="81"/>
      <c r="EE69" s="136"/>
      <c r="EF69" s="174"/>
    </row>
    <row r="70" spans="1:136">
      <c r="A70" s="135"/>
      <c r="B70" s="81"/>
      <c r="C70" s="81"/>
      <c r="D70" s="81"/>
      <c r="E70" s="81"/>
      <c r="F70" s="81"/>
      <c r="G70" s="81"/>
      <c r="H70" s="81"/>
      <c r="I70" s="81"/>
      <c r="J70" s="81"/>
      <c r="K70" s="81"/>
      <c r="L70" s="81"/>
      <c r="M70" s="81"/>
      <c r="N70" s="81"/>
      <c r="O70" s="81"/>
      <c r="P70" s="136"/>
      <c r="Q70" s="174"/>
      <c r="R70" s="135"/>
      <c r="S70" s="81"/>
      <c r="T70" s="81"/>
      <c r="U70" s="81"/>
      <c r="V70" s="81"/>
      <c r="W70" s="81"/>
      <c r="X70" s="81"/>
      <c r="Y70" s="81"/>
      <c r="Z70" s="81"/>
      <c r="AA70" s="81"/>
      <c r="AB70" s="81"/>
      <c r="AC70" s="81"/>
      <c r="AD70" s="81"/>
      <c r="AE70" s="81"/>
      <c r="AF70" s="81"/>
      <c r="AG70" s="136"/>
      <c r="AH70" s="174"/>
      <c r="AI70" s="135"/>
      <c r="AJ70" s="81"/>
      <c r="AK70" s="81"/>
      <c r="AL70" s="81"/>
      <c r="AM70" s="81"/>
      <c r="AN70" s="81"/>
      <c r="AO70" s="81"/>
      <c r="AP70" s="81"/>
      <c r="AQ70" s="81"/>
      <c r="AR70" s="81"/>
      <c r="AS70" s="81"/>
      <c r="AT70" s="81"/>
      <c r="AU70" s="81"/>
      <c r="AV70" s="81"/>
      <c r="AW70" s="81"/>
      <c r="AX70" s="136"/>
      <c r="AY70" s="174"/>
      <c r="AZ70" s="135"/>
      <c r="BA70" s="81"/>
      <c r="BB70" s="81"/>
      <c r="BC70" s="81"/>
      <c r="BD70" s="81"/>
      <c r="BE70" s="81"/>
      <c r="BF70" s="81"/>
      <c r="BG70" s="81"/>
      <c r="BH70" s="81"/>
      <c r="BI70" s="81"/>
      <c r="BJ70" s="81"/>
      <c r="BK70" s="81"/>
      <c r="BL70" s="81"/>
      <c r="BM70" s="81"/>
      <c r="BN70" s="81"/>
      <c r="BO70" s="136"/>
      <c r="BP70" s="174"/>
      <c r="BQ70" s="135"/>
      <c r="BR70" s="81"/>
      <c r="BS70" s="81"/>
      <c r="BT70" s="81"/>
      <c r="BU70" s="81"/>
      <c r="BV70" s="81"/>
      <c r="BW70" s="81"/>
      <c r="BX70" s="81"/>
      <c r="BY70" s="81"/>
      <c r="BZ70" s="81"/>
      <c r="CA70" s="81"/>
      <c r="CB70" s="81"/>
      <c r="CC70" s="81"/>
      <c r="CD70" s="81"/>
      <c r="CE70" s="81"/>
      <c r="CF70" s="136"/>
      <c r="CG70" s="174"/>
      <c r="CH70" s="135"/>
      <c r="CI70" s="81"/>
      <c r="CJ70" s="81"/>
      <c r="CK70" s="81"/>
      <c r="CL70" s="81"/>
      <c r="CM70" s="81"/>
      <c r="CN70" s="81"/>
      <c r="CO70" s="81"/>
      <c r="CP70" s="81"/>
      <c r="CQ70" s="81"/>
      <c r="CR70" s="81"/>
      <c r="CS70" s="81"/>
      <c r="CT70" s="81"/>
      <c r="CU70" s="81"/>
      <c r="CV70" s="81"/>
      <c r="CW70" s="136"/>
      <c r="CX70" s="174"/>
      <c r="CY70" s="135"/>
      <c r="CZ70" s="81"/>
      <c r="DA70" s="81"/>
      <c r="DB70" s="81"/>
      <c r="DC70" s="81"/>
      <c r="DD70" s="81"/>
      <c r="DE70" s="81"/>
      <c r="DF70" s="81"/>
      <c r="DG70" s="81"/>
      <c r="DH70" s="81"/>
      <c r="DI70" s="81"/>
      <c r="DJ70" s="81"/>
      <c r="DK70" s="81"/>
      <c r="DL70" s="81"/>
      <c r="DM70" s="81"/>
      <c r="DN70" s="136"/>
      <c r="DO70" s="174"/>
      <c r="DP70" s="135"/>
      <c r="DQ70" s="81"/>
      <c r="DR70" s="81"/>
      <c r="DS70" s="81"/>
      <c r="DT70" s="81"/>
      <c r="DU70" s="81"/>
      <c r="DV70" s="81"/>
      <c r="DW70" s="81"/>
      <c r="DX70" s="81"/>
      <c r="DY70" s="81"/>
      <c r="DZ70" s="81"/>
      <c r="EA70" s="81"/>
      <c r="EB70" s="81"/>
      <c r="EC70" s="81"/>
      <c r="ED70" s="81"/>
      <c r="EE70" s="136"/>
      <c r="EF70" s="174"/>
    </row>
    <row r="71" spans="1:136">
      <c r="A71" s="135"/>
      <c r="B71" s="81"/>
      <c r="C71" s="81"/>
      <c r="D71" s="81"/>
      <c r="E71" s="81"/>
      <c r="F71" s="81"/>
      <c r="G71" s="81"/>
      <c r="H71" s="81"/>
      <c r="I71" s="81"/>
      <c r="J71" s="81"/>
      <c r="K71" s="81"/>
      <c r="L71" s="81"/>
      <c r="M71" s="81"/>
      <c r="N71" s="81"/>
      <c r="O71" s="81"/>
      <c r="P71" s="136"/>
      <c r="Q71" s="174"/>
      <c r="R71" s="135"/>
      <c r="S71" s="81"/>
      <c r="T71" s="81"/>
      <c r="U71" s="81"/>
      <c r="V71" s="81"/>
      <c r="W71" s="81"/>
      <c r="X71" s="81"/>
      <c r="Y71" s="81"/>
      <c r="Z71" s="81"/>
      <c r="AA71" s="81"/>
      <c r="AB71" s="81"/>
      <c r="AC71" s="81"/>
      <c r="AD71" s="81"/>
      <c r="AE71" s="81"/>
      <c r="AF71" s="81"/>
      <c r="AG71" s="136"/>
      <c r="AH71" s="174"/>
      <c r="AI71" s="135"/>
      <c r="AJ71" s="81"/>
      <c r="AK71" s="81"/>
      <c r="AL71" s="81"/>
      <c r="AM71" s="81"/>
      <c r="AN71" s="81"/>
      <c r="AO71" s="81"/>
      <c r="AP71" s="81"/>
      <c r="AQ71" s="81"/>
      <c r="AR71" s="81"/>
      <c r="AS71" s="81"/>
      <c r="AT71" s="81"/>
      <c r="AU71" s="81"/>
      <c r="AV71" s="81"/>
      <c r="AW71" s="81"/>
      <c r="AX71" s="136"/>
      <c r="AY71" s="174"/>
      <c r="AZ71" s="135"/>
      <c r="BA71" s="81"/>
      <c r="BB71" s="81"/>
      <c r="BC71" s="81"/>
      <c r="BD71" s="81"/>
      <c r="BE71" s="81"/>
      <c r="BF71" s="81"/>
      <c r="BG71" s="81"/>
      <c r="BH71" s="81"/>
      <c r="BI71" s="81"/>
      <c r="BJ71" s="81"/>
      <c r="BK71" s="81"/>
      <c r="BL71" s="81"/>
      <c r="BM71" s="81"/>
      <c r="BN71" s="81"/>
      <c r="BO71" s="136"/>
      <c r="BP71" s="174"/>
      <c r="BQ71" s="135"/>
      <c r="BR71" s="81"/>
      <c r="BS71" s="81"/>
      <c r="BT71" s="81"/>
      <c r="BU71" s="81"/>
      <c r="BV71" s="81"/>
      <c r="BW71" s="81"/>
      <c r="BX71" s="81"/>
      <c r="BY71" s="81"/>
      <c r="BZ71" s="81"/>
      <c r="CA71" s="81"/>
      <c r="CB71" s="81"/>
      <c r="CC71" s="81"/>
      <c r="CD71" s="81"/>
      <c r="CE71" s="81"/>
      <c r="CF71" s="136"/>
      <c r="CG71" s="174"/>
      <c r="CH71" s="135"/>
      <c r="CI71" s="81"/>
      <c r="CJ71" s="81"/>
      <c r="CK71" s="81"/>
      <c r="CL71" s="81"/>
      <c r="CM71" s="81"/>
      <c r="CN71" s="81"/>
      <c r="CO71" s="81"/>
      <c r="CP71" s="81"/>
      <c r="CQ71" s="81"/>
      <c r="CR71" s="81"/>
      <c r="CS71" s="81"/>
      <c r="CT71" s="81"/>
      <c r="CU71" s="81"/>
      <c r="CV71" s="81"/>
      <c r="CW71" s="136"/>
      <c r="CX71" s="174"/>
      <c r="CY71" s="135"/>
      <c r="CZ71" s="81"/>
      <c r="DA71" s="81"/>
      <c r="DB71" s="81"/>
      <c r="DC71" s="81"/>
      <c r="DD71" s="81"/>
      <c r="DE71" s="81"/>
      <c r="DF71" s="81"/>
      <c r="DG71" s="81"/>
      <c r="DH71" s="81"/>
      <c r="DI71" s="81"/>
      <c r="DJ71" s="81"/>
      <c r="DK71" s="81"/>
      <c r="DL71" s="81"/>
      <c r="DM71" s="81"/>
      <c r="DN71" s="136"/>
      <c r="DO71" s="174"/>
      <c r="DP71" s="135"/>
      <c r="DQ71" s="81"/>
      <c r="DR71" s="81"/>
      <c r="DS71" s="81"/>
      <c r="DT71" s="81"/>
      <c r="DU71" s="81"/>
      <c r="DV71" s="81"/>
      <c r="DW71" s="81"/>
      <c r="DX71" s="81"/>
      <c r="DY71" s="81"/>
      <c r="DZ71" s="81"/>
      <c r="EA71" s="81"/>
      <c r="EB71" s="81"/>
      <c r="EC71" s="81"/>
      <c r="ED71" s="81"/>
      <c r="EE71" s="136"/>
      <c r="EF71" s="174"/>
    </row>
    <row r="72" spans="1:136">
      <c r="A72" s="135"/>
      <c r="B72" s="81"/>
      <c r="C72" s="81"/>
      <c r="D72" s="81"/>
      <c r="E72" s="81"/>
      <c r="F72" s="81"/>
      <c r="G72" s="81"/>
      <c r="H72" s="81"/>
      <c r="I72" s="81"/>
      <c r="J72" s="81"/>
      <c r="K72" s="81"/>
      <c r="L72" s="81"/>
      <c r="M72" s="81"/>
      <c r="N72" s="81"/>
      <c r="O72" s="81"/>
      <c r="P72" s="136"/>
      <c r="Q72" s="174"/>
      <c r="R72" s="135"/>
      <c r="S72" s="81"/>
      <c r="T72" s="81"/>
      <c r="U72" s="81"/>
      <c r="V72" s="81"/>
      <c r="W72" s="81"/>
      <c r="X72" s="81"/>
      <c r="Y72" s="81"/>
      <c r="Z72" s="81"/>
      <c r="AA72" s="81"/>
      <c r="AB72" s="81"/>
      <c r="AC72" s="81"/>
      <c r="AD72" s="81"/>
      <c r="AE72" s="81"/>
      <c r="AF72" s="81"/>
      <c r="AG72" s="136"/>
      <c r="AH72" s="174"/>
      <c r="AI72" s="135"/>
      <c r="AJ72" s="81"/>
      <c r="AK72" s="81"/>
      <c r="AL72" s="81"/>
      <c r="AM72" s="81"/>
      <c r="AN72" s="81"/>
      <c r="AO72" s="81"/>
      <c r="AP72" s="81"/>
      <c r="AQ72" s="81"/>
      <c r="AR72" s="81"/>
      <c r="AS72" s="81"/>
      <c r="AT72" s="81"/>
      <c r="AU72" s="81"/>
      <c r="AV72" s="81"/>
      <c r="AW72" s="81"/>
      <c r="AX72" s="136"/>
      <c r="AY72" s="174"/>
      <c r="AZ72" s="135"/>
      <c r="BA72" s="81"/>
      <c r="BB72" s="81"/>
      <c r="BC72" s="81"/>
      <c r="BD72" s="81"/>
      <c r="BE72" s="81"/>
      <c r="BF72" s="81"/>
      <c r="BG72" s="81"/>
      <c r="BH72" s="81"/>
      <c r="BI72" s="81"/>
      <c r="BJ72" s="81"/>
      <c r="BK72" s="81"/>
      <c r="BL72" s="81"/>
      <c r="BM72" s="81"/>
      <c r="BN72" s="81"/>
      <c r="BO72" s="136"/>
      <c r="BP72" s="174"/>
      <c r="BQ72" s="135"/>
      <c r="BR72" s="81"/>
      <c r="BS72" s="81"/>
      <c r="BT72" s="81"/>
      <c r="BU72" s="81"/>
      <c r="BV72" s="81"/>
      <c r="BW72" s="81"/>
      <c r="BX72" s="81"/>
      <c r="BY72" s="81"/>
      <c r="BZ72" s="81"/>
      <c r="CA72" s="81"/>
      <c r="CB72" s="81"/>
      <c r="CC72" s="81"/>
      <c r="CD72" s="81"/>
      <c r="CE72" s="81"/>
      <c r="CF72" s="136"/>
      <c r="CG72" s="174"/>
      <c r="CH72" s="135"/>
      <c r="CI72" s="81"/>
      <c r="CJ72" s="81"/>
      <c r="CK72" s="81"/>
      <c r="CL72" s="81"/>
      <c r="CM72" s="81"/>
      <c r="CN72" s="81"/>
      <c r="CO72" s="81"/>
      <c r="CP72" s="81"/>
      <c r="CQ72" s="81"/>
      <c r="CR72" s="81"/>
      <c r="CS72" s="81"/>
      <c r="CT72" s="81"/>
      <c r="CU72" s="81"/>
      <c r="CV72" s="81"/>
      <c r="CW72" s="136"/>
      <c r="CX72" s="174"/>
      <c r="CY72" s="135"/>
      <c r="CZ72" s="81"/>
      <c r="DA72" s="81"/>
      <c r="DB72" s="81"/>
      <c r="DC72" s="81"/>
      <c r="DD72" s="81"/>
      <c r="DE72" s="81"/>
      <c r="DF72" s="81"/>
      <c r="DG72" s="81"/>
      <c r="DH72" s="81"/>
      <c r="DI72" s="81"/>
      <c r="DJ72" s="81"/>
      <c r="DK72" s="81"/>
      <c r="DL72" s="81"/>
      <c r="DM72" s="81"/>
      <c r="DN72" s="136"/>
      <c r="DO72" s="174"/>
      <c r="DP72" s="135"/>
      <c r="DQ72" s="81"/>
      <c r="DR72" s="81"/>
      <c r="DS72" s="81"/>
      <c r="DT72" s="81"/>
      <c r="DU72" s="81"/>
      <c r="DV72" s="81"/>
      <c r="DW72" s="81"/>
      <c r="DX72" s="81"/>
      <c r="DY72" s="81"/>
      <c r="DZ72" s="81"/>
      <c r="EA72" s="81"/>
      <c r="EB72" s="81"/>
      <c r="EC72" s="81"/>
      <c r="ED72" s="81"/>
      <c r="EE72" s="136"/>
      <c r="EF72" s="174"/>
    </row>
    <row r="73" spans="1:136">
      <c r="A73" s="135"/>
      <c r="B73" s="81"/>
      <c r="C73" s="81"/>
      <c r="D73" s="81"/>
      <c r="E73" s="81"/>
      <c r="F73" s="81"/>
      <c r="G73" s="81"/>
      <c r="H73" s="81"/>
      <c r="I73" s="81"/>
      <c r="J73" s="81"/>
      <c r="K73" s="81"/>
      <c r="L73" s="81"/>
      <c r="M73" s="81"/>
      <c r="N73" s="81"/>
      <c r="O73" s="81"/>
      <c r="P73" s="136"/>
      <c r="Q73" s="174"/>
      <c r="R73" s="135"/>
      <c r="S73" s="81"/>
      <c r="T73" s="81"/>
      <c r="U73" s="81"/>
      <c r="V73" s="81"/>
      <c r="W73" s="81"/>
      <c r="X73" s="81"/>
      <c r="Y73" s="81"/>
      <c r="Z73" s="81"/>
      <c r="AA73" s="81"/>
      <c r="AB73" s="81"/>
      <c r="AC73" s="81"/>
      <c r="AD73" s="81"/>
      <c r="AE73" s="81"/>
      <c r="AF73" s="81"/>
      <c r="AG73" s="136"/>
      <c r="AH73" s="174"/>
      <c r="AI73" s="135"/>
      <c r="AJ73" s="81"/>
      <c r="AK73" s="81"/>
      <c r="AL73" s="81"/>
      <c r="AM73" s="81"/>
      <c r="AN73" s="81"/>
      <c r="AO73" s="81"/>
      <c r="AP73" s="81"/>
      <c r="AQ73" s="81"/>
      <c r="AR73" s="81"/>
      <c r="AS73" s="81"/>
      <c r="AT73" s="81"/>
      <c r="AU73" s="81"/>
      <c r="AV73" s="81"/>
      <c r="AW73" s="81"/>
      <c r="AX73" s="136"/>
      <c r="AY73" s="174"/>
      <c r="AZ73" s="135"/>
      <c r="BA73" s="81"/>
      <c r="BB73" s="81"/>
      <c r="BC73" s="81"/>
      <c r="BD73" s="81"/>
      <c r="BE73" s="81"/>
      <c r="BF73" s="81"/>
      <c r="BG73" s="81"/>
      <c r="BH73" s="81"/>
      <c r="BI73" s="81"/>
      <c r="BJ73" s="81"/>
      <c r="BK73" s="81"/>
      <c r="BL73" s="81"/>
      <c r="BM73" s="81"/>
      <c r="BN73" s="81"/>
      <c r="BO73" s="136"/>
      <c r="BP73" s="174"/>
      <c r="BQ73" s="135"/>
      <c r="BR73" s="81"/>
      <c r="BS73" s="81"/>
      <c r="BT73" s="81"/>
      <c r="BU73" s="81"/>
      <c r="BV73" s="81"/>
      <c r="BW73" s="81"/>
      <c r="BX73" s="81"/>
      <c r="BY73" s="81"/>
      <c r="BZ73" s="81"/>
      <c r="CA73" s="81"/>
      <c r="CB73" s="81"/>
      <c r="CC73" s="81"/>
      <c r="CD73" s="81"/>
      <c r="CE73" s="81"/>
      <c r="CF73" s="136"/>
      <c r="CG73" s="174"/>
      <c r="CH73" s="135"/>
      <c r="CI73" s="81"/>
      <c r="CJ73" s="81"/>
      <c r="CK73" s="81"/>
      <c r="CL73" s="81"/>
      <c r="CM73" s="81"/>
      <c r="CN73" s="81"/>
      <c r="CO73" s="81"/>
      <c r="CP73" s="81"/>
      <c r="CQ73" s="81"/>
      <c r="CR73" s="81"/>
      <c r="CS73" s="81"/>
      <c r="CT73" s="81"/>
      <c r="CU73" s="81"/>
      <c r="CV73" s="81"/>
      <c r="CW73" s="136"/>
      <c r="CX73" s="174"/>
      <c r="CY73" s="135"/>
      <c r="CZ73" s="81"/>
      <c r="DA73" s="81"/>
      <c r="DB73" s="81"/>
      <c r="DC73" s="81"/>
      <c r="DD73" s="81"/>
      <c r="DE73" s="81"/>
      <c r="DF73" s="81"/>
      <c r="DG73" s="81"/>
      <c r="DH73" s="81"/>
      <c r="DI73" s="81"/>
      <c r="DJ73" s="81"/>
      <c r="DK73" s="81"/>
      <c r="DL73" s="81"/>
      <c r="DM73" s="81"/>
      <c r="DN73" s="136"/>
      <c r="DO73" s="174"/>
      <c r="DP73" s="135"/>
      <c r="DQ73" s="81"/>
      <c r="DR73" s="81"/>
      <c r="DS73" s="81"/>
      <c r="DT73" s="81"/>
      <c r="DU73" s="81"/>
      <c r="DV73" s="81"/>
      <c r="DW73" s="81"/>
      <c r="DX73" s="81"/>
      <c r="DY73" s="81"/>
      <c r="DZ73" s="81"/>
      <c r="EA73" s="81"/>
      <c r="EB73" s="81"/>
      <c r="EC73" s="81"/>
      <c r="ED73" s="81"/>
      <c r="EE73" s="136"/>
      <c r="EF73" s="174"/>
    </row>
    <row r="74" spans="1:136">
      <c r="A74" s="135"/>
      <c r="B74" s="81"/>
      <c r="C74" s="81"/>
      <c r="D74" s="81"/>
      <c r="E74" s="81"/>
      <c r="F74" s="81"/>
      <c r="G74" s="81"/>
      <c r="H74" s="81"/>
      <c r="I74" s="81"/>
      <c r="J74" s="81"/>
      <c r="K74" s="81"/>
      <c r="L74" s="81"/>
      <c r="M74" s="81"/>
      <c r="N74" s="81"/>
      <c r="O74" s="81"/>
      <c r="P74" s="136"/>
      <c r="Q74" s="174"/>
      <c r="R74" s="135"/>
      <c r="S74" s="81"/>
      <c r="T74" s="81"/>
      <c r="U74" s="81"/>
      <c r="V74" s="81"/>
      <c r="W74" s="81"/>
      <c r="X74" s="81"/>
      <c r="Y74" s="81"/>
      <c r="Z74" s="81"/>
      <c r="AA74" s="81"/>
      <c r="AB74" s="81"/>
      <c r="AC74" s="81"/>
      <c r="AD74" s="81"/>
      <c r="AE74" s="81"/>
      <c r="AF74" s="81"/>
      <c r="AG74" s="136"/>
      <c r="AH74" s="174"/>
      <c r="AI74" s="135"/>
      <c r="AJ74" s="81"/>
      <c r="AK74" s="81"/>
      <c r="AL74" s="81"/>
      <c r="AM74" s="81"/>
      <c r="AN74" s="81"/>
      <c r="AO74" s="81"/>
      <c r="AP74" s="81"/>
      <c r="AQ74" s="81"/>
      <c r="AR74" s="81"/>
      <c r="AS74" s="81"/>
      <c r="AT74" s="81"/>
      <c r="AU74" s="81"/>
      <c r="AV74" s="81"/>
      <c r="AW74" s="81"/>
      <c r="AX74" s="136"/>
      <c r="AY74" s="174"/>
      <c r="AZ74" s="135"/>
      <c r="BA74" s="81"/>
      <c r="BB74" s="81"/>
      <c r="BC74" s="81"/>
      <c r="BD74" s="81"/>
      <c r="BE74" s="81"/>
      <c r="BF74" s="81"/>
      <c r="BG74" s="81"/>
      <c r="BH74" s="81"/>
      <c r="BI74" s="81"/>
      <c r="BJ74" s="81"/>
      <c r="BK74" s="81"/>
      <c r="BL74" s="81"/>
      <c r="BM74" s="81"/>
      <c r="BN74" s="81"/>
      <c r="BO74" s="136"/>
      <c r="BP74" s="174"/>
      <c r="BQ74" s="135"/>
      <c r="BR74" s="81"/>
      <c r="BS74" s="81"/>
      <c r="BT74" s="81"/>
      <c r="BU74" s="81"/>
      <c r="BV74" s="81"/>
      <c r="BW74" s="81"/>
      <c r="BX74" s="81"/>
      <c r="BY74" s="81"/>
      <c r="BZ74" s="81"/>
      <c r="CA74" s="81"/>
      <c r="CB74" s="81"/>
      <c r="CC74" s="81"/>
      <c r="CD74" s="81"/>
      <c r="CE74" s="81"/>
      <c r="CF74" s="136"/>
      <c r="CG74" s="174"/>
      <c r="CH74" s="135"/>
      <c r="CI74" s="81"/>
      <c r="CJ74" s="81"/>
      <c r="CK74" s="81"/>
      <c r="CL74" s="81"/>
      <c r="CM74" s="81"/>
      <c r="CN74" s="81"/>
      <c r="CO74" s="81"/>
      <c r="CP74" s="81"/>
      <c r="CQ74" s="81"/>
      <c r="CR74" s="81"/>
      <c r="CS74" s="81"/>
      <c r="CT74" s="81"/>
      <c r="CU74" s="81"/>
      <c r="CV74" s="81"/>
      <c r="CW74" s="136"/>
      <c r="CX74" s="174"/>
      <c r="CY74" s="135"/>
      <c r="CZ74" s="81"/>
      <c r="DA74" s="81"/>
      <c r="DB74" s="81"/>
      <c r="DC74" s="81"/>
      <c r="DD74" s="81"/>
      <c r="DE74" s="81"/>
      <c r="DF74" s="81"/>
      <c r="DG74" s="81"/>
      <c r="DH74" s="81"/>
      <c r="DI74" s="81"/>
      <c r="DJ74" s="81"/>
      <c r="DK74" s="81"/>
      <c r="DL74" s="81"/>
      <c r="DM74" s="81"/>
      <c r="DN74" s="136"/>
      <c r="DO74" s="174"/>
      <c r="DP74" s="135"/>
      <c r="DQ74" s="81"/>
      <c r="DR74" s="81"/>
      <c r="DS74" s="81"/>
      <c r="DT74" s="81"/>
      <c r="DU74" s="81"/>
      <c r="DV74" s="81"/>
      <c r="DW74" s="81"/>
      <c r="DX74" s="81"/>
      <c r="DY74" s="81"/>
      <c r="DZ74" s="81"/>
      <c r="EA74" s="81"/>
      <c r="EB74" s="81"/>
      <c r="EC74" s="81"/>
      <c r="ED74" s="81"/>
      <c r="EE74" s="136"/>
      <c r="EF74" s="174"/>
    </row>
    <row r="75" spans="1:136">
      <c r="A75" s="135"/>
      <c r="B75" s="81"/>
      <c r="C75" s="81"/>
      <c r="D75" s="81"/>
      <c r="E75" s="81"/>
      <c r="F75" s="81"/>
      <c r="G75" s="81"/>
      <c r="H75" s="81"/>
      <c r="I75" s="81"/>
      <c r="J75" s="81"/>
      <c r="K75" s="81"/>
      <c r="L75" s="81"/>
      <c r="M75" s="81"/>
      <c r="N75" s="81"/>
      <c r="O75" s="81"/>
      <c r="P75" s="136"/>
      <c r="Q75" s="174"/>
      <c r="R75" s="135"/>
      <c r="S75" s="81"/>
      <c r="T75" s="81"/>
      <c r="U75" s="81"/>
      <c r="V75" s="81"/>
      <c r="W75" s="81"/>
      <c r="X75" s="81"/>
      <c r="Y75" s="81"/>
      <c r="Z75" s="81"/>
      <c r="AA75" s="81"/>
      <c r="AB75" s="81"/>
      <c r="AC75" s="81"/>
      <c r="AD75" s="81"/>
      <c r="AE75" s="81"/>
      <c r="AF75" s="81"/>
      <c r="AG75" s="136"/>
      <c r="AH75" s="174"/>
      <c r="AI75" s="135"/>
      <c r="AJ75" s="81"/>
      <c r="AK75" s="81"/>
      <c r="AL75" s="81"/>
      <c r="AM75" s="81"/>
      <c r="AN75" s="81"/>
      <c r="AO75" s="81"/>
      <c r="AP75" s="81"/>
      <c r="AQ75" s="81"/>
      <c r="AR75" s="81"/>
      <c r="AS75" s="81"/>
      <c r="AT75" s="81"/>
      <c r="AU75" s="81"/>
      <c r="AV75" s="81"/>
      <c r="AW75" s="81"/>
      <c r="AX75" s="136"/>
      <c r="AY75" s="174"/>
      <c r="AZ75" s="135"/>
      <c r="BA75" s="81"/>
      <c r="BB75" s="81"/>
      <c r="BC75" s="81"/>
      <c r="BD75" s="81"/>
      <c r="BE75" s="81"/>
      <c r="BF75" s="81"/>
      <c r="BG75" s="81"/>
      <c r="BH75" s="81"/>
      <c r="BI75" s="81"/>
      <c r="BJ75" s="81"/>
      <c r="BK75" s="81"/>
      <c r="BL75" s="81"/>
      <c r="BM75" s="81"/>
      <c r="BN75" s="81"/>
      <c r="BO75" s="136"/>
      <c r="BP75" s="174"/>
      <c r="BQ75" s="135"/>
      <c r="BR75" s="81"/>
      <c r="BS75" s="81"/>
      <c r="BT75" s="81"/>
      <c r="BU75" s="81"/>
      <c r="BV75" s="81"/>
      <c r="BW75" s="81"/>
      <c r="BX75" s="81"/>
      <c r="BY75" s="81"/>
      <c r="BZ75" s="81"/>
      <c r="CA75" s="81"/>
      <c r="CB75" s="81"/>
      <c r="CC75" s="81"/>
      <c r="CD75" s="81"/>
      <c r="CE75" s="81"/>
      <c r="CF75" s="136"/>
      <c r="CG75" s="174"/>
      <c r="CH75" s="135"/>
      <c r="CI75" s="81"/>
      <c r="CJ75" s="81"/>
      <c r="CK75" s="81"/>
      <c r="CL75" s="81"/>
      <c r="CM75" s="81"/>
      <c r="CN75" s="81"/>
      <c r="CO75" s="81"/>
      <c r="CP75" s="81"/>
      <c r="CQ75" s="81"/>
      <c r="CR75" s="81"/>
      <c r="CS75" s="81"/>
      <c r="CT75" s="81"/>
      <c r="CU75" s="81"/>
      <c r="CV75" s="81"/>
      <c r="CW75" s="136"/>
      <c r="CX75" s="174"/>
      <c r="CY75" s="135"/>
      <c r="CZ75" s="81"/>
      <c r="DA75" s="81"/>
      <c r="DB75" s="81"/>
      <c r="DC75" s="81"/>
      <c r="DD75" s="81"/>
      <c r="DE75" s="81"/>
      <c r="DF75" s="81"/>
      <c r="DG75" s="81"/>
      <c r="DH75" s="81"/>
      <c r="DI75" s="81"/>
      <c r="DJ75" s="81"/>
      <c r="DK75" s="81"/>
      <c r="DL75" s="81"/>
      <c r="DM75" s="81"/>
      <c r="DN75" s="136"/>
      <c r="DO75" s="174"/>
      <c r="DP75" s="135"/>
      <c r="DQ75" s="81"/>
      <c r="DR75" s="81"/>
      <c r="DS75" s="81"/>
      <c r="DT75" s="81"/>
      <c r="DU75" s="81"/>
      <c r="DV75" s="81"/>
      <c r="DW75" s="81"/>
      <c r="DX75" s="81"/>
      <c r="DY75" s="81"/>
      <c r="DZ75" s="81"/>
      <c r="EA75" s="81"/>
      <c r="EB75" s="81"/>
      <c r="EC75" s="81"/>
      <c r="ED75" s="81"/>
      <c r="EE75" s="136"/>
      <c r="EF75" s="174"/>
    </row>
    <row r="76" spans="1:136">
      <c r="A76" s="135"/>
      <c r="B76" s="81"/>
      <c r="C76" s="81"/>
      <c r="D76" s="81"/>
      <c r="E76" s="81"/>
      <c r="F76" s="81"/>
      <c r="G76" s="81"/>
      <c r="H76" s="81"/>
      <c r="I76" s="81"/>
      <c r="J76" s="81"/>
      <c r="K76" s="81"/>
      <c r="L76" s="81"/>
      <c r="M76" s="81"/>
      <c r="N76" s="81"/>
      <c r="O76" s="81"/>
      <c r="P76" s="136"/>
      <c r="Q76" s="174"/>
      <c r="R76" s="135"/>
      <c r="S76" s="81"/>
      <c r="T76" s="81"/>
      <c r="U76" s="81"/>
      <c r="V76" s="81"/>
      <c r="W76" s="81"/>
      <c r="X76" s="81"/>
      <c r="Y76" s="81"/>
      <c r="Z76" s="81"/>
      <c r="AA76" s="81"/>
      <c r="AB76" s="81"/>
      <c r="AC76" s="81"/>
      <c r="AD76" s="81"/>
      <c r="AE76" s="81"/>
      <c r="AF76" s="81"/>
      <c r="AG76" s="136"/>
      <c r="AH76" s="174"/>
      <c r="AI76" s="135"/>
      <c r="AJ76" s="81"/>
      <c r="AK76" s="81"/>
      <c r="AL76" s="81"/>
      <c r="AM76" s="81"/>
      <c r="AN76" s="81"/>
      <c r="AO76" s="81"/>
      <c r="AP76" s="81"/>
      <c r="AQ76" s="81"/>
      <c r="AR76" s="81"/>
      <c r="AS76" s="81"/>
      <c r="AT76" s="81"/>
      <c r="AU76" s="81"/>
      <c r="AV76" s="81"/>
      <c r="AW76" s="81"/>
      <c r="AX76" s="136"/>
      <c r="AY76" s="174"/>
      <c r="AZ76" s="135"/>
      <c r="BA76" s="81"/>
      <c r="BB76" s="81"/>
      <c r="BC76" s="81"/>
      <c r="BD76" s="81"/>
      <c r="BE76" s="81"/>
      <c r="BF76" s="81"/>
      <c r="BG76" s="81"/>
      <c r="BH76" s="81"/>
      <c r="BI76" s="81"/>
      <c r="BJ76" s="81"/>
      <c r="BK76" s="81"/>
      <c r="BL76" s="81"/>
      <c r="BM76" s="81"/>
      <c r="BN76" s="81"/>
      <c r="BO76" s="136"/>
      <c r="BP76" s="174"/>
      <c r="BQ76" s="135"/>
      <c r="BR76" s="81"/>
      <c r="BS76" s="81"/>
      <c r="BT76" s="81"/>
      <c r="BU76" s="81"/>
      <c r="BV76" s="81"/>
      <c r="BW76" s="81"/>
      <c r="BX76" s="81"/>
      <c r="BY76" s="81"/>
      <c r="BZ76" s="81"/>
      <c r="CA76" s="81"/>
      <c r="CB76" s="81"/>
      <c r="CC76" s="81"/>
      <c r="CD76" s="81"/>
      <c r="CE76" s="81"/>
      <c r="CF76" s="136"/>
      <c r="CG76" s="174"/>
      <c r="CH76" s="135"/>
      <c r="CI76" s="81"/>
      <c r="CJ76" s="81"/>
      <c r="CK76" s="81"/>
      <c r="CL76" s="81"/>
      <c r="CM76" s="81"/>
      <c r="CN76" s="81"/>
      <c r="CO76" s="81"/>
      <c r="CP76" s="81"/>
      <c r="CQ76" s="81"/>
      <c r="CR76" s="81"/>
      <c r="CS76" s="81"/>
      <c r="CT76" s="81"/>
      <c r="CU76" s="81"/>
      <c r="CV76" s="81"/>
      <c r="CW76" s="136"/>
      <c r="CX76" s="174"/>
      <c r="CY76" s="135"/>
      <c r="CZ76" s="81"/>
      <c r="DA76" s="81"/>
      <c r="DB76" s="81"/>
      <c r="DC76" s="81"/>
      <c r="DD76" s="81"/>
      <c r="DE76" s="81"/>
      <c r="DF76" s="81"/>
      <c r="DG76" s="81"/>
      <c r="DH76" s="81"/>
      <c r="DI76" s="81"/>
      <c r="DJ76" s="81"/>
      <c r="DK76" s="81"/>
      <c r="DL76" s="81"/>
      <c r="DM76" s="81"/>
      <c r="DN76" s="136"/>
      <c r="DO76" s="174"/>
      <c r="DP76" s="135"/>
      <c r="DQ76" s="81"/>
      <c r="DR76" s="81"/>
      <c r="DS76" s="81"/>
      <c r="DT76" s="81"/>
      <c r="DU76" s="81"/>
      <c r="DV76" s="81"/>
      <c r="DW76" s="81"/>
      <c r="DX76" s="81"/>
      <c r="DY76" s="81"/>
      <c r="DZ76" s="81"/>
      <c r="EA76" s="81"/>
      <c r="EB76" s="81"/>
      <c r="EC76" s="81"/>
      <c r="ED76" s="81"/>
      <c r="EE76" s="136"/>
      <c r="EF76" s="174"/>
    </row>
    <row r="77" spans="1:136">
      <c r="A77" s="135"/>
      <c r="B77" s="81"/>
      <c r="C77" s="81"/>
      <c r="D77" s="81"/>
      <c r="E77" s="81"/>
      <c r="F77" s="81"/>
      <c r="G77" s="81"/>
      <c r="H77" s="81"/>
      <c r="I77" s="81"/>
      <c r="J77" s="81"/>
      <c r="K77" s="81"/>
      <c r="L77" s="81"/>
      <c r="M77" s="81"/>
      <c r="N77" s="81"/>
      <c r="O77" s="81"/>
      <c r="P77" s="136"/>
      <c r="Q77" s="174"/>
      <c r="R77" s="135"/>
      <c r="S77" s="81"/>
      <c r="T77" s="81"/>
      <c r="U77" s="81"/>
      <c r="V77" s="81"/>
      <c r="W77" s="81"/>
      <c r="X77" s="81"/>
      <c r="Y77" s="81"/>
      <c r="Z77" s="81"/>
      <c r="AA77" s="81"/>
      <c r="AB77" s="81"/>
      <c r="AC77" s="81"/>
      <c r="AD77" s="81"/>
      <c r="AE77" s="81"/>
      <c r="AF77" s="81"/>
      <c r="AG77" s="136"/>
      <c r="AH77" s="174"/>
      <c r="AI77" s="135"/>
      <c r="AJ77" s="81"/>
      <c r="AK77" s="81"/>
      <c r="AL77" s="81"/>
      <c r="AM77" s="81"/>
      <c r="AN77" s="81"/>
      <c r="AO77" s="81"/>
      <c r="AP77" s="81"/>
      <c r="AQ77" s="81"/>
      <c r="AR77" s="81"/>
      <c r="AS77" s="81"/>
      <c r="AT77" s="81"/>
      <c r="AU77" s="81"/>
      <c r="AV77" s="81"/>
      <c r="AW77" s="81"/>
      <c r="AX77" s="136"/>
      <c r="AY77" s="174"/>
      <c r="AZ77" s="135"/>
      <c r="BA77" s="81"/>
      <c r="BB77" s="81"/>
      <c r="BC77" s="81"/>
      <c r="BD77" s="81"/>
      <c r="BE77" s="81"/>
      <c r="BF77" s="81"/>
      <c r="BG77" s="81"/>
      <c r="BH77" s="81"/>
      <c r="BI77" s="81"/>
      <c r="BJ77" s="81"/>
      <c r="BK77" s="81"/>
      <c r="BL77" s="81"/>
      <c r="BM77" s="81"/>
      <c r="BN77" s="81"/>
      <c r="BO77" s="136"/>
      <c r="BP77" s="174"/>
      <c r="BQ77" s="135"/>
      <c r="BR77" s="81"/>
      <c r="BS77" s="81"/>
      <c r="BT77" s="81"/>
      <c r="BU77" s="81"/>
      <c r="BV77" s="81"/>
      <c r="BW77" s="81"/>
      <c r="BX77" s="81"/>
      <c r="BY77" s="81"/>
      <c r="BZ77" s="81"/>
      <c r="CA77" s="81"/>
      <c r="CB77" s="81"/>
      <c r="CC77" s="81"/>
      <c r="CD77" s="81"/>
      <c r="CE77" s="81"/>
      <c r="CF77" s="136"/>
      <c r="CG77" s="174"/>
      <c r="CH77" s="135"/>
      <c r="CI77" s="81"/>
      <c r="CJ77" s="81"/>
      <c r="CK77" s="81"/>
      <c r="CL77" s="81"/>
      <c r="CM77" s="81"/>
      <c r="CN77" s="81"/>
      <c r="CO77" s="81"/>
      <c r="CP77" s="81"/>
      <c r="CQ77" s="81"/>
      <c r="CR77" s="81"/>
      <c r="CS77" s="81"/>
      <c r="CT77" s="81"/>
      <c r="CU77" s="81"/>
      <c r="CV77" s="81"/>
      <c r="CW77" s="136"/>
      <c r="CX77" s="174"/>
      <c r="CY77" s="135"/>
      <c r="CZ77" s="81"/>
      <c r="DA77" s="81"/>
      <c r="DB77" s="81"/>
      <c r="DC77" s="81"/>
      <c r="DD77" s="81"/>
      <c r="DE77" s="81"/>
      <c r="DF77" s="81"/>
      <c r="DG77" s="81"/>
      <c r="DH77" s="81"/>
      <c r="DI77" s="81"/>
      <c r="DJ77" s="81"/>
      <c r="DK77" s="81"/>
      <c r="DL77" s="81"/>
      <c r="DM77" s="81"/>
      <c r="DN77" s="136"/>
      <c r="DO77" s="174"/>
      <c r="DP77" s="135"/>
      <c r="DQ77" s="81"/>
      <c r="DR77" s="81"/>
      <c r="DS77" s="81"/>
      <c r="DT77" s="81"/>
      <c r="DU77" s="81"/>
      <c r="DV77" s="81"/>
      <c r="DW77" s="81"/>
      <c r="DX77" s="81"/>
      <c r="DY77" s="81"/>
      <c r="DZ77" s="81"/>
      <c r="EA77" s="81"/>
      <c r="EB77" s="81"/>
      <c r="EC77" s="81"/>
      <c r="ED77" s="81"/>
      <c r="EE77" s="136"/>
      <c r="EF77" s="174"/>
    </row>
    <row r="78" spans="1:136">
      <c r="A78" s="135"/>
      <c r="B78" s="81"/>
      <c r="C78" s="81"/>
      <c r="D78" s="81"/>
      <c r="E78" s="81"/>
      <c r="F78" s="81"/>
      <c r="G78" s="81"/>
      <c r="H78" s="81"/>
      <c r="I78" s="81"/>
      <c r="J78" s="81"/>
      <c r="K78" s="81"/>
      <c r="L78" s="81"/>
      <c r="M78" s="81"/>
      <c r="N78" s="81"/>
      <c r="O78" s="81"/>
      <c r="P78" s="136"/>
      <c r="Q78" s="174"/>
      <c r="R78" s="135"/>
      <c r="S78" s="81"/>
      <c r="T78" s="81"/>
      <c r="U78" s="81"/>
      <c r="V78" s="81"/>
      <c r="W78" s="81"/>
      <c r="X78" s="81"/>
      <c r="Y78" s="81"/>
      <c r="Z78" s="81"/>
      <c r="AA78" s="81"/>
      <c r="AB78" s="81"/>
      <c r="AC78" s="81"/>
      <c r="AD78" s="81"/>
      <c r="AE78" s="81"/>
      <c r="AF78" s="81"/>
      <c r="AG78" s="136"/>
      <c r="AH78" s="174"/>
      <c r="AI78" s="135"/>
      <c r="AJ78" s="81"/>
      <c r="AK78" s="81"/>
      <c r="AL78" s="81"/>
      <c r="AM78" s="81"/>
      <c r="AN78" s="81"/>
      <c r="AO78" s="81"/>
      <c r="AP78" s="81"/>
      <c r="AQ78" s="81"/>
      <c r="AR78" s="81"/>
      <c r="AS78" s="81"/>
      <c r="AT78" s="81"/>
      <c r="AU78" s="81"/>
      <c r="AV78" s="81"/>
      <c r="AW78" s="81"/>
      <c r="AX78" s="136"/>
      <c r="AY78" s="174"/>
      <c r="AZ78" s="135"/>
      <c r="BA78" s="81"/>
      <c r="BB78" s="81"/>
      <c r="BC78" s="81"/>
      <c r="BD78" s="81"/>
      <c r="BE78" s="81"/>
      <c r="BF78" s="81"/>
      <c r="BG78" s="81"/>
      <c r="BH78" s="81"/>
      <c r="BI78" s="81"/>
      <c r="BJ78" s="81"/>
      <c r="BK78" s="81"/>
      <c r="BL78" s="81"/>
      <c r="BM78" s="81"/>
      <c r="BN78" s="81"/>
      <c r="BO78" s="136"/>
      <c r="BP78" s="174"/>
      <c r="BQ78" s="135"/>
      <c r="BR78" s="81"/>
      <c r="BS78" s="81"/>
      <c r="BT78" s="81"/>
      <c r="BU78" s="81"/>
      <c r="BV78" s="81"/>
      <c r="BW78" s="81"/>
      <c r="BX78" s="81"/>
      <c r="BY78" s="81"/>
      <c r="BZ78" s="81"/>
      <c r="CA78" s="81"/>
      <c r="CB78" s="81"/>
      <c r="CC78" s="81"/>
      <c r="CD78" s="81"/>
      <c r="CE78" s="81"/>
      <c r="CF78" s="136"/>
      <c r="CG78" s="174"/>
      <c r="CH78" s="135"/>
      <c r="CI78" s="81"/>
      <c r="CJ78" s="81"/>
      <c r="CK78" s="81"/>
      <c r="CL78" s="81"/>
      <c r="CM78" s="81"/>
      <c r="CN78" s="81"/>
      <c r="CO78" s="81"/>
      <c r="CP78" s="81"/>
      <c r="CQ78" s="81"/>
      <c r="CR78" s="81"/>
      <c r="CS78" s="81"/>
      <c r="CT78" s="81"/>
      <c r="CU78" s="81"/>
      <c r="CV78" s="81"/>
      <c r="CW78" s="136"/>
      <c r="CX78" s="174"/>
      <c r="CY78" s="135"/>
      <c r="CZ78" s="81"/>
      <c r="DA78" s="81"/>
      <c r="DB78" s="81"/>
      <c r="DC78" s="81"/>
      <c r="DD78" s="81"/>
      <c r="DE78" s="81"/>
      <c r="DF78" s="81"/>
      <c r="DG78" s="81"/>
      <c r="DH78" s="81"/>
      <c r="DI78" s="81"/>
      <c r="DJ78" s="81"/>
      <c r="DK78" s="81"/>
      <c r="DL78" s="81"/>
      <c r="DM78" s="81"/>
      <c r="DN78" s="136"/>
      <c r="DO78" s="174"/>
      <c r="DP78" s="135"/>
      <c r="DQ78" s="81"/>
      <c r="DR78" s="81"/>
      <c r="DS78" s="81"/>
      <c r="DT78" s="81"/>
      <c r="DU78" s="81"/>
      <c r="DV78" s="81"/>
      <c r="DW78" s="81"/>
      <c r="DX78" s="81"/>
      <c r="DY78" s="81"/>
      <c r="DZ78" s="81"/>
      <c r="EA78" s="81"/>
      <c r="EB78" s="81"/>
      <c r="EC78" s="81"/>
      <c r="ED78" s="81"/>
      <c r="EE78" s="136"/>
      <c r="EF78" s="174"/>
    </row>
    <row r="79" spans="1:136">
      <c r="A79" s="135"/>
      <c r="B79" s="81"/>
      <c r="C79" s="81"/>
      <c r="D79" s="81"/>
      <c r="E79" s="81"/>
      <c r="F79" s="81"/>
      <c r="G79" s="81"/>
      <c r="H79" s="81"/>
      <c r="I79" s="81"/>
      <c r="J79" s="81"/>
      <c r="K79" s="81"/>
      <c r="L79" s="81"/>
      <c r="M79" s="81"/>
      <c r="N79" s="81"/>
      <c r="O79" s="81"/>
      <c r="P79" s="136"/>
      <c r="Q79" s="174"/>
      <c r="R79" s="135"/>
      <c r="S79" s="81"/>
      <c r="T79" s="81"/>
      <c r="U79" s="81"/>
      <c r="V79" s="81"/>
      <c r="W79" s="81"/>
      <c r="X79" s="81"/>
      <c r="Y79" s="81"/>
      <c r="Z79" s="81"/>
      <c r="AA79" s="81"/>
      <c r="AB79" s="81"/>
      <c r="AC79" s="81"/>
      <c r="AD79" s="81"/>
      <c r="AE79" s="81"/>
      <c r="AF79" s="81"/>
      <c r="AG79" s="136"/>
      <c r="AH79" s="174"/>
      <c r="AI79" s="135"/>
      <c r="AJ79" s="81"/>
      <c r="AK79" s="81"/>
      <c r="AL79" s="81"/>
      <c r="AM79" s="81"/>
      <c r="AN79" s="81"/>
      <c r="AO79" s="81"/>
      <c r="AP79" s="81"/>
      <c r="AQ79" s="81"/>
      <c r="AR79" s="81"/>
      <c r="AS79" s="81"/>
      <c r="AT79" s="81"/>
      <c r="AU79" s="81"/>
      <c r="AV79" s="81"/>
      <c r="AW79" s="81"/>
      <c r="AX79" s="136"/>
      <c r="AY79" s="174"/>
      <c r="AZ79" s="135"/>
      <c r="BA79" s="81"/>
      <c r="BB79" s="81"/>
      <c r="BC79" s="81"/>
      <c r="BD79" s="81"/>
      <c r="BE79" s="81"/>
      <c r="BF79" s="81"/>
      <c r="BG79" s="81"/>
      <c r="BH79" s="81"/>
      <c r="BI79" s="81"/>
      <c r="BJ79" s="81"/>
      <c r="BK79" s="81"/>
      <c r="BL79" s="81"/>
      <c r="BM79" s="81"/>
      <c r="BN79" s="81"/>
      <c r="BO79" s="136"/>
      <c r="BP79" s="174"/>
      <c r="BQ79" s="135"/>
      <c r="BR79" s="81"/>
      <c r="BS79" s="81"/>
      <c r="BT79" s="81"/>
      <c r="BU79" s="81"/>
      <c r="BV79" s="81"/>
      <c r="BW79" s="81"/>
      <c r="BX79" s="81"/>
      <c r="BY79" s="81"/>
      <c r="BZ79" s="81"/>
      <c r="CA79" s="81"/>
      <c r="CB79" s="81"/>
      <c r="CC79" s="81"/>
      <c r="CD79" s="81"/>
      <c r="CE79" s="81"/>
      <c r="CF79" s="136"/>
      <c r="CG79" s="174"/>
      <c r="CH79" s="135"/>
      <c r="CI79" s="81"/>
      <c r="CJ79" s="81"/>
      <c r="CK79" s="81"/>
      <c r="CL79" s="81"/>
      <c r="CM79" s="81"/>
      <c r="CN79" s="81"/>
      <c r="CO79" s="81"/>
      <c r="CP79" s="81"/>
      <c r="CQ79" s="81"/>
      <c r="CR79" s="81"/>
      <c r="CS79" s="81"/>
      <c r="CT79" s="81"/>
      <c r="CU79" s="81"/>
      <c r="CV79" s="81"/>
      <c r="CW79" s="136"/>
      <c r="CX79" s="174"/>
      <c r="CY79" s="135"/>
      <c r="CZ79" s="81"/>
      <c r="DA79" s="81"/>
      <c r="DB79" s="81"/>
      <c r="DC79" s="81"/>
      <c r="DD79" s="81"/>
      <c r="DE79" s="81"/>
      <c r="DF79" s="81"/>
      <c r="DG79" s="81"/>
      <c r="DH79" s="81"/>
      <c r="DI79" s="81"/>
      <c r="DJ79" s="81"/>
      <c r="DK79" s="81"/>
      <c r="DL79" s="81"/>
      <c r="DM79" s="81"/>
      <c r="DN79" s="136"/>
      <c r="DO79" s="174"/>
      <c r="DP79" s="135"/>
      <c r="DQ79" s="81"/>
      <c r="DR79" s="81"/>
      <c r="DS79" s="81"/>
      <c r="DT79" s="81"/>
      <c r="DU79" s="81"/>
      <c r="DV79" s="81"/>
      <c r="DW79" s="81"/>
      <c r="DX79" s="81"/>
      <c r="DY79" s="81"/>
      <c r="DZ79" s="81"/>
      <c r="EA79" s="81"/>
      <c r="EB79" s="81"/>
      <c r="EC79" s="81"/>
      <c r="ED79" s="81"/>
      <c r="EE79" s="136"/>
      <c r="EF79" s="174"/>
    </row>
    <row r="80" spans="1:136">
      <c r="A80" s="135"/>
      <c r="B80" s="81"/>
      <c r="C80" s="81"/>
      <c r="D80" s="81"/>
      <c r="E80" s="81"/>
      <c r="F80" s="81"/>
      <c r="G80" s="81"/>
      <c r="H80" s="81"/>
      <c r="I80" s="81"/>
      <c r="J80" s="81"/>
      <c r="K80" s="81"/>
      <c r="L80" s="81"/>
      <c r="M80" s="81"/>
      <c r="N80" s="81"/>
      <c r="O80" s="81"/>
      <c r="P80" s="136"/>
      <c r="Q80" s="174"/>
      <c r="R80" s="135"/>
      <c r="S80" s="81"/>
      <c r="T80" s="81"/>
      <c r="U80" s="81"/>
      <c r="V80" s="81"/>
      <c r="W80" s="81"/>
      <c r="X80" s="81"/>
      <c r="Y80" s="81"/>
      <c r="Z80" s="81"/>
      <c r="AA80" s="81"/>
      <c r="AB80" s="81"/>
      <c r="AC80" s="81"/>
      <c r="AD80" s="81"/>
      <c r="AE80" s="81"/>
      <c r="AF80" s="81"/>
      <c r="AG80" s="136"/>
      <c r="AH80" s="174"/>
      <c r="AI80" s="135"/>
      <c r="AJ80" s="81"/>
      <c r="AK80" s="81"/>
      <c r="AL80" s="81"/>
      <c r="AM80" s="81"/>
      <c r="AN80" s="81"/>
      <c r="AO80" s="81"/>
      <c r="AP80" s="81"/>
      <c r="AQ80" s="81"/>
      <c r="AR80" s="81"/>
      <c r="AS80" s="81"/>
      <c r="AT80" s="81"/>
      <c r="AU80" s="81"/>
      <c r="AV80" s="81"/>
      <c r="AW80" s="81"/>
      <c r="AX80" s="136"/>
      <c r="AY80" s="174"/>
      <c r="AZ80" s="135"/>
      <c r="BA80" s="81"/>
      <c r="BB80" s="81"/>
      <c r="BC80" s="81"/>
      <c r="BD80" s="81"/>
      <c r="BE80" s="81"/>
      <c r="BF80" s="81"/>
      <c r="BG80" s="81"/>
      <c r="BH80" s="81"/>
      <c r="BI80" s="81"/>
      <c r="BJ80" s="81"/>
      <c r="BK80" s="81"/>
      <c r="BL80" s="81"/>
      <c r="BM80" s="81"/>
      <c r="BN80" s="81"/>
      <c r="BO80" s="136"/>
      <c r="BP80" s="174"/>
      <c r="BQ80" s="135"/>
      <c r="BR80" s="81"/>
      <c r="BS80" s="81"/>
      <c r="BT80" s="81"/>
      <c r="BU80" s="81"/>
      <c r="BV80" s="81"/>
      <c r="BW80" s="81"/>
      <c r="BX80" s="81"/>
      <c r="BY80" s="81"/>
      <c r="BZ80" s="81"/>
      <c r="CA80" s="81"/>
      <c r="CB80" s="81"/>
      <c r="CC80" s="81"/>
      <c r="CD80" s="81"/>
      <c r="CE80" s="81"/>
      <c r="CF80" s="136"/>
      <c r="CG80" s="174"/>
      <c r="CH80" s="135"/>
      <c r="CI80" s="81"/>
      <c r="CJ80" s="81"/>
      <c r="CK80" s="81"/>
      <c r="CL80" s="81"/>
      <c r="CM80" s="81"/>
      <c r="CN80" s="81"/>
      <c r="CO80" s="81"/>
      <c r="CP80" s="81"/>
      <c r="CQ80" s="81"/>
      <c r="CR80" s="81"/>
      <c r="CS80" s="81"/>
      <c r="CT80" s="81"/>
      <c r="CU80" s="81"/>
      <c r="CV80" s="81"/>
      <c r="CW80" s="136"/>
      <c r="CX80" s="174"/>
      <c r="CY80" s="135"/>
      <c r="CZ80" s="81"/>
      <c r="DA80" s="81"/>
      <c r="DB80" s="81"/>
      <c r="DC80" s="81"/>
      <c r="DD80" s="81"/>
      <c r="DE80" s="81"/>
      <c r="DF80" s="81"/>
      <c r="DG80" s="81"/>
      <c r="DH80" s="81"/>
      <c r="DI80" s="81"/>
      <c r="DJ80" s="81"/>
      <c r="DK80" s="81"/>
      <c r="DL80" s="81"/>
      <c r="DM80" s="81"/>
      <c r="DN80" s="136"/>
      <c r="DO80" s="174"/>
      <c r="DP80" s="135"/>
      <c r="DQ80" s="81"/>
      <c r="DR80" s="81"/>
      <c r="DS80" s="81"/>
      <c r="DT80" s="81"/>
      <c r="DU80" s="81"/>
      <c r="DV80" s="81"/>
      <c r="DW80" s="81"/>
      <c r="DX80" s="81"/>
      <c r="DY80" s="81"/>
      <c r="DZ80" s="81"/>
      <c r="EA80" s="81"/>
      <c r="EB80" s="81"/>
      <c r="EC80" s="81"/>
      <c r="ED80" s="81"/>
      <c r="EE80" s="136"/>
      <c r="EF80" s="174"/>
    </row>
    <row r="81" spans="1:136">
      <c r="A81" s="135"/>
      <c r="B81" s="81"/>
      <c r="C81" s="81"/>
      <c r="D81" s="81"/>
      <c r="E81" s="81"/>
      <c r="F81" s="81"/>
      <c r="G81" s="81"/>
      <c r="H81" s="81"/>
      <c r="I81" s="81"/>
      <c r="J81" s="81"/>
      <c r="K81" s="81"/>
      <c r="L81" s="81"/>
      <c r="M81" s="81"/>
      <c r="N81" s="81"/>
      <c r="O81" s="81"/>
      <c r="P81" s="136"/>
      <c r="Q81" s="174"/>
      <c r="R81" s="135"/>
      <c r="S81" s="81"/>
      <c r="T81" s="81"/>
      <c r="U81" s="81"/>
      <c r="V81" s="81"/>
      <c r="W81" s="81"/>
      <c r="X81" s="81"/>
      <c r="Y81" s="81"/>
      <c r="Z81" s="81"/>
      <c r="AA81" s="81"/>
      <c r="AB81" s="81"/>
      <c r="AC81" s="81"/>
      <c r="AD81" s="81"/>
      <c r="AE81" s="81"/>
      <c r="AF81" s="81"/>
      <c r="AG81" s="136"/>
      <c r="AH81" s="174"/>
      <c r="AI81" s="135"/>
      <c r="AJ81" s="81"/>
      <c r="AK81" s="81"/>
      <c r="AL81" s="81"/>
      <c r="AM81" s="81"/>
      <c r="AN81" s="81"/>
      <c r="AO81" s="81"/>
      <c r="AP81" s="81"/>
      <c r="AQ81" s="81"/>
      <c r="AR81" s="81"/>
      <c r="AS81" s="81"/>
      <c r="AT81" s="81"/>
      <c r="AU81" s="81"/>
      <c r="AV81" s="81"/>
      <c r="AW81" s="81"/>
      <c r="AX81" s="136"/>
      <c r="AY81" s="174"/>
      <c r="AZ81" s="135"/>
      <c r="BA81" s="81"/>
      <c r="BB81" s="81"/>
      <c r="BC81" s="81"/>
      <c r="BD81" s="81"/>
      <c r="BE81" s="81"/>
      <c r="BF81" s="81"/>
      <c r="BG81" s="81"/>
      <c r="BH81" s="81"/>
      <c r="BI81" s="81"/>
      <c r="BJ81" s="81"/>
      <c r="BK81" s="81"/>
      <c r="BL81" s="81"/>
      <c r="BM81" s="81"/>
      <c r="BN81" s="81"/>
      <c r="BO81" s="136"/>
      <c r="BP81" s="174"/>
      <c r="BQ81" s="135"/>
      <c r="BR81" s="81"/>
      <c r="BS81" s="81"/>
      <c r="BT81" s="81"/>
      <c r="BU81" s="81"/>
      <c r="BV81" s="81"/>
      <c r="BW81" s="81"/>
      <c r="BX81" s="81"/>
      <c r="BY81" s="81"/>
      <c r="BZ81" s="81"/>
      <c r="CA81" s="81"/>
      <c r="CB81" s="81"/>
      <c r="CC81" s="81"/>
      <c r="CD81" s="81"/>
      <c r="CE81" s="81"/>
      <c r="CF81" s="136"/>
      <c r="CG81" s="174"/>
      <c r="CH81" s="135"/>
      <c r="CI81" s="81"/>
      <c r="CJ81" s="81"/>
      <c r="CK81" s="81"/>
      <c r="CL81" s="81"/>
      <c r="CM81" s="81"/>
      <c r="CN81" s="81"/>
      <c r="CO81" s="81"/>
      <c r="CP81" s="81"/>
      <c r="CQ81" s="81"/>
      <c r="CR81" s="81"/>
      <c r="CS81" s="81"/>
      <c r="CT81" s="81"/>
      <c r="CU81" s="81"/>
      <c r="CV81" s="81"/>
      <c r="CW81" s="136"/>
      <c r="CX81" s="174"/>
      <c r="CY81" s="135"/>
      <c r="CZ81" s="81"/>
      <c r="DA81" s="81"/>
      <c r="DB81" s="81"/>
      <c r="DC81" s="81"/>
      <c r="DD81" s="81"/>
      <c r="DE81" s="81"/>
      <c r="DF81" s="81"/>
      <c r="DG81" s="81"/>
      <c r="DH81" s="81"/>
      <c r="DI81" s="81"/>
      <c r="DJ81" s="81"/>
      <c r="DK81" s="81"/>
      <c r="DL81" s="81"/>
      <c r="DM81" s="81"/>
      <c r="DN81" s="136"/>
      <c r="DO81" s="174"/>
      <c r="DP81" s="135"/>
      <c r="DQ81" s="81"/>
      <c r="DR81" s="81"/>
      <c r="DS81" s="81"/>
      <c r="DT81" s="81"/>
      <c r="DU81" s="81"/>
      <c r="DV81" s="81"/>
      <c r="DW81" s="81"/>
      <c r="DX81" s="81"/>
      <c r="DY81" s="81"/>
      <c r="DZ81" s="81"/>
      <c r="EA81" s="81"/>
      <c r="EB81" s="81"/>
      <c r="EC81" s="81"/>
      <c r="ED81" s="81"/>
      <c r="EE81" s="136"/>
      <c r="EF81" s="174"/>
    </row>
    <row r="82" spans="1:136">
      <c r="A82" s="135"/>
      <c r="B82" s="81"/>
      <c r="C82" s="81"/>
      <c r="D82" s="81"/>
      <c r="E82" s="81"/>
      <c r="F82" s="81"/>
      <c r="G82" s="81"/>
      <c r="H82" s="81"/>
      <c r="I82" s="81"/>
      <c r="J82" s="81"/>
      <c r="K82" s="81"/>
      <c r="L82" s="81"/>
      <c r="M82" s="81"/>
      <c r="N82" s="81"/>
      <c r="O82" s="81"/>
      <c r="P82" s="136"/>
      <c r="Q82" s="174"/>
      <c r="R82" s="135"/>
      <c r="S82" s="81"/>
      <c r="T82" s="81"/>
      <c r="U82" s="81"/>
      <c r="V82" s="81"/>
      <c r="W82" s="81"/>
      <c r="X82" s="81"/>
      <c r="Y82" s="81"/>
      <c r="Z82" s="81"/>
      <c r="AA82" s="81"/>
      <c r="AB82" s="81"/>
      <c r="AC82" s="81"/>
      <c r="AD82" s="81"/>
      <c r="AE82" s="81"/>
      <c r="AF82" s="81"/>
      <c r="AG82" s="136"/>
      <c r="AH82" s="174"/>
      <c r="AI82" s="135"/>
      <c r="AJ82" s="81"/>
      <c r="AK82" s="81"/>
      <c r="AL82" s="81"/>
      <c r="AM82" s="81"/>
      <c r="AN82" s="81"/>
      <c r="AO82" s="81"/>
      <c r="AP82" s="81"/>
      <c r="AQ82" s="81"/>
      <c r="AR82" s="81"/>
      <c r="AS82" s="81"/>
      <c r="AT82" s="81"/>
      <c r="AU82" s="81"/>
      <c r="AV82" s="81"/>
      <c r="AW82" s="81"/>
      <c r="AX82" s="136"/>
      <c r="AY82" s="174"/>
      <c r="AZ82" s="135"/>
      <c r="BA82" s="81"/>
      <c r="BB82" s="81"/>
      <c r="BC82" s="81"/>
      <c r="BD82" s="81"/>
      <c r="BE82" s="81"/>
      <c r="BF82" s="81"/>
      <c r="BG82" s="81"/>
      <c r="BH82" s="81"/>
      <c r="BI82" s="81"/>
      <c r="BJ82" s="81"/>
      <c r="BK82" s="81"/>
      <c r="BL82" s="81"/>
      <c r="BM82" s="81"/>
      <c r="BN82" s="81"/>
      <c r="BO82" s="136"/>
      <c r="BP82" s="174"/>
      <c r="BQ82" s="135"/>
      <c r="BR82" s="81"/>
      <c r="BS82" s="81"/>
      <c r="BT82" s="81"/>
      <c r="BU82" s="81"/>
      <c r="BV82" s="81"/>
      <c r="BW82" s="81"/>
      <c r="BX82" s="81"/>
      <c r="BY82" s="81"/>
      <c r="BZ82" s="81"/>
      <c r="CA82" s="81"/>
      <c r="CB82" s="81"/>
      <c r="CC82" s="81"/>
      <c r="CD82" s="81"/>
      <c r="CE82" s="81"/>
      <c r="CF82" s="136"/>
      <c r="CG82" s="174"/>
      <c r="CH82" s="135"/>
      <c r="CI82" s="81"/>
      <c r="CJ82" s="81"/>
      <c r="CK82" s="81"/>
      <c r="CL82" s="81"/>
      <c r="CM82" s="81"/>
      <c r="CN82" s="81"/>
      <c r="CO82" s="81"/>
      <c r="CP82" s="81"/>
      <c r="CQ82" s="81"/>
      <c r="CR82" s="81"/>
      <c r="CS82" s="81"/>
      <c r="CT82" s="81"/>
      <c r="CU82" s="81"/>
      <c r="CV82" s="81"/>
      <c r="CW82" s="136"/>
      <c r="CX82" s="174"/>
      <c r="CY82" s="135"/>
      <c r="CZ82" s="81"/>
      <c r="DA82" s="81"/>
      <c r="DB82" s="81"/>
      <c r="DC82" s="81"/>
      <c r="DD82" s="81"/>
      <c r="DE82" s="81"/>
      <c r="DF82" s="81"/>
      <c r="DG82" s="81"/>
      <c r="DH82" s="81"/>
      <c r="DI82" s="81"/>
      <c r="DJ82" s="81"/>
      <c r="DK82" s="81"/>
      <c r="DL82" s="81"/>
      <c r="DM82" s="81"/>
      <c r="DN82" s="136"/>
      <c r="DO82" s="174"/>
      <c r="DP82" s="135"/>
      <c r="DQ82" s="81"/>
      <c r="DR82" s="81"/>
      <c r="DS82" s="81"/>
      <c r="DT82" s="81"/>
      <c r="DU82" s="81"/>
      <c r="DV82" s="81"/>
      <c r="DW82" s="81"/>
      <c r="DX82" s="81"/>
      <c r="DY82" s="81"/>
      <c r="DZ82" s="81"/>
      <c r="EA82" s="81"/>
      <c r="EB82" s="81"/>
      <c r="EC82" s="81"/>
      <c r="ED82" s="81"/>
      <c r="EE82" s="136"/>
      <c r="EF82" s="174"/>
    </row>
    <row r="83" spans="1:136">
      <c r="A83" s="135"/>
      <c r="B83" s="81"/>
      <c r="C83" s="81"/>
      <c r="D83" s="81"/>
      <c r="E83" s="81"/>
      <c r="F83" s="81"/>
      <c r="G83" s="81"/>
      <c r="H83" s="81"/>
      <c r="I83" s="81"/>
      <c r="J83" s="81"/>
      <c r="K83" s="81"/>
      <c r="L83" s="81"/>
      <c r="M83" s="81"/>
      <c r="N83" s="81"/>
      <c r="O83" s="81"/>
      <c r="P83" s="136"/>
      <c r="Q83" s="174"/>
      <c r="R83" s="135"/>
      <c r="S83" s="81"/>
      <c r="T83" s="81"/>
      <c r="U83" s="81"/>
      <c r="V83" s="81"/>
      <c r="W83" s="81"/>
      <c r="X83" s="81"/>
      <c r="Y83" s="81"/>
      <c r="Z83" s="81"/>
      <c r="AA83" s="81"/>
      <c r="AB83" s="81"/>
      <c r="AC83" s="81"/>
      <c r="AD83" s="81"/>
      <c r="AE83" s="81"/>
      <c r="AF83" s="81"/>
      <c r="AG83" s="136"/>
      <c r="AH83" s="174"/>
      <c r="AI83" s="135"/>
      <c r="AJ83" s="81"/>
      <c r="AK83" s="81"/>
      <c r="AL83" s="81"/>
      <c r="AM83" s="81"/>
      <c r="AN83" s="81"/>
      <c r="AO83" s="81"/>
      <c r="AP83" s="81"/>
      <c r="AQ83" s="81"/>
      <c r="AR83" s="81"/>
      <c r="AS83" s="81"/>
      <c r="AT83" s="81"/>
      <c r="AU83" s="81"/>
      <c r="AV83" s="81"/>
      <c r="AW83" s="81"/>
      <c r="AX83" s="136"/>
      <c r="AY83" s="174"/>
      <c r="AZ83" s="135"/>
      <c r="BA83" s="81"/>
      <c r="BB83" s="81"/>
      <c r="BC83" s="81"/>
      <c r="BD83" s="81"/>
      <c r="BE83" s="81"/>
      <c r="BF83" s="81"/>
      <c r="BG83" s="81"/>
      <c r="BH83" s="81"/>
      <c r="BI83" s="81"/>
      <c r="BJ83" s="81"/>
      <c r="BK83" s="81"/>
      <c r="BL83" s="81"/>
      <c r="BM83" s="81"/>
      <c r="BN83" s="81"/>
      <c r="BO83" s="136"/>
      <c r="BP83" s="174"/>
      <c r="BQ83" s="135"/>
      <c r="BR83" s="81"/>
      <c r="BS83" s="81"/>
      <c r="BT83" s="81"/>
      <c r="BU83" s="81"/>
      <c r="BV83" s="81"/>
      <c r="BW83" s="81"/>
      <c r="BX83" s="81"/>
      <c r="BY83" s="81"/>
      <c r="BZ83" s="81"/>
      <c r="CA83" s="81"/>
      <c r="CB83" s="81"/>
      <c r="CC83" s="81"/>
      <c r="CD83" s="81"/>
      <c r="CE83" s="81"/>
      <c r="CF83" s="136"/>
      <c r="CG83" s="174"/>
      <c r="CH83" s="135"/>
      <c r="CI83" s="81"/>
      <c r="CJ83" s="81"/>
      <c r="CK83" s="81"/>
      <c r="CL83" s="81"/>
      <c r="CM83" s="81"/>
      <c r="CN83" s="81"/>
      <c r="CO83" s="81"/>
      <c r="CP83" s="81"/>
      <c r="CQ83" s="81"/>
      <c r="CR83" s="81"/>
      <c r="CS83" s="81"/>
      <c r="CT83" s="81"/>
      <c r="CU83" s="81"/>
      <c r="CV83" s="81"/>
      <c r="CW83" s="136"/>
      <c r="CX83" s="174"/>
      <c r="CY83" s="135"/>
      <c r="CZ83" s="81"/>
      <c r="DA83" s="81"/>
      <c r="DB83" s="81"/>
      <c r="DC83" s="81"/>
      <c r="DD83" s="81"/>
      <c r="DE83" s="81"/>
      <c r="DF83" s="81"/>
      <c r="DG83" s="81"/>
      <c r="DH83" s="81"/>
      <c r="DI83" s="81"/>
      <c r="DJ83" s="81"/>
      <c r="DK83" s="81"/>
      <c r="DL83" s="81"/>
      <c r="DM83" s="81"/>
      <c r="DN83" s="136"/>
      <c r="DO83" s="174"/>
      <c r="DP83" s="135"/>
      <c r="DQ83" s="81"/>
      <c r="DR83" s="81"/>
      <c r="DS83" s="81"/>
      <c r="DT83" s="81"/>
      <c r="DU83" s="81"/>
      <c r="DV83" s="81"/>
      <c r="DW83" s="81"/>
      <c r="DX83" s="81"/>
      <c r="DY83" s="81"/>
      <c r="DZ83" s="81"/>
      <c r="EA83" s="81"/>
      <c r="EB83" s="81"/>
      <c r="EC83" s="81"/>
      <c r="ED83" s="81"/>
      <c r="EE83" s="136"/>
      <c r="EF83" s="174"/>
    </row>
    <row r="84" spans="1:136">
      <c r="A84" s="135"/>
      <c r="B84" s="81"/>
      <c r="C84" s="81"/>
      <c r="D84" s="81"/>
      <c r="E84" s="81"/>
      <c r="F84" s="81"/>
      <c r="G84" s="81"/>
      <c r="H84" s="81"/>
      <c r="I84" s="81"/>
      <c r="J84" s="81"/>
      <c r="K84" s="81"/>
      <c r="L84" s="81"/>
      <c r="M84" s="81"/>
      <c r="N84" s="81"/>
      <c r="O84" s="81"/>
      <c r="P84" s="136"/>
      <c r="Q84" s="174"/>
      <c r="R84" s="135"/>
      <c r="S84" s="81"/>
      <c r="T84" s="81"/>
      <c r="U84" s="81"/>
      <c r="V84" s="81"/>
      <c r="W84" s="81"/>
      <c r="X84" s="81"/>
      <c r="Y84" s="81"/>
      <c r="Z84" s="81"/>
      <c r="AA84" s="81"/>
      <c r="AB84" s="81"/>
      <c r="AC84" s="81"/>
      <c r="AD84" s="81"/>
      <c r="AE84" s="81"/>
      <c r="AF84" s="81"/>
      <c r="AG84" s="136"/>
      <c r="AH84" s="174"/>
      <c r="AI84" s="135"/>
      <c r="AJ84" s="81"/>
      <c r="AK84" s="81"/>
      <c r="AL84" s="81"/>
      <c r="AM84" s="81"/>
      <c r="AN84" s="81"/>
      <c r="AO84" s="81"/>
      <c r="AP84" s="81"/>
      <c r="AQ84" s="81"/>
      <c r="AR84" s="81"/>
      <c r="AS84" s="81"/>
      <c r="AT84" s="81"/>
      <c r="AU84" s="81"/>
      <c r="AV84" s="81"/>
      <c r="AW84" s="81"/>
      <c r="AX84" s="136"/>
      <c r="AY84" s="174"/>
      <c r="AZ84" s="135"/>
      <c r="BA84" s="81"/>
      <c r="BB84" s="81"/>
      <c r="BC84" s="81"/>
      <c r="BD84" s="81"/>
      <c r="BE84" s="81"/>
      <c r="BF84" s="81"/>
      <c r="BG84" s="81"/>
      <c r="BH84" s="81"/>
      <c r="BI84" s="81"/>
      <c r="BJ84" s="81"/>
      <c r="BK84" s="81"/>
      <c r="BL84" s="81"/>
      <c r="BM84" s="81"/>
      <c r="BN84" s="81"/>
      <c r="BO84" s="136"/>
      <c r="BP84" s="174"/>
      <c r="BQ84" s="135"/>
      <c r="BR84" s="81"/>
      <c r="BS84" s="81"/>
      <c r="BT84" s="81"/>
      <c r="BU84" s="81"/>
      <c r="BV84" s="81"/>
      <c r="BW84" s="81"/>
      <c r="BX84" s="81"/>
      <c r="BY84" s="81"/>
      <c r="BZ84" s="81"/>
      <c r="CA84" s="81"/>
      <c r="CB84" s="81"/>
      <c r="CC84" s="81"/>
      <c r="CD84" s="81"/>
      <c r="CE84" s="81"/>
      <c r="CF84" s="136"/>
      <c r="CG84" s="174"/>
      <c r="CH84" s="135"/>
      <c r="CI84" s="81"/>
      <c r="CJ84" s="81"/>
      <c r="CK84" s="81"/>
      <c r="CL84" s="81"/>
      <c r="CM84" s="81"/>
      <c r="CN84" s="81"/>
      <c r="CO84" s="81"/>
      <c r="CP84" s="81"/>
      <c r="CQ84" s="81"/>
      <c r="CR84" s="81"/>
      <c r="CS84" s="81"/>
      <c r="CT84" s="81"/>
      <c r="CU84" s="81"/>
      <c r="CV84" s="81"/>
      <c r="CW84" s="136"/>
      <c r="CX84" s="174"/>
      <c r="CY84" s="135"/>
      <c r="CZ84" s="81"/>
      <c r="DA84" s="81"/>
      <c r="DB84" s="81"/>
      <c r="DC84" s="81"/>
      <c r="DD84" s="81"/>
      <c r="DE84" s="81"/>
      <c r="DF84" s="81"/>
      <c r="DG84" s="81"/>
      <c r="DH84" s="81"/>
      <c r="DI84" s="81"/>
      <c r="DJ84" s="81"/>
      <c r="DK84" s="81"/>
      <c r="DL84" s="81"/>
      <c r="DM84" s="81"/>
      <c r="DN84" s="136"/>
      <c r="DO84" s="174"/>
      <c r="DP84" s="135"/>
      <c r="DQ84" s="81"/>
      <c r="DR84" s="81"/>
      <c r="DS84" s="81"/>
      <c r="DT84" s="81"/>
      <c r="DU84" s="81"/>
      <c r="DV84" s="81"/>
      <c r="DW84" s="81"/>
      <c r="DX84" s="81"/>
      <c r="DY84" s="81"/>
      <c r="DZ84" s="81"/>
      <c r="EA84" s="81"/>
      <c r="EB84" s="81"/>
      <c r="EC84" s="81"/>
      <c r="ED84" s="81"/>
      <c r="EE84" s="136"/>
      <c r="EF84" s="174"/>
    </row>
    <row r="85" spans="1:136">
      <c r="A85" s="135"/>
      <c r="B85" s="81"/>
      <c r="C85" s="81"/>
      <c r="D85" s="81"/>
      <c r="E85" s="81"/>
      <c r="F85" s="81"/>
      <c r="G85" s="81"/>
      <c r="H85" s="81"/>
      <c r="I85" s="81"/>
      <c r="J85" s="81"/>
      <c r="K85" s="81"/>
      <c r="L85" s="81"/>
      <c r="M85" s="81"/>
      <c r="N85" s="81"/>
      <c r="O85" s="81"/>
      <c r="P85" s="136"/>
      <c r="Q85" s="174"/>
      <c r="R85" s="135"/>
      <c r="S85" s="81"/>
      <c r="T85" s="81"/>
      <c r="U85" s="81"/>
      <c r="V85" s="81"/>
      <c r="W85" s="81"/>
      <c r="X85" s="81"/>
      <c r="Y85" s="81"/>
      <c r="Z85" s="81"/>
      <c r="AA85" s="81"/>
      <c r="AB85" s="81"/>
      <c r="AC85" s="81"/>
      <c r="AD85" s="81"/>
      <c r="AE85" s="81"/>
      <c r="AF85" s="81"/>
      <c r="AG85" s="136"/>
      <c r="AH85" s="174"/>
      <c r="AI85" s="135"/>
      <c r="AJ85" s="81"/>
      <c r="AK85" s="81"/>
      <c r="AL85" s="81"/>
      <c r="AM85" s="81"/>
      <c r="AN85" s="81"/>
      <c r="AO85" s="81"/>
      <c r="AP85" s="81"/>
      <c r="AQ85" s="81"/>
      <c r="AR85" s="81"/>
      <c r="AS85" s="81"/>
      <c r="AT85" s="81"/>
      <c r="AU85" s="81"/>
      <c r="AV85" s="81"/>
      <c r="AW85" s="81"/>
      <c r="AX85" s="136"/>
      <c r="AY85" s="174"/>
      <c r="AZ85" s="135"/>
      <c r="BA85" s="81"/>
      <c r="BB85" s="81"/>
      <c r="BC85" s="81"/>
      <c r="BD85" s="81"/>
      <c r="BE85" s="81"/>
      <c r="BF85" s="81"/>
      <c r="BG85" s="81"/>
      <c r="BH85" s="81"/>
      <c r="BI85" s="81"/>
      <c r="BJ85" s="81"/>
      <c r="BK85" s="81"/>
      <c r="BL85" s="81"/>
      <c r="BM85" s="81"/>
      <c r="BN85" s="81"/>
      <c r="BO85" s="136"/>
      <c r="BP85" s="174"/>
      <c r="BQ85" s="135"/>
      <c r="BR85" s="81"/>
      <c r="BS85" s="81"/>
      <c r="BT85" s="81"/>
      <c r="BU85" s="81"/>
      <c r="BV85" s="81"/>
      <c r="BW85" s="81"/>
      <c r="BX85" s="81"/>
      <c r="BY85" s="81"/>
      <c r="BZ85" s="81"/>
      <c r="CA85" s="81"/>
      <c r="CB85" s="81"/>
      <c r="CC85" s="81"/>
      <c r="CD85" s="81"/>
      <c r="CE85" s="81"/>
      <c r="CF85" s="136"/>
      <c r="CG85" s="174"/>
      <c r="CH85" s="135"/>
      <c r="CI85" s="81"/>
      <c r="CJ85" s="81"/>
      <c r="CK85" s="81"/>
      <c r="CL85" s="81"/>
      <c r="CM85" s="81"/>
      <c r="CN85" s="81"/>
      <c r="CO85" s="81"/>
      <c r="CP85" s="81"/>
      <c r="CQ85" s="81"/>
      <c r="CR85" s="81"/>
      <c r="CS85" s="81"/>
      <c r="CT85" s="81"/>
      <c r="CU85" s="81"/>
      <c r="CV85" s="81"/>
      <c r="CW85" s="136"/>
      <c r="CX85" s="174"/>
      <c r="CY85" s="135"/>
      <c r="CZ85" s="81"/>
      <c r="DA85" s="81"/>
      <c r="DB85" s="81"/>
      <c r="DC85" s="81"/>
      <c r="DD85" s="81"/>
      <c r="DE85" s="81"/>
      <c r="DF85" s="81"/>
      <c r="DG85" s="81"/>
      <c r="DH85" s="81"/>
      <c r="DI85" s="81"/>
      <c r="DJ85" s="81"/>
      <c r="DK85" s="81"/>
      <c r="DL85" s="81"/>
      <c r="DM85" s="81"/>
      <c r="DN85" s="136"/>
      <c r="DO85" s="174"/>
      <c r="DP85" s="135"/>
      <c r="DQ85" s="81"/>
      <c r="DR85" s="81"/>
      <c r="DS85" s="81"/>
      <c r="DT85" s="81"/>
      <c r="DU85" s="81"/>
      <c r="DV85" s="81"/>
      <c r="DW85" s="81"/>
      <c r="DX85" s="81"/>
      <c r="DY85" s="81"/>
      <c r="DZ85" s="81"/>
      <c r="EA85" s="81"/>
      <c r="EB85" s="81"/>
      <c r="EC85" s="81"/>
      <c r="ED85" s="81"/>
      <c r="EE85" s="136"/>
      <c r="EF85" s="174"/>
    </row>
    <row r="86" spans="1:136">
      <c r="A86" s="135"/>
      <c r="B86" s="81"/>
      <c r="C86" s="81"/>
      <c r="D86" s="81"/>
      <c r="E86" s="81"/>
      <c r="F86" s="81"/>
      <c r="G86" s="81"/>
      <c r="H86" s="81"/>
      <c r="I86" s="81"/>
      <c r="J86" s="81"/>
      <c r="K86" s="81"/>
      <c r="L86" s="81"/>
      <c r="M86" s="81"/>
      <c r="N86" s="81"/>
      <c r="O86" s="81"/>
      <c r="P86" s="136"/>
      <c r="Q86" s="174"/>
      <c r="R86" s="135"/>
      <c r="S86" s="81"/>
      <c r="T86" s="81"/>
      <c r="U86" s="81"/>
      <c r="V86" s="81"/>
      <c r="W86" s="81"/>
      <c r="X86" s="81"/>
      <c r="Y86" s="81"/>
      <c r="Z86" s="81"/>
      <c r="AA86" s="81"/>
      <c r="AB86" s="81"/>
      <c r="AC86" s="81"/>
      <c r="AD86" s="81"/>
      <c r="AE86" s="81"/>
      <c r="AF86" s="81"/>
      <c r="AG86" s="136"/>
      <c r="AH86" s="174"/>
      <c r="AI86" s="135"/>
      <c r="AJ86" s="81"/>
      <c r="AK86" s="81"/>
      <c r="AL86" s="81"/>
      <c r="AM86" s="81"/>
      <c r="AN86" s="81"/>
      <c r="AO86" s="81"/>
      <c r="AP86" s="81"/>
      <c r="AQ86" s="81"/>
      <c r="AR86" s="81"/>
      <c r="AS86" s="81"/>
      <c r="AT86" s="81"/>
      <c r="AU86" s="81"/>
      <c r="AV86" s="81"/>
      <c r="AW86" s="81"/>
      <c r="AX86" s="136"/>
      <c r="AY86" s="174"/>
      <c r="AZ86" s="135"/>
      <c r="BA86" s="81"/>
      <c r="BB86" s="81"/>
      <c r="BC86" s="81"/>
      <c r="BD86" s="81"/>
      <c r="BE86" s="81"/>
      <c r="BF86" s="81"/>
      <c r="BG86" s="81"/>
      <c r="BH86" s="81"/>
      <c r="BI86" s="81"/>
      <c r="BJ86" s="81"/>
      <c r="BK86" s="81"/>
      <c r="BL86" s="81"/>
      <c r="BM86" s="81"/>
      <c r="BN86" s="81"/>
      <c r="BO86" s="136"/>
      <c r="BP86" s="174"/>
      <c r="BQ86" s="135"/>
      <c r="BR86" s="81"/>
      <c r="BS86" s="81"/>
      <c r="BT86" s="81"/>
      <c r="BU86" s="81"/>
      <c r="BV86" s="81"/>
      <c r="BW86" s="81"/>
      <c r="BX86" s="81"/>
      <c r="BY86" s="81"/>
      <c r="BZ86" s="81"/>
      <c r="CA86" s="81"/>
      <c r="CB86" s="81"/>
      <c r="CC86" s="81"/>
      <c r="CD86" s="81"/>
      <c r="CE86" s="81"/>
      <c r="CF86" s="136"/>
      <c r="CG86" s="174"/>
      <c r="CH86" s="135"/>
      <c r="CI86" s="81"/>
      <c r="CJ86" s="81"/>
      <c r="CK86" s="81"/>
      <c r="CL86" s="81"/>
      <c r="CM86" s="81"/>
      <c r="CN86" s="81"/>
      <c r="CO86" s="81"/>
      <c r="CP86" s="81"/>
      <c r="CQ86" s="81"/>
      <c r="CR86" s="81"/>
      <c r="CS86" s="81"/>
      <c r="CT86" s="81"/>
      <c r="CU86" s="81"/>
      <c r="CV86" s="81"/>
      <c r="CW86" s="136"/>
      <c r="CX86" s="174"/>
      <c r="CY86" s="135"/>
      <c r="CZ86" s="81"/>
      <c r="DA86" s="81"/>
      <c r="DB86" s="81"/>
      <c r="DC86" s="81"/>
      <c r="DD86" s="81"/>
      <c r="DE86" s="81"/>
      <c r="DF86" s="81"/>
      <c r="DG86" s="81"/>
      <c r="DH86" s="81"/>
      <c r="DI86" s="81"/>
      <c r="DJ86" s="81"/>
      <c r="DK86" s="81"/>
      <c r="DL86" s="81"/>
      <c r="DM86" s="81"/>
      <c r="DN86" s="136"/>
      <c r="DO86" s="174"/>
      <c r="DP86" s="135"/>
      <c r="DQ86" s="81"/>
      <c r="DR86" s="81"/>
      <c r="DS86" s="81"/>
      <c r="DT86" s="81"/>
      <c r="DU86" s="81"/>
      <c r="DV86" s="81"/>
      <c r="DW86" s="81"/>
      <c r="DX86" s="81"/>
      <c r="DY86" s="81"/>
      <c r="DZ86" s="81"/>
      <c r="EA86" s="81"/>
      <c r="EB86" s="81"/>
      <c r="EC86" s="81"/>
      <c r="ED86" s="81"/>
      <c r="EE86" s="136"/>
      <c r="EF86" s="174"/>
    </row>
    <row r="87" spans="1:136">
      <c r="A87" s="135"/>
      <c r="B87" s="81"/>
      <c r="C87" s="81"/>
      <c r="D87" s="81"/>
      <c r="E87" s="81"/>
      <c r="F87" s="81"/>
      <c r="G87" s="81"/>
      <c r="H87" s="81"/>
      <c r="I87" s="81"/>
      <c r="J87" s="81"/>
      <c r="K87" s="81"/>
      <c r="L87" s="81"/>
      <c r="M87" s="81"/>
      <c r="N87" s="81"/>
      <c r="O87" s="81"/>
      <c r="P87" s="136"/>
      <c r="Q87" s="174"/>
      <c r="R87" s="135"/>
      <c r="S87" s="81"/>
      <c r="T87" s="81"/>
      <c r="U87" s="81"/>
      <c r="V87" s="81"/>
      <c r="W87" s="81"/>
      <c r="X87" s="81"/>
      <c r="Y87" s="81"/>
      <c r="Z87" s="81"/>
      <c r="AA87" s="81"/>
      <c r="AB87" s="81"/>
      <c r="AC87" s="81"/>
      <c r="AD87" s="81"/>
      <c r="AE87" s="81"/>
      <c r="AF87" s="81"/>
      <c r="AG87" s="136"/>
      <c r="AH87" s="174"/>
      <c r="AI87" s="135"/>
      <c r="AJ87" s="81"/>
      <c r="AK87" s="81"/>
      <c r="AL87" s="81"/>
      <c r="AM87" s="81"/>
      <c r="AN87" s="81"/>
      <c r="AO87" s="81"/>
      <c r="AP87" s="81"/>
      <c r="AQ87" s="81"/>
      <c r="AR87" s="81"/>
      <c r="AS87" s="81"/>
      <c r="AT87" s="81"/>
      <c r="AU87" s="81"/>
      <c r="AV87" s="81"/>
      <c r="AW87" s="81"/>
      <c r="AX87" s="136"/>
      <c r="AY87" s="174"/>
      <c r="AZ87" s="135"/>
      <c r="BA87" s="81"/>
      <c r="BB87" s="81"/>
      <c r="BC87" s="81"/>
      <c r="BD87" s="81"/>
      <c r="BE87" s="81"/>
      <c r="BF87" s="81"/>
      <c r="BG87" s="81"/>
      <c r="BH87" s="81"/>
      <c r="BI87" s="81"/>
      <c r="BJ87" s="81"/>
      <c r="BK87" s="81"/>
      <c r="BL87" s="81"/>
      <c r="BM87" s="81"/>
      <c r="BN87" s="81"/>
      <c r="BO87" s="136"/>
      <c r="BP87" s="174"/>
      <c r="BQ87" s="135"/>
      <c r="BR87" s="81"/>
      <c r="BS87" s="81"/>
      <c r="BT87" s="81"/>
      <c r="BU87" s="81"/>
      <c r="BV87" s="81"/>
      <c r="BW87" s="81"/>
      <c r="BX87" s="81"/>
      <c r="BY87" s="81"/>
      <c r="BZ87" s="81"/>
      <c r="CA87" s="81"/>
      <c r="CB87" s="81"/>
      <c r="CC87" s="81"/>
      <c r="CD87" s="81"/>
      <c r="CE87" s="81"/>
      <c r="CF87" s="136"/>
      <c r="CG87" s="174"/>
      <c r="CH87" s="135"/>
      <c r="CI87" s="81"/>
      <c r="CJ87" s="81"/>
      <c r="CK87" s="81"/>
      <c r="CL87" s="81"/>
      <c r="CM87" s="81"/>
      <c r="CN87" s="81"/>
      <c r="CO87" s="81"/>
      <c r="CP87" s="81"/>
      <c r="CQ87" s="81"/>
      <c r="CR87" s="81"/>
      <c r="CS87" s="81"/>
      <c r="CT87" s="81"/>
      <c r="CU87" s="81"/>
      <c r="CV87" s="81"/>
      <c r="CW87" s="136"/>
      <c r="CX87" s="174"/>
      <c r="CY87" s="135"/>
      <c r="CZ87" s="81"/>
      <c r="DA87" s="81"/>
      <c r="DB87" s="81"/>
      <c r="DC87" s="81"/>
      <c r="DD87" s="81"/>
      <c r="DE87" s="81"/>
      <c r="DF87" s="81"/>
      <c r="DG87" s="81"/>
      <c r="DH87" s="81"/>
      <c r="DI87" s="81"/>
      <c r="DJ87" s="81"/>
      <c r="DK87" s="81"/>
      <c r="DL87" s="81"/>
      <c r="DM87" s="81"/>
      <c r="DN87" s="136"/>
      <c r="DO87" s="174"/>
      <c r="DP87" s="135"/>
      <c r="DQ87" s="81"/>
      <c r="DR87" s="81"/>
      <c r="DS87" s="81"/>
      <c r="DT87" s="81"/>
      <c r="DU87" s="81"/>
      <c r="DV87" s="81"/>
      <c r="DW87" s="81"/>
      <c r="DX87" s="81"/>
      <c r="DY87" s="81"/>
      <c r="DZ87" s="81"/>
      <c r="EA87" s="81"/>
      <c r="EB87" s="81"/>
      <c r="EC87" s="81"/>
      <c r="ED87" s="81"/>
      <c r="EE87" s="136"/>
      <c r="EF87" s="174"/>
    </row>
    <row r="88" spans="1:136">
      <c r="A88" s="135"/>
      <c r="B88" s="81"/>
      <c r="C88" s="81"/>
      <c r="D88" s="81"/>
      <c r="E88" s="81"/>
      <c r="F88" s="81"/>
      <c r="G88" s="81"/>
      <c r="H88" s="81"/>
      <c r="I88" s="81"/>
      <c r="J88" s="81"/>
      <c r="K88" s="81"/>
      <c r="L88" s="81"/>
      <c r="M88" s="81"/>
      <c r="N88" s="81"/>
      <c r="O88" s="81"/>
      <c r="P88" s="136"/>
      <c r="Q88" s="174"/>
      <c r="R88" s="135"/>
      <c r="S88" s="81"/>
      <c r="T88" s="81"/>
      <c r="U88" s="81"/>
      <c r="V88" s="81"/>
      <c r="W88" s="81"/>
      <c r="X88" s="81"/>
      <c r="Y88" s="81"/>
      <c r="Z88" s="81"/>
      <c r="AA88" s="81"/>
      <c r="AB88" s="81"/>
      <c r="AC88" s="81"/>
      <c r="AD88" s="81"/>
      <c r="AE88" s="81"/>
      <c r="AF88" s="81"/>
      <c r="AG88" s="136"/>
      <c r="AH88" s="174"/>
      <c r="AI88" s="135"/>
      <c r="AJ88" s="81"/>
      <c r="AK88" s="81"/>
      <c r="AL88" s="81"/>
      <c r="AM88" s="81"/>
      <c r="AN88" s="81"/>
      <c r="AO88" s="81"/>
      <c r="AP88" s="81"/>
      <c r="AQ88" s="81"/>
      <c r="AR88" s="81"/>
      <c r="AS88" s="81"/>
      <c r="AT88" s="81"/>
      <c r="AU88" s="81"/>
      <c r="AV88" s="81"/>
      <c r="AW88" s="81"/>
      <c r="AX88" s="136"/>
      <c r="AY88" s="174"/>
      <c r="AZ88" s="135"/>
      <c r="BA88" s="81"/>
      <c r="BB88" s="81"/>
      <c r="BC88" s="81"/>
      <c r="BD88" s="81"/>
      <c r="BE88" s="81"/>
      <c r="BF88" s="81"/>
      <c r="BG88" s="81"/>
      <c r="BH88" s="81"/>
      <c r="BI88" s="81"/>
      <c r="BJ88" s="81"/>
      <c r="BK88" s="81"/>
      <c r="BL88" s="81"/>
      <c r="BM88" s="81"/>
      <c r="BN88" s="81"/>
      <c r="BO88" s="136"/>
      <c r="BP88" s="174"/>
      <c r="BQ88" s="135"/>
      <c r="BR88" s="81"/>
      <c r="BS88" s="81"/>
      <c r="BT88" s="81"/>
      <c r="BU88" s="81"/>
      <c r="BV88" s="81"/>
      <c r="BW88" s="81"/>
      <c r="BX88" s="81"/>
      <c r="BY88" s="81"/>
      <c r="BZ88" s="81"/>
      <c r="CA88" s="81"/>
      <c r="CB88" s="81"/>
      <c r="CC88" s="81"/>
      <c r="CD88" s="81"/>
      <c r="CE88" s="81"/>
      <c r="CF88" s="136"/>
      <c r="CG88" s="174"/>
      <c r="CH88" s="135"/>
      <c r="CI88" s="81"/>
      <c r="CJ88" s="81"/>
      <c r="CK88" s="81"/>
      <c r="CL88" s="81"/>
      <c r="CM88" s="81"/>
      <c r="CN88" s="81"/>
      <c r="CO88" s="81"/>
      <c r="CP88" s="81"/>
      <c r="CQ88" s="81"/>
      <c r="CR88" s="81"/>
      <c r="CS88" s="81"/>
      <c r="CT88" s="81"/>
      <c r="CU88" s="81"/>
      <c r="CV88" s="81"/>
      <c r="CW88" s="136"/>
      <c r="CX88" s="174"/>
      <c r="CY88" s="135"/>
      <c r="CZ88" s="81"/>
      <c r="DA88" s="81"/>
      <c r="DB88" s="81"/>
      <c r="DC88" s="81"/>
      <c r="DD88" s="81"/>
      <c r="DE88" s="81"/>
      <c r="DF88" s="81"/>
      <c r="DG88" s="81"/>
      <c r="DH88" s="81"/>
      <c r="DI88" s="81"/>
      <c r="DJ88" s="81"/>
      <c r="DK88" s="81"/>
      <c r="DL88" s="81"/>
      <c r="DM88" s="81"/>
      <c r="DN88" s="136"/>
      <c r="DO88" s="174"/>
      <c r="DP88" s="135"/>
      <c r="DQ88" s="81"/>
      <c r="DR88" s="81"/>
      <c r="DS88" s="81"/>
      <c r="DT88" s="81"/>
      <c r="DU88" s="81"/>
      <c r="DV88" s="81"/>
      <c r="DW88" s="81"/>
      <c r="DX88" s="81"/>
      <c r="DY88" s="81"/>
      <c r="DZ88" s="81"/>
      <c r="EA88" s="81"/>
      <c r="EB88" s="81"/>
      <c r="EC88" s="81"/>
      <c r="ED88" s="81"/>
      <c r="EE88" s="136"/>
      <c r="EF88" s="174"/>
    </row>
    <row r="89" spans="1:136">
      <c r="A89" s="135"/>
      <c r="B89" s="81"/>
      <c r="C89" s="81"/>
      <c r="D89" s="81"/>
      <c r="E89" s="81"/>
      <c r="F89" s="81"/>
      <c r="G89" s="81"/>
      <c r="H89" s="81"/>
      <c r="I89" s="81"/>
      <c r="J89" s="81"/>
      <c r="K89" s="81"/>
      <c r="L89" s="81"/>
      <c r="M89" s="81"/>
      <c r="N89" s="81"/>
      <c r="O89" s="81"/>
      <c r="P89" s="136"/>
      <c r="Q89" s="174"/>
      <c r="R89" s="135"/>
      <c r="S89" s="81"/>
      <c r="T89" s="81"/>
      <c r="U89" s="81"/>
      <c r="V89" s="81"/>
      <c r="W89" s="81"/>
      <c r="X89" s="81"/>
      <c r="Y89" s="81"/>
      <c r="Z89" s="81"/>
      <c r="AA89" s="81"/>
      <c r="AB89" s="81"/>
      <c r="AC89" s="81"/>
      <c r="AD89" s="81"/>
      <c r="AE89" s="81"/>
      <c r="AF89" s="81"/>
      <c r="AG89" s="136"/>
      <c r="AH89" s="174"/>
      <c r="AI89" s="135"/>
      <c r="AJ89" s="81"/>
      <c r="AK89" s="81"/>
      <c r="AL89" s="81"/>
      <c r="AM89" s="81"/>
      <c r="AN89" s="81"/>
      <c r="AO89" s="81"/>
      <c r="AP89" s="81"/>
      <c r="AQ89" s="81"/>
      <c r="AR89" s="81"/>
      <c r="AS89" s="81"/>
      <c r="AT89" s="81"/>
      <c r="AU89" s="81"/>
      <c r="AV89" s="81"/>
      <c r="AW89" s="81"/>
      <c r="AX89" s="136"/>
      <c r="AY89" s="174"/>
      <c r="AZ89" s="135"/>
      <c r="BA89" s="81"/>
      <c r="BB89" s="81"/>
      <c r="BC89" s="81"/>
      <c r="BD89" s="81"/>
      <c r="BE89" s="81"/>
      <c r="BF89" s="81"/>
      <c r="BG89" s="81"/>
      <c r="BH89" s="81"/>
      <c r="BI89" s="81"/>
      <c r="BJ89" s="81"/>
      <c r="BK89" s="81"/>
      <c r="BL89" s="81"/>
      <c r="BM89" s="81"/>
      <c r="BN89" s="81"/>
      <c r="BO89" s="136"/>
      <c r="BP89" s="174"/>
      <c r="BQ89" s="135"/>
      <c r="BR89" s="81"/>
      <c r="BS89" s="81"/>
      <c r="BT89" s="81"/>
      <c r="BU89" s="81"/>
      <c r="BV89" s="81"/>
      <c r="BW89" s="81"/>
      <c r="BX89" s="81"/>
      <c r="BY89" s="81"/>
      <c r="BZ89" s="81"/>
      <c r="CA89" s="81"/>
      <c r="CB89" s="81"/>
      <c r="CC89" s="81"/>
      <c r="CD89" s="81"/>
      <c r="CE89" s="81"/>
      <c r="CF89" s="136"/>
      <c r="CG89" s="174"/>
      <c r="CH89" s="135"/>
      <c r="CI89" s="81"/>
      <c r="CJ89" s="81"/>
      <c r="CK89" s="81"/>
      <c r="CL89" s="81"/>
      <c r="CM89" s="81"/>
      <c r="CN89" s="81"/>
      <c r="CO89" s="81"/>
      <c r="CP89" s="81"/>
      <c r="CQ89" s="81"/>
      <c r="CR89" s="81"/>
      <c r="CS89" s="81"/>
      <c r="CT89" s="81"/>
      <c r="CU89" s="81"/>
      <c r="CV89" s="81"/>
      <c r="CW89" s="136"/>
      <c r="CX89" s="174"/>
      <c r="CY89" s="135"/>
      <c r="CZ89" s="81"/>
      <c r="DA89" s="81"/>
      <c r="DB89" s="81"/>
      <c r="DC89" s="81"/>
      <c r="DD89" s="81"/>
      <c r="DE89" s="81"/>
      <c r="DF89" s="81"/>
      <c r="DG89" s="81"/>
      <c r="DH89" s="81"/>
      <c r="DI89" s="81"/>
      <c r="DJ89" s="81"/>
      <c r="DK89" s="81"/>
      <c r="DL89" s="81"/>
      <c r="DM89" s="81"/>
      <c r="DN89" s="136"/>
      <c r="DO89" s="174"/>
      <c r="DP89" s="135"/>
      <c r="DQ89" s="81"/>
      <c r="DR89" s="81"/>
      <c r="DS89" s="81"/>
      <c r="DT89" s="81"/>
      <c r="DU89" s="81"/>
      <c r="DV89" s="81"/>
      <c r="DW89" s="81"/>
      <c r="DX89" s="81"/>
      <c r="DY89" s="81"/>
      <c r="DZ89" s="81"/>
      <c r="EA89" s="81"/>
      <c r="EB89" s="81"/>
      <c r="EC89" s="81"/>
      <c r="ED89" s="81"/>
      <c r="EE89" s="136"/>
      <c r="EF89" s="174"/>
    </row>
    <row r="90" spans="1:136">
      <c r="A90" s="135"/>
      <c r="B90" s="81"/>
      <c r="C90" s="81"/>
      <c r="D90" s="81"/>
      <c r="E90" s="81"/>
      <c r="F90" s="81"/>
      <c r="G90" s="81"/>
      <c r="H90" s="81"/>
      <c r="I90" s="81"/>
      <c r="J90" s="81"/>
      <c r="K90" s="81"/>
      <c r="L90" s="81"/>
      <c r="M90" s="81"/>
      <c r="N90" s="81"/>
      <c r="O90" s="81"/>
      <c r="P90" s="136"/>
      <c r="Q90" s="174"/>
      <c r="R90" s="135"/>
      <c r="S90" s="81"/>
      <c r="T90" s="81"/>
      <c r="U90" s="81"/>
      <c r="V90" s="81"/>
      <c r="W90" s="81"/>
      <c r="X90" s="81"/>
      <c r="Y90" s="81"/>
      <c r="Z90" s="81"/>
      <c r="AA90" s="81"/>
      <c r="AB90" s="81"/>
      <c r="AC90" s="81"/>
      <c r="AD90" s="81"/>
      <c r="AE90" s="81"/>
      <c r="AF90" s="81"/>
      <c r="AG90" s="136"/>
      <c r="AH90" s="174"/>
      <c r="AI90" s="135"/>
      <c r="AJ90" s="81"/>
      <c r="AK90" s="81"/>
      <c r="AL90" s="81"/>
      <c r="AM90" s="81"/>
      <c r="AN90" s="81"/>
      <c r="AO90" s="81"/>
      <c r="AP90" s="81"/>
      <c r="AQ90" s="81"/>
      <c r="AR90" s="81"/>
      <c r="AS90" s="81"/>
      <c r="AT90" s="81"/>
      <c r="AU90" s="81"/>
      <c r="AV90" s="81"/>
      <c r="AW90" s="81"/>
      <c r="AX90" s="136"/>
      <c r="AY90" s="174"/>
      <c r="AZ90" s="135"/>
      <c r="BA90" s="81"/>
      <c r="BB90" s="81"/>
      <c r="BC90" s="81"/>
      <c r="BD90" s="81"/>
      <c r="BE90" s="81"/>
      <c r="BF90" s="81"/>
      <c r="BG90" s="81"/>
      <c r="BH90" s="81"/>
      <c r="BI90" s="81"/>
      <c r="BJ90" s="81"/>
      <c r="BK90" s="81"/>
      <c r="BL90" s="81"/>
      <c r="BM90" s="81"/>
      <c r="BN90" s="81"/>
      <c r="BO90" s="136"/>
      <c r="BP90" s="174"/>
      <c r="BQ90" s="135"/>
      <c r="BR90" s="81"/>
      <c r="BS90" s="81"/>
      <c r="BT90" s="81"/>
      <c r="BU90" s="81"/>
      <c r="BV90" s="81"/>
      <c r="BW90" s="81"/>
      <c r="BX90" s="81"/>
      <c r="BY90" s="81"/>
      <c r="BZ90" s="81"/>
      <c r="CA90" s="81"/>
      <c r="CB90" s="81"/>
      <c r="CC90" s="81"/>
      <c r="CD90" s="81"/>
      <c r="CE90" s="81"/>
      <c r="CF90" s="136"/>
      <c r="CG90" s="174"/>
      <c r="CH90" s="135"/>
      <c r="CI90" s="81"/>
      <c r="CJ90" s="81"/>
      <c r="CK90" s="81"/>
      <c r="CL90" s="81"/>
      <c r="CM90" s="81"/>
      <c r="CN90" s="81"/>
      <c r="CO90" s="81"/>
      <c r="CP90" s="81"/>
      <c r="CQ90" s="81"/>
      <c r="CR90" s="81"/>
      <c r="CS90" s="81"/>
      <c r="CT90" s="81"/>
      <c r="CU90" s="81"/>
      <c r="CV90" s="81"/>
      <c r="CW90" s="136"/>
      <c r="CX90" s="174"/>
      <c r="CY90" s="135"/>
      <c r="CZ90" s="81"/>
      <c r="DA90" s="81"/>
      <c r="DB90" s="81"/>
      <c r="DC90" s="81"/>
      <c r="DD90" s="81"/>
      <c r="DE90" s="81"/>
      <c r="DF90" s="81"/>
      <c r="DG90" s="81"/>
      <c r="DH90" s="81"/>
      <c r="DI90" s="81"/>
      <c r="DJ90" s="81"/>
      <c r="DK90" s="81"/>
      <c r="DL90" s="81"/>
      <c r="DM90" s="81"/>
      <c r="DN90" s="136"/>
      <c r="DO90" s="174"/>
      <c r="DP90" s="135"/>
      <c r="DQ90" s="81"/>
      <c r="DR90" s="81"/>
      <c r="DS90" s="81"/>
      <c r="DT90" s="81"/>
      <c r="DU90" s="81"/>
      <c r="DV90" s="81"/>
      <c r="DW90" s="81"/>
      <c r="DX90" s="81"/>
      <c r="DY90" s="81"/>
      <c r="DZ90" s="81"/>
      <c r="EA90" s="81"/>
      <c r="EB90" s="81"/>
      <c r="EC90" s="81"/>
      <c r="ED90" s="81"/>
      <c r="EE90" s="136"/>
      <c r="EF90" s="174"/>
    </row>
    <row r="91" spans="1:136">
      <c r="A91" s="135"/>
      <c r="B91" s="81"/>
      <c r="C91" s="81"/>
      <c r="D91" s="81"/>
      <c r="E91" s="81"/>
      <c r="F91" s="81"/>
      <c r="G91" s="81"/>
      <c r="H91" s="81"/>
      <c r="I91" s="81"/>
      <c r="J91" s="81"/>
      <c r="K91" s="81"/>
      <c r="L91" s="81"/>
      <c r="M91" s="81"/>
      <c r="N91" s="81"/>
      <c r="O91" s="81"/>
      <c r="P91" s="136"/>
      <c r="Q91" s="174"/>
      <c r="R91" s="135"/>
      <c r="S91" s="81"/>
      <c r="T91" s="81"/>
      <c r="U91" s="81"/>
      <c r="V91" s="81"/>
      <c r="W91" s="81"/>
      <c r="X91" s="81"/>
      <c r="Y91" s="81"/>
      <c r="Z91" s="81"/>
      <c r="AA91" s="81"/>
      <c r="AB91" s="81"/>
      <c r="AC91" s="81"/>
      <c r="AD91" s="81"/>
      <c r="AE91" s="81"/>
      <c r="AF91" s="81"/>
      <c r="AG91" s="136"/>
      <c r="AH91" s="174"/>
      <c r="AI91" s="135"/>
      <c r="AJ91" s="81"/>
      <c r="AK91" s="81"/>
      <c r="AL91" s="81"/>
      <c r="AM91" s="81"/>
      <c r="AN91" s="81"/>
      <c r="AO91" s="81"/>
      <c r="AP91" s="81"/>
      <c r="AQ91" s="81"/>
      <c r="AR91" s="81"/>
      <c r="AS91" s="81"/>
      <c r="AT91" s="81"/>
      <c r="AU91" s="81"/>
      <c r="AV91" s="81"/>
      <c r="AW91" s="81"/>
      <c r="AX91" s="136"/>
      <c r="AY91" s="174"/>
      <c r="AZ91" s="135"/>
      <c r="BA91" s="81"/>
      <c r="BB91" s="81"/>
      <c r="BC91" s="81"/>
      <c r="BD91" s="81"/>
      <c r="BE91" s="81"/>
      <c r="BF91" s="81"/>
      <c r="BG91" s="81"/>
      <c r="BH91" s="81"/>
      <c r="BI91" s="81"/>
      <c r="BJ91" s="81"/>
      <c r="BK91" s="81"/>
      <c r="BL91" s="81"/>
      <c r="BM91" s="81"/>
      <c r="BN91" s="81"/>
      <c r="BO91" s="136"/>
      <c r="BP91" s="174"/>
      <c r="BQ91" s="135"/>
      <c r="BR91" s="81"/>
      <c r="BS91" s="81"/>
      <c r="BT91" s="81"/>
      <c r="BU91" s="81"/>
      <c r="BV91" s="81"/>
      <c r="BW91" s="81"/>
      <c r="BX91" s="81"/>
      <c r="BY91" s="81"/>
      <c r="BZ91" s="81"/>
      <c r="CA91" s="81"/>
      <c r="CB91" s="81"/>
      <c r="CC91" s="81"/>
      <c r="CD91" s="81"/>
      <c r="CE91" s="81"/>
      <c r="CF91" s="136"/>
      <c r="CG91" s="174"/>
      <c r="CH91" s="135"/>
      <c r="CI91" s="81"/>
      <c r="CJ91" s="81"/>
      <c r="CK91" s="81"/>
      <c r="CL91" s="81"/>
      <c r="CM91" s="81"/>
      <c r="CN91" s="81"/>
      <c r="CO91" s="81"/>
      <c r="CP91" s="81"/>
      <c r="CQ91" s="81"/>
      <c r="CR91" s="81"/>
      <c r="CS91" s="81"/>
      <c r="CT91" s="81"/>
      <c r="CU91" s="81"/>
      <c r="CV91" s="81"/>
      <c r="CW91" s="136"/>
      <c r="CX91" s="174"/>
      <c r="CY91" s="135"/>
      <c r="CZ91" s="81"/>
      <c r="DA91" s="81"/>
      <c r="DB91" s="81"/>
      <c r="DC91" s="81"/>
      <c r="DD91" s="81"/>
      <c r="DE91" s="81"/>
      <c r="DF91" s="81"/>
      <c r="DG91" s="81"/>
      <c r="DH91" s="81"/>
      <c r="DI91" s="81"/>
      <c r="DJ91" s="81"/>
      <c r="DK91" s="81"/>
      <c r="DL91" s="81"/>
      <c r="DM91" s="81"/>
      <c r="DN91" s="136"/>
      <c r="DO91" s="174"/>
      <c r="DP91" s="135"/>
      <c r="DQ91" s="81"/>
      <c r="DR91" s="81"/>
      <c r="DS91" s="81"/>
      <c r="DT91" s="81"/>
      <c r="DU91" s="81"/>
      <c r="DV91" s="81"/>
      <c r="DW91" s="81"/>
      <c r="DX91" s="81"/>
      <c r="DY91" s="81"/>
      <c r="DZ91" s="81"/>
      <c r="EA91" s="81"/>
      <c r="EB91" s="81"/>
      <c r="EC91" s="81"/>
      <c r="ED91" s="81"/>
      <c r="EE91" s="136"/>
      <c r="EF91" s="174"/>
    </row>
    <row r="92" spans="1:136">
      <c r="A92" s="135"/>
      <c r="B92" s="81"/>
      <c r="C92" s="81"/>
      <c r="D92" s="81"/>
      <c r="E92" s="81"/>
      <c r="F92" s="81"/>
      <c r="G92" s="81"/>
      <c r="H92" s="81"/>
      <c r="I92" s="81"/>
      <c r="J92" s="81"/>
      <c r="K92" s="81"/>
      <c r="L92" s="81"/>
      <c r="M92" s="81"/>
      <c r="N92" s="81"/>
      <c r="O92" s="81"/>
      <c r="P92" s="136"/>
      <c r="Q92" s="174"/>
      <c r="R92" s="135"/>
      <c r="S92" s="81"/>
      <c r="T92" s="81"/>
      <c r="U92" s="81"/>
      <c r="V92" s="81"/>
      <c r="W92" s="81"/>
      <c r="X92" s="81"/>
      <c r="Y92" s="81"/>
      <c r="Z92" s="81"/>
      <c r="AA92" s="81"/>
      <c r="AB92" s="81"/>
      <c r="AC92" s="81"/>
      <c r="AD92" s="81"/>
      <c r="AE92" s="81"/>
      <c r="AF92" s="81"/>
      <c r="AG92" s="136"/>
      <c r="AH92" s="174"/>
      <c r="AI92" s="135"/>
      <c r="AJ92" s="81"/>
      <c r="AK92" s="81"/>
      <c r="AL92" s="81"/>
      <c r="AM92" s="81"/>
      <c r="AN92" s="81"/>
      <c r="AO92" s="81"/>
      <c r="AP92" s="81"/>
      <c r="AQ92" s="81"/>
      <c r="AR92" s="81"/>
      <c r="AS92" s="81"/>
      <c r="AT92" s="81"/>
      <c r="AU92" s="81"/>
      <c r="AV92" s="81"/>
      <c r="AW92" s="81"/>
      <c r="AX92" s="136"/>
      <c r="AY92" s="174"/>
      <c r="AZ92" s="135"/>
      <c r="BA92" s="81"/>
      <c r="BB92" s="81"/>
      <c r="BC92" s="81"/>
      <c r="BD92" s="81"/>
      <c r="BE92" s="81"/>
      <c r="BF92" s="81"/>
      <c r="BG92" s="81"/>
      <c r="BH92" s="81"/>
      <c r="BI92" s="81"/>
      <c r="BJ92" s="81"/>
      <c r="BK92" s="81"/>
      <c r="BL92" s="81"/>
      <c r="BM92" s="81"/>
      <c r="BN92" s="81"/>
      <c r="BO92" s="136"/>
      <c r="BP92" s="174"/>
      <c r="BQ92" s="135"/>
      <c r="BR92" s="81"/>
      <c r="BS92" s="81"/>
      <c r="BT92" s="81"/>
      <c r="BU92" s="81"/>
      <c r="BV92" s="81"/>
      <c r="BW92" s="81"/>
      <c r="BX92" s="81"/>
      <c r="BY92" s="81"/>
      <c r="BZ92" s="81"/>
      <c r="CA92" s="81"/>
      <c r="CB92" s="81"/>
      <c r="CC92" s="81"/>
      <c r="CD92" s="81"/>
      <c r="CE92" s="81"/>
      <c r="CF92" s="136"/>
      <c r="CG92" s="174"/>
      <c r="CH92" s="135"/>
      <c r="CI92" s="81"/>
      <c r="CJ92" s="81"/>
      <c r="CK92" s="81"/>
      <c r="CL92" s="81"/>
      <c r="CM92" s="81"/>
      <c r="CN92" s="81"/>
      <c r="CO92" s="81"/>
      <c r="CP92" s="81"/>
      <c r="CQ92" s="81"/>
      <c r="CR92" s="81"/>
      <c r="CS92" s="81"/>
      <c r="CT92" s="81"/>
      <c r="CU92" s="81"/>
      <c r="CV92" s="81"/>
      <c r="CW92" s="136"/>
      <c r="CX92" s="174"/>
      <c r="CY92" s="135"/>
      <c r="CZ92" s="81"/>
      <c r="DA92" s="81"/>
      <c r="DB92" s="81"/>
      <c r="DC92" s="81"/>
      <c r="DD92" s="81"/>
      <c r="DE92" s="81"/>
      <c r="DF92" s="81"/>
      <c r="DG92" s="81"/>
      <c r="DH92" s="81"/>
      <c r="DI92" s="81"/>
      <c r="DJ92" s="81"/>
      <c r="DK92" s="81"/>
      <c r="DL92" s="81"/>
      <c r="DM92" s="81"/>
      <c r="DN92" s="136"/>
      <c r="DO92" s="174"/>
      <c r="DP92" s="135"/>
      <c r="DQ92" s="81"/>
      <c r="DR92" s="81"/>
      <c r="DS92" s="81"/>
      <c r="DT92" s="81"/>
      <c r="DU92" s="81"/>
      <c r="DV92" s="81"/>
      <c r="DW92" s="81"/>
      <c r="DX92" s="81"/>
      <c r="DY92" s="81"/>
      <c r="DZ92" s="81"/>
      <c r="EA92" s="81"/>
      <c r="EB92" s="81"/>
      <c r="EC92" s="81"/>
      <c r="ED92" s="81"/>
      <c r="EE92" s="136"/>
      <c r="EF92" s="174"/>
    </row>
    <row r="93" spans="1:136">
      <c r="A93" s="135"/>
      <c r="B93" s="81"/>
      <c r="C93" s="81"/>
      <c r="D93" s="81"/>
      <c r="E93" s="81"/>
      <c r="F93" s="81"/>
      <c r="G93" s="81"/>
      <c r="H93" s="81"/>
      <c r="I93" s="81"/>
      <c r="J93" s="81"/>
      <c r="K93" s="81"/>
      <c r="L93" s="81"/>
      <c r="M93" s="81"/>
      <c r="N93" s="81"/>
      <c r="O93" s="81"/>
      <c r="P93" s="136"/>
      <c r="Q93" s="174"/>
      <c r="R93" s="135"/>
      <c r="S93" s="81"/>
      <c r="T93" s="81"/>
      <c r="U93" s="81"/>
      <c r="V93" s="81"/>
      <c r="W93" s="81"/>
      <c r="X93" s="81"/>
      <c r="Y93" s="81"/>
      <c r="Z93" s="81"/>
      <c r="AA93" s="81"/>
      <c r="AB93" s="81"/>
      <c r="AC93" s="81"/>
      <c r="AD93" s="81"/>
      <c r="AE93" s="81"/>
      <c r="AF93" s="81"/>
      <c r="AG93" s="136"/>
      <c r="AH93" s="174"/>
      <c r="AI93" s="135"/>
      <c r="AJ93" s="81"/>
      <c r="AK93" s="81"/>
      <c r="AL93" s="81"/>
      <c r="AM93" s="81"/>
      <c r="AN93" s="81"/>
      <c r="AO93" s="81"/>
      <c r="AP93" s="81"/>
      <c r="AQ93" s="81"/>
      <c r="AR93" s="81"/>
      <c r="AS93" s="81"/>
      <c r="AT93" s="81"/>
      <c r="AU93" s="81"/>
      <c r="AV93" s="81"/>
      <c r="AW93" s="81"/>
      <c r="AX93" s="136"/>
      <c r="AY93" s="174"/>
      <c r="AZ93" s="135"/>
      <c r="BA93" s="81"/>
      <c r="BB93" s="81"/>
      <c r="BC93" s="81"/>
      <c r="BD93" s="81"/>
      <c r="BE93" s="81"/>
      <c r="BF93" s="81"/>
      <c r="BG93" s="81"/>
      <c r="BH93" s="81"/>
      <c r="BI93" s="81"/>
      <c r="BJ93" s="81"/>
      <c r="BK93" s="81"/>
      <c r="BL93" s="81"/>
      <c r="BM93" s="81"/>
      <c r="BN93" s="81"/>
      <c r="BO93" s="136"/>
      <c r="BP93" s="174"/>
      <c r="BQ93" s="135"/>
      <c r="BR93" s="81"/>
      <c r="BS93" s="81"/>
      <c r="BT93" s="81"/>
      <c r="BU93" s="81"/>
      <c r="BV93" s="81"/>
      <c r="BW93" s="81"/>
      <c r="BX93" s="81"/>
      <c r="BY93" s="81"/>
      <c r="BZ93" s="81"/>
      <c r="CA93" s="81"/>
      <c r="CB93" s="81"/>
      <c r="CC93" s="81"/>
      <c r="CD93" s="81"/>
      <c r="CE93" s="81"/>
      <c r="CF93" s="136"/>
      <c r="CG93" s="174"/>
      <c r="CH93" s="135"/>
      <c r="CI93" s="81"/>
      <c r="CJ93" s="81"/>
      <c r="CK93" s="81"/>
      <c r="CL93" s="81"/>
      <c r="CM93" s="81"/>
      <c r="CN93" s="81"/>
      <c r="CO93" s="81"/>
      <c r="CP93" s="81"/>
      <c r="CQ93" s="81"/>
      <c r="CR93" s="81"/>
      <c r="CS93" s="81"/>
      <c r="CT93" s="81"/>
      <c r="CU93" s="81"/>
      <c r="CV93" s="81"/>
      <c r="CW93" s="136"/>
      <c r="CX93" s="174"/>
      <c r="CY93" s="135"/>
      <c r="CZ93" s="81"/>
      <c r="DA93" s="81"/>
      <c r="DB93" s="81"/>
      <c r="DC93" s="81"/>
      <c r="DD93" s="81"/>
      <c r="DE93" s="81"/>
      <c r="DF93" s="81"/>
      <c r="DG93" s="81"/>
      <c r="DH93" s="81"/>
      <c r="DI93" s="81"/>
      <c r="DJ93" s="81"/>
      <c r="DK93" s="81"/>
      <c r="DL93" s="81"/>
      <c r="DM93" s="81"/>
      <c r="DN93" s="136"/>
      <c r="DO93" s="174"/>
      <c r="DP93" s="135"/>
      <c r="DQ93" s="81"/>
      <c r="DR93" s="81"/>
      <c r="DS93" s="81"/>
      <c r="DT93" s="81"/>
      <c r="DU93" s="81"/>
      <c r="DV93" s="81"/>
      <c r="DW93" s="81"/>
      <c r="DX93" s="81"/>
      <c r="DY93" s="81"/>
      <c r="DZ93" s="81"/>
      <c r="EA93" s="81"/>
      <c r="EB93" s="81"/>
      <c r="EC93" s="81"/>
      <c r="ED93" s="81"/>
      <c r="EE93" s="136"/>
      <c r="EF93" s="174"/>
    </row>
    <row r="94" spans="1:136">
      <c r="A94" s="135"/>
      <c r="B94" s="81"/>
      <c r="C94" s="81"/>
      <c r="D94" s="81"/>
      <c r="E94" s="81"/>
      <c r="F94" s="81"/>
      <c r="G94" s="81"/>
      <c r="H94" s="81"/>
      <c r="I94" s="81"/>
      <c r="J94" s="81"/>
      <c r="K94" s="81"/>
      <c r="L94" s="81"/>
      <c r="M94" s="81"/>
      <c r="N94" s="81"/>
      <c r="O94" s="81"/>
      <c r="P94" s="136"/>
      <c r="Q94" s="174"/>
      <c r="R94" s="135"/>
      <c r="S94" s="81"/>
      <c r="T94" s="81"/>
      <c r="U94" s="81"/>
      <c r="V94" s="81"/>
      <c r="W94" s="81"/>
      <c r="X94" s="81"/>
      <c r="Y94" s="81"/>
      <c r="Z94" s="81"/>
      <c r="AA94" s="81"/>
      <c r="AB94" s="81"/>
      <c r="AC94" s="81"/>
      <c r="AD94" s="81"/>
      <c r="AE94" s="81"/>
      <c r="AF94" s="81"/>
      <c r="AG94" s="136"/>
      <c r="AH94" s="174"/>
      <c r="AI94" s="135"/>
      <c r="AJ94" s="81"/>
      <c r="AK94" s="81"/>
      <c r="AL94" s="81"/>
      <c r="AM94" s="81"/>
      <c r="AN94" s="81"/>
      <c r="AO94" s="81"/>
      <c r="AP94" s="81"/>
      <c r="AQ94" s="81"/>
      <c r="AR94" s="81"/>
      <c r="AS94" s="81"/>
      <c r="AT94" s="81"/>
      <c r="AU94" s="81"/>
      <c r="AV94" s="81"/>
      <c r="AW94" s="81"/>
      <c r="AX94" s="136"/>
      <c r="AY94" s="174"/>
      <c r="AZ94" s="135"/>
      <c r="BA94" s="81"/>
      <c r="BB94" s="81"/>
      <c r="BC94" s="81"/>
      <c r="BD94" s="81"/>
      <c r="BE94" s="81"/>
      <c r="BF94" s="81"/>
      <c r="BG94" s="81"/>
      <c r="BH94" s="81"/>
      <c r="BI94" s="81"/>
      <c r="BJ94" s="81"/>
      <c r="BK94" s="81"/>
      <c r="BL94" s="81"/>
      <c r="BM94" s="81"/>
      <c r="BN94" s="81"/>
      <c r="BO94" s="136"/>
      <c r="BP94" s="174"/>
      <c r="BQ94" s="135"/>
      <c r="BR94" s="81"/>
      <c r="BS94" s="81"/>
      <c r="BT94" s="81"/>
      <c r="BU94" s="81"/>
      <c r="BV94" s="81"/>
      <c r="BW94" s="81"/>
      <c r="BX94" s="81"/>
      <c r="BY94" s="81"/>
      <c r="BZ94" s="81"/>
      <c r="CA94" s="81"/>
      <c r="CB94" s="81"/>
      <c r="CC94" s="81"/>
      <c r="CD94" s="81"/>
      <c r="CE94" s="81"/>
      <c r="CF94" s="136"/>
      <c r="CG94" s="174"/>
      <c r="CH94" s="135"/>
      <c r="CI94" s="81"/>
      <c r="CJ94" s="81"/>
      <c r="CK94" s="81"/>
      <c r="CL94" s="81"/>
      <c r="CM94" s="81"/>
      <c r="CN94" s="81"/>
      <c r="CO94" s="81"/>
      <c r="CP94" s="81"/>
      <c r="CQ94" s="81"/>
      <c r="CR94" s="81"/>
      <c r="CS94" s="81"/>
      <c r="CT94" s="81"/>
      <c r="CU94" s="81"/>
      <c r="CV94" s="81"/>
      <c r="CW94" s="136"/>
      <c r="CX94" s="174"/>
      <c r="CY94" s="135"/>
      <c r="CZ94" s="81"/>
      <c r="DA94" s="81"/>
      <c r="DB94" s="81"/>
      <c r="DC94" s="81"/>
      <c r="DD94" s="81"/>
      <c r="DE94" s="81"/>
      <c r="DF94" s="81"/>
      <c r="DG94" s="81"/>
      <c r="DH94" s="81"/>
      <c r="DI94" s="81"/>
      <c r="DJ94" s="81"/>
      <c r="DK94" s="81"/>
      <c r="DL94" s="81"/>
      <c r="DM94" s="81"/>
      <c r="DN94" s="136"/>
      <c r="DO94" s="174"/>
      <c r="DP94" s="135"/>
      <c r="DQ94" s="81"/>
      <c r="DR94" s="81"/>
      <c r="DS94" s="81"/>
      <c r="DT94" s="81"/>
      <c r="DU94" s="81"/>
      <c r="DV94" s="81"/>
      <c r="DW94" s="81"/>
      <c r="DX94" s="81"/>
      <c r="DY94" s="81"/>
      <c r="DZ94" s="81"/>
      <c r="EA94" s="81"/>
      <c r="EB94" s="81"/>
      <c r="EC94" s="81"/>
      <c r="ED94" s="81"/>
      <c r="EE94" s="136"/>
      <c r="EF94" s="174"/>
    </row>
    <row r="95" spans="1:136">
      <c r="A95" s="135"/>
      <c r="B95" s="81"/>
      <c r="C95" s="81"/>
      <c r="D95" s="81"/>
      <c r="E95" s="81"/>
      <c r="F95" s="81"/>
      <c r="G95" s="81"/>
      <c r="H95" s="81"/>
      <c r="I95" s="81"/>
      <c r="J95" s="81"/>
      <c r="K95" s="81"/>
      <c r="L95" s="81"/>
      <c r="M95" s="81"/>
      <c r="N95" s="81"/>
      <c r="O95" s="81"/>
      <c r="P95" s="136"/>
      <c r="Q95" s="174"/>
      <c r="R95" s="135"/>
      <c r="S95" s="81"/>
      <c r="T95" s="81"/>
      <c r="U95" s="81"/>
      <c r="V95" s="81"/>
      <c r="W95" s="81"/>
      <c r="X95" s="81"/>
      <c r="Y95" s="81"/>
      <c r="Z95" s="81"/>
      <c r="AA95" s="81"/>
      <c r="AB95" s="81"/>
      <c r="AC95" s="81"/>
      <c r="AD95" s="81"/>
      <c r="AE95" s="81"/>
      <c r="AF95" s="81"/>
      <c r="AG95" s="136"/>
      <c r="AH95" s="174"/>
      <c r="AI95" s="135"/>
      <c r="AJ95" s="81"/>
      <c r="AK95" s="81"/>
      <c r="AL95" s="81"/>
      <c r="AM95" s="81"/>
      <c r="AN95" s="81"/>
      <c r="AO95" s="81"/>
      <c r="AP95" s="81"/>
      <c r="AQ95" s="81"/>
      <c r="AR95" s="81"/>
      <c r="AS95" s="81"/>
      <c r="AT95" s="81"/>
      <c r="AU95" s="81"/>
      <c r="AV95" s="81"/>
      <c r="AW95" s="81"/>
      <c r="AX95" s="136"/>
      <c r="AY95" s="174"/>
      <c r="AZ95" s="135"/>
      <c r="BA95" s="81"/>
      <c r="BB95" s="81"/>
      <c r="BC95" s="81"/>
      <c r="BD95" s="81"/>
      <c r="BE95" s="81"/>
      <c r="BF95" s="81"/>
      <c r="BG95" s="81"/>
      <c r="BH95" s="81"/>
      <c r="BI95" s="81"/>
      <c r="BJ95" s="81"/>
      <c r="BK95" s="81"/>
      <c r="BL95" s="81"/>
      <c r="BM95" s="81"/>
      <c r="BN95" s="81"/>
      <c r="BO95" s="136"/>
      <c r="BP95" s="174"/>
      <c r="BQ95" s="135"/>
      <c r="BR95" s="81"/>
      <c r="BS95" s="81"/>
      <c r="BT95" s="81"/>
      <c r="BU95" s="81"/>
      <c r="BV95" s="81"/>
      <c r="BW95" s="81"/>
      <c r="BX95" s="81"/>
      <c r="BY95" s="81"/>
      <c r="BZ95" s="81"/>
      <c r="CA95" s="81"/>
      <c r="CB95" s="81"/>
      <c r="CC95" s="81"/>
      <c r="CD95" s="81"/>
      <c r="CE95" s="81"/>
      <c r="CF95" s="136"/>
      <c r="CG95" s="174"/>
      <c r="CH95" s="135"/>
      <c r="CI95" s="81"/>
      <c r="CJ95" s="81"/>
      <c r="CK95" s="81"/>
      <c r="CL95" s="81"/>
      <c r="CM95" s="81"/>
      <c r="CN95" s="81"/>
      <c r="CO95" s="81"/>
      <c r="CP95" s="81"/>
      <c r="CQ95" s="81"/>
      <c r="CR95" s="81"/>
      <c r="CS95" s="81"/>
      <c r="CT95" s="81"/>
      <c r="CU95" s="81"/>
      <c r="CV95" s="81"/>
      <c r="CW95" s="136"/>
      <c r="CX95" s="174"/>
      <c r="CY95" s="135"/>
      <c r="CZ95" s="81"/>
      <c r="DA95" s="81"/>
      <c r="DB95" s="81"/>
      <c r="DC95" s="81"/>
      <c r="DD95" s="81"/>
      <c r="DE95" s="81"/>
      <c r="DF95" s="81"/>
      <c r="DG95" s="81"/>
      <c r="DH95" s="81"/>
      <c r="DI95" s="81"/>
      <c r="DJ95" s="81"/>
      <c r="DK95" s="81"/>
      <c r="DL95" s="81"/>
      <c r="DM95" s="81"/>
      <c r="DN95" s="136"/>
      <c r="DO95" s="174"/>
      <c r="DP95" s="135"/>
      <c r="DQ95" s="81"/>
      <c r="DR95" s="81"/>
      <c r="DS95" s="81"/>
      <c r="DT95" s="81"/>
      <c r="DU95" s="81"/>
      <c r="DV95" s="81"/>
      <c r="DW95" s="81"/>
      <c r="DX95" s="81"/>
      <c r="DY95" s="81"/>
      <c r="DZ95" s="81"/>
      <c r="EA95" s="81"/>
      <c r="EB95" s="81"/>
      <c r="EC95" s="81"/>
      <c r="ED95" s="81"/>
      <c r="EE95" s="136"/>
      <c r="EF95" s="174"/>
    </row>
    <row r="96" spans="1:136">
      <c r="A96" s="135"/>
      <c r="B96" s="81"/>
      <c r="C96" s="81"/>
      <c r="D96" s="81"/>
      <c r="E96" s="81"/>
      <c r="F96" s="81"/>
      <c r="G96" s="81"/>
      <c r="H96" s="81"/>
      <c r="I96" s="81"/>
      <c r="J96" s="81"/>
      <c r="K96" s="81"/>
      <c r="L96" s="81"/>
      <c r="M96" s="81"/>
      <c r="N96" s="81"/>
      <c r="O96" s="81"/>
      <c r="P96" s="136"/>
      <c r="Q96" s="174"/>
      <c r="R96" s="135"/>
      <c r="S96" s="81"/>
      <c r="T96" s="81"/>
      <c r="U96" s="81"/>
      <c r="V96" s="81"/>
      <c r="W96" s="81"/>
      <c r="X96" s="81"/>
      <c r="Y96" s="81"/>
      <c r="Z96" s="81"/>
      <c r="AA96" s="81"/>
      <c r="AB96" s="81"/>
      <c r="AC96" s="81"/>
      <c r="AD96" s="81"/>
      <c r="AE96" s="81"/>
      <c r="AF96" s="81"/>
      <c r="AG96" s="136"/>
      <c r="AH96" s="174"/>
      <c r="AI96" s="135"/>
      <c r="AJ96" s="81"/>
      <c r="AK96" s="81"/>
      <c r="AL96" s="81"/>
      <c r="AM96" s="81"/>
      <c r="AN96" s="81"/>
      <c r="AO96" s="81"/>
      <c r="AP96" s="81"/>
      <c r="AQ96" s="81"/>
      <c r="AR96" s="81"/>
      <c r="AS96" s="81"/>
      <c r="AT96" s="81"/>
      <c r="AU96" s="81"/>
      <c r="AV96" s="81"/>
      <c r="AW96" s="81"/>
      <c r="AX96" s="136"/>
      <c r="AY96" s="174"/>
      <c r="AZ96" s="135"/>
      <c r="BA96" s="81"/>
      <c r="BB96" s="81"/>
      <c r="BC96" s="81"/>
      <c r="BD96" s="81"/>
      <c r="BE96" s="81"/>
      <c r="BF96" s="81"/>
      <c r="BG96" s="81"/>
      <c r="BH96" s="81"/>
      <c r="BI96" s="81"/>
      <c r="BJ96" s="81"/>
      <c r="BK96" s="81"/>
      <c r="BL96" s="81"/>
      <c r="BM96" s="81"/>
      <c r="BN96" s="81"/>
      <c r="BO96" s="136"/>
      <c r="BP96" s="174"/>
      <c r="BQ96" s="135"/>
      <c r="BR96" s="81"/>
      <c r="BS96" s="81"/>
      <c r="BT96" s="81"/>
      <c r="BU96" s="81"/>
      <c r="BV96" s="81"/>
      <c r="BW96" s="81"/>
      <c r="BX96" s="81"/>
      <c r="BY96" s="81"/>
      <c r="BZ96" s="81"/>
      <c r="CA96" s="81"/>
      <c r="CB96" s="81"/>
      <c r="CC96" s="81"/>
      <c r="CD96" s="81"/>
      <c r="CE96" s="81"/>
      <c r="CF96" s="136"/>
      <c r="CG96" s="174"/>
      <c r="CH96" s="135"/>
      <c r="CI96" s="81"/>
      <c r="CJ96" s="81"/>
      <c r="CK96" s="81"/>
      <c r="CL96" s="81"/>
      <c r="CM96" s="81"/>
      <c r="CN96" s="81"/>
      <c r="CO96" s="81"/>
      <c r="CP96" s="81"/>
      <c r="CQ96" s="81"/>
      <c r="CR96" s="81"/>
      <c r="CS96" s="81"/>
      <c r="CT96" s="81"/>
      <c r="CU96" s="81"/>
      <c r="CV96" s="81"/>
      <c r="CW96" s="136"/>
      <c r="CX96" s="174"/>
      <c r="CY96" s="135"/>
      <c r="CZ96" s="81"/>
      <c r="DA96" s="81"/>
      <c r="DB96" s="81"/>
      <c r="DC96" s="81"/>
      <c r="DD96" s="81"/>
      <c r="DE96" s="81"/>
      <c r="DF96" s="81"/>
      <c r="DG96" s="81"/>
      <c r="DH96" s="81"/>
      <c r="DI96" s="81"/>
      <c r="DJ96" s="81"/>
      <c r="DK96" s="81"/>
      <c r="DL96" s="81"/>
      <c r="DM96" s="81"/>
      <c r="DN96" s="136"/>
      <c r="DO96" s="174"/>
      <c r="DP96" s="135"/>
      <c r="DQ96" s="81"/>
      <c r="DR96" s="81"/>
      <c r="DS96" s="81"/>
      <c r="DT96" s="81"/>
      <c r="DU96" s="81"/>
      <c r="DV96" s="81"/>
      <c r="DW96" s="81"/>
      <c r="DX96" s="81"/>
      <c r="DY96" s="81"/>
      <c r="DZ96" s="81"/>
      <c r="EA96" s="81"/>
      <c r="EB96" s="81"/>
      <c r="EC96" s="81"/>
      <c r="ED96" s="81"/>
      <c r="EE96" s="136"/>
      <c r="EF96" s="174"/>
    </row>
    <row r="97" spans="1:136">
      <c r="A97" s="135"/>
      <c r="B97" s="81"/>
      <c r="C97" s="81"/>
      <c r="D97" s="81"/>
      <c r="E97" s="81"/>
      <c r="F97" s="81"/>
      <c r="G97" s="81"/>
      <c r="H97" s="81"/>
      <c r="I97" s="81"/>
      <c r="J97" s="81"/>
      <c r="K97" s="81"/>
      <c r="L97" s="81"/>
      <c r="M97" s="81"/>
      <c r="N97" s="81"/>
      <c r="O97" s="81"/>
      <c r="P97" s="136"/>
      <c r="Q97" s="174"/>
      <c r="R97" s="135"/>
      <c r="S97" s="81"/>
      <c r="T97" s="81"/>
      <c r="U97" s="81"/>
      <c r="V97" s="81"/>
      <c r="W97" s="81"/>
      <c r="X97" s="81"/>
      <c r="Y97" s="81"/>
      <c r="Z97" s="81"/>
      <c r="AA97" s="81"/>
      <c r="AB97" s="81"/>
      <c r="AC97" s="81"/>
      <c r="AD97" s="81"/>
      <c r="AE97" s="81"/>
      <c r="AF97" s="81"/>
      <c r="AG97" s="136"/>
      <c r="AH97" s="174"/>
      <c r="AI97" s="135"/>
      <c r="AJ97" s="81"/>
      <c r="AK97" s="81"/>
      <c r="AL97" s="81"/>
      <c r="AM97" s="81"/>
      <c r="AN97" s="81"/>
      <c r="AO97" s="81"/>
      <c r="AP97" s="81"/>
      <c r="AQ97" s="81"/>
      <c r="AR97" s="81"/>
      <c r="AS97" s="81"/>
      <c r="AT97" s="81"/>
      <c r="AU97" s="81"/>
      <c r="AV97" s="81"/>
      <c r="AW97" s="81"/>
      <c r="AX97" s="136"/>
      <c r="AY97" s="174"/>
      <c r="AZ97" s="135"/>
      <c r="BA97" s="81"/>
      <c r="BB97" s="81"/>
      <c r="BC97" s="81"/>
      <c r="BD97" s="81"/>
      <c r="BE97" s="81"/>
      <c r="BF97" s="81"/>
      <c r="BG97" s="81"/>
      <c r="BH97" s="81"/>
      <c r="BI97" s="81"/>
      <c r="BJ97" s="81"/>
      <c r="BK97" s="81"/>
      <c r="BL97" s="81"/>
      <c r="BM97" s="81"/>
      <c r="BN97" s="81"/>
      <c r="BO97" s="136"/>
      <c r="BP97" s="174"/>
      <c r="BQ97" s="135"/>
      <c r="BR97" s="81"/>
      <c r="BS97" s="81"/>
      <c r="BT97" s="81"/>
      <c r="BU97" s="81"/>
      <c r="BV97" s="81"/>
      <c r="BW97" s="81"/>
      <c r="BX97" s="81"/>
      <c r="BY97" s="81"/>
      <c r="BZ97" s="81"/>
      <c r="CA97" s="81"/>
      <c r="CB97" s="81"/>
      <c r="CC97" s="81"/>
      <c r="CD97" s="81"/>
      <c r="CE97" s="81"/>
      <c r="CF97" s="136"/>
      <c r="CG97" s="174"/>
      <c r="CH97" s="135"/>
      <c r="CI97" s="81"/>
      <c r="CJ97" s="81"/>
      <c r="CK97" s="81"/>
      <c r="CL97" s="81"/>
      <c r="CM97" s="81"/>
      <c r="CN97" s="81"/>
      <c r="CO97" s="81"/>
      <c r="CP97" s="81"/>
      <c r="CQ97" s="81"/>
      <c r="CR97" s="81"/>
      <c r="CS97" s="81"/>
      <c r="CT97" s="81"/>
      <c r="CU97" s="81"/>
      <c r="CV97" s="81"/>
      <c r="CW97" s="136"/>
      <c r="CX97" s="174"/>
      <c r="CY97" s="135"/>
      <c r="CZ97" s="81"/>
      <c r="DA97" s="81"/>
      <c r="DB97" s="81"/>
      <c r="DC97" s="81"/>
      <c r="DD97" s="81"/>
      <c r="DE97" s="81"/>
      <c r="DF97" s="81"/>
      <c r="DG97" s="81"/>
      <c r="DH97" s="81"/>
      <c r="DI97" s="81"/>
      <c r="DJ97" s="81"/>
      <c r="DK97" s="81"/>
      <c r="DL97" s="81"/>
      <c r="DM97" s="81"/>
      <c r="DN97" s="136"/>
      <c r="DO97" s="174"/>
      <c r="DP97" s="135"/>
      <c r="DQ97" s="81"/>
      <c r="DR97" s="81"/>
      <c r="DS97" s="81"/>
      <c r="DT97" s="81"/>
      <c r="DU97" s="81"/>
      <c r="DV97" s="81"/>
      <c r="DW97" s="81"/>
      <c r="DX97" s="81"/>
      <c r="DY97" s="81"/>
      <c r="DZ97" s="81"/>
      <c r="EA97" s="81"/>
      <c r="EB97" s="81"/>
      <c r="EC97" s="81"/>
      <c r="ED97" s="81"/>
      <c r="EE97" s="136"/>
      <c r="EF97" s="174"/>
    </row>
    <row r="98" spans="1:136">
      <c r="A98" s="135"/>
      <c r="B98" s="81"/>
      <c r="C98" s="81"/>
      <c r="D98" s="81"/>
      <c r="E98" s="81"/>
      <c r="F98" s="81"/>
      <c r="G98" s="81"/>
      <c r="H98" s="81"/>
      <c r="I98" s="81"/>
      <c r="J98" s="81"/>
      <c r="K98" s="81"/>
      <c r="L98" s="81"/>
      <c r="M98" s="81"/>
      <c r="N98" s="81"/>
      <c r="O98" s="81"/>
      <c r="P98" s="136"/>
      <c r="Q98" s="174"/>
      <c r="R98" s="135"/>
      <c r="S98" s="81"/>
      <c r="T98" s="81"/>
      <c r="U98" s="81"/>
      <c r="V98" s="81"/>
      <c r="W98" s="81"/>
      <c r="X98" s="81"/>
      <c r="Y98" s="81"/>
      <c r="Z98" s="81"/>
      <c r="AA98" s="81"/>
      <c r="AB98" s="81"/>
      <c r="AC98" s="81"/>
      <c r="AD98" s="81"/>
      <c r="AE98" s="81"/>
      <c r="AF98" s="81"/>
      <c r="AG98" s="136"/>
      <c r="AH98" s="174"/>
      <c r="AI98" s="135"/>
      <c r="AJ98" s="81"/>
      <c r="AK98" s="81"/>
      <c r="AL98" s="81"/>
      <c r="AM98" s="81"/>
      <c r="AN98" s="81"/>
      <c r="AO98" s="81"/>
      <c r="AP98" s="81"/>
      <c r="AQ98" s="81"/>
      <c r="AR98" s="81"/>
      <c r="AS98" s="81"/>
      <c r="AT98" s="81"/>
      <c r="AU98" s="81"/>
      <c r="AV98" s="81"/>
      <c r="AW98" s="81"/>
      <c r="AX98" s="136"/>
      <c r="AY98" s="174"/>
      <c r="AZ98" s="135"/>
      <c r="BA98" s="81"/>
      <c r="BB98" s="81"/>
      <c r="BC98" s="81"/>
      <c r="BD98" s="81"/>
      <c r="BE98" s="81"/>
      <c r="BF98" s="81"/>
      <c r="BG98" s="81"/>
      <c r="BH98" s="81"/>
      <c r="BI98" s="81"/>
      <c r="BJ98" s="81"/>
      <c r="BK98" s="81"/>
      <c r="BL98" s="81"/>
      <c r="BM98" s="81"/>
      <c r="BN98" s="81"/>
      <c r="BO98" s="136"/>
      <c r="BP98" s="174"/>
      <c r="BQ98" s="135"/>
      <c r="BR98" s="81"/>
      <c r="BS98" s="81"/>
      <c r="BT98" s="81"/>
      <c r="BU98" s="81"/>
      <c r="BV98" s="81"/>
      <c r="BW98" s="81"/>
      <c r="BX98" s="81"/>
      <c r="BY98" s="81"/>
      <c r="BZ98" s="81"/>
      <c r="CA98" s="81"/>
      <c r="CB98" s="81"/>
      <c r="CC98" s="81"/>
      <c r="CD98" s="81"/>
      <c r="CE98" s="81"/>
      <c r="CF98" s="136"/>
      <c r="CG98" s="174"/>
      <c r="CH98" s="135"/>
      <c r="CI98" s="81"/>
      <c r="CJ98" s="81"/>
      <c r="CK98" s="81"/>
      <c r="CL98" s="81"/>
      <c r="CM98" s="81"/>
      <c r="CN98" s="81"/>
      <c r="CO98" s="81"/>
      <c r="CP98" s="81"/>
      <c r="CQ98" s="81"/>
      <c r="CR98" s="81"/>
      <c r="CS98" s="81"/>
      <c r="CT98" s="81"/>
      <c r="CU98" s="81"/>
      <c r="CV98" s="81"/>
      <c r="CW98" s="136"/>
      <c r="CX98" s="174"/>
      <c r="CY98" s="135"/>
      <c r="CZ98" s="81"/>
      <c r="DA98" s="81"/>
      <c r="DB98" s="81"/>
      <c r="DC98" s="81"/>
      <c r="DD98" s="81"/>
      <c r="DE98" s="81"/>
      <c r="DF98" s="81"/>
      <c r="DG98" s="81"/>
      <c r="DH98" s="81"/>
      <c r="DI98" s="81"/>
      <c r="DJ98" s="81"/>
      <c r="DK98" s="81"/>
      <c r="DL98" s="81"/>
      <c r="DM98" s="81"/>
      <c r="DN98" s="136"/>
      <c r="DO98" s="174"/>
      <c r="DP98" s="135"/>
      <c r="DQ98" s="81"/>
      <c r="DR98" s="81"/>
      <c r="DS98" s="81"/>
      <c r="DT98" s="81"/>
      <c r="DU98" s="81"/>
      <c r="DV98" s="81"/>
      <c r="DW98" s="81"/>
      <c r="DX98" s="81"/>
      <c r="DY98" s="81"/>
      <c r="DZ98" s="81"/>
      <c r="EA98" s="81"/>
      <c r="EB98" s="81"/>
      <c r="EC98" s="81"/>
      <c r="ED98" s="81"/>
      <c r="EE98" s="136"/>
      <c r="EF98" s="174"/>
    </row>
    <row r="99" spans="1:136">
      <c r="A99" s="135"/>
      <c r="B99" s="81"/>
      <c r="C99" s="81"/>
      <c r="D99" s="81"/>
      <c r="E99" s="81"/>
      <c r="F99" s="81"/>
      <c r="G99" s="81"/>
      <c r="H99" s="81"/>
      <c r="I99" s="81"/>
      <c r="J99" s="81"/>
      <c r="K99" s="81"/>
      <c r="L99" s="81"/>
      <c r="M99" s="81"/>
      <c r="N99" s="81"/>
      <c r="O99" s="81"/>
      <c r="P99" s="136"/>
      <c r="Q99" s="174"/>
      <c r="R99" s="135"/>
      <c r="S99" s="81"/>
      <c r="T99" s="81"/>
      <c r="U99" s="81"/>
      <c r="V99" s="81"/>
      <c r="W99" s="81"/>
      <c r="X99" s="81"/>
      <c r="Y99" s="81"/>
      <c r="Z99" s="81"/>
      <c r="AA99" s="81"/>
      <c r="AB99" s="81"/>
      <c r="AC99" s="81"/>
      <c r="AD99" s="81"/>
      <c r="AE99" s="81"/>
      <c r="AF99" s="81"/>
      <c r="AG99" s="136"/>
      <c r="AH99" s="174"/>
      <c r="AI99" s="135"/>
      <c r="AJ99" s="81"/>
      <c r="AK99" s="81"/>
      <c r="AL99" s="81"/>
      <c r="AM99" s="81"/>
      <c r="AN99" s="81"/>
      <c r="AO99" s="81"/>
      <c r="AP99" s="81"/>
      <c r="AQ99" s="81"/>
      <c r="AR99" s="81"/>
      <c r="AS99" s="81"/>
      <c r="AT99" s="81"/>
      <c r="AU99" s="81"/>
      <c r="AV99" s="81"/>
      <c r="AW99" s="81"/>
      <c r="AX99" s="136"/>
      <c r="AY99" s="174"/>
      <c r="AZ99" s="135"/>
      <c r="BA99" s="81"/>
      <c r="BB99" s="81"/>
      <c r="BC99" s="81"/>
      <c r="BD99" s="81"/>
      <c r="BE99" s="81"/>
      <c r="BF99" s="81"/>
      <c r="BG99" s="81"/>
      <c r="BH99" s="81"/>
      <c r="BI99" s="81"/>
      <c r="BJ99" s="81"/>
      <c r="BK99" s="81"/>
      <c r="BL99" s="81"/>
      <c r="BM99" s="81"/>
      <c r="BN99" s="81"/>
      <c r="BO99" s="136"/>
      <c r="BP99" s="174"/>
      <c r="BQ99" s="135"/>
      <c r="BR99" s="81"/>
      <c r="BS99" s="81"/>
      <c r="BT99" s="81"/>
      <c r="BU99" s="81"/>
      <c r="BV99" s="81"/>
      <c r="BW99" s="81"/>
      <c r="BX99" s="81"/>
      <c r="BY99" s="81"/>
      <c r="BZ99" s="81"/>
      <c r="CA99" s="81"/>
      <c r="CB99" s="81"/>
      <c r="CC99" s="81"/>
      <c r="CD99" s="81"/>
      <c r="CE99" s="81"/>
      <c r="CF99" s="136"/>
      <c r="CG99" s="174"/>
      <c r="CH99" s="135"/>
      <c r="CI99" s="81"/>
      <c r="CJ99" s="81"/>
      <c r="CK99" s="81"/>
      <c r="CL99" s="81"/>
      <c r="CM99" s="81"/>
      <c r="CN99" s="81"/>
      <c r="CO99" s="81"/>
      <c r="CP99" s="81"/>
      <c r="CQ99" s="81"/>
      <c r="CR99" s="81"/>
      <c r="CS99" s="81"/>
      <c r="CT99" s="81"/>
      <c r="CU99" s="81"/>
      <c r="CV99" s="81"/>
      <c r="CW99" s="136"/>
      <c r="CX99" s="174"/>
      <c r="CY99" s="135"/>
      <c r="CZ99" s="81"/>
      <c r="DA99" s="81"/>
      <c r="DB99" s="81"/>
      <c r="DC99" s="81"/>
      <c r="DD99" s="81"/>
      <c r="DE99" s="81"/>
      <c r="DF99" s="81"/>
      <c r="DG99" s="81"/>
      <c r="DH99" s="81"/>
      <c r="DI99" s="81"/>
      <c r="DJ99" s="81"/>
      <c r="DK99" s="81"/>
      <c r="DL99" s="81"/>
      <c r="DM99" s="81"/>
      <c r="DN99" s="136"/>
      <c r="DO99" s="174"/>
      <c r="DP99" s="135"/>
      <c r="DQ99" s="81"/>
      <c r="DR99" s="81"/>
      <c r="DS99" s="81"/>
      <c r="DT99" s="81"/>
      <c r="DU99" s="81"/>
      <c r="DV99" s="81"/>
      <c r="DW99" s="81"/>
      <c r="DX99" s="81"/>
      <c r="DY99" s="81"/>
      <c r="DZ99" s="81"/>
      <c r="EA99" s="81"/>
      <c r="EB99" s="81"/>
      <c r="EC99" s="81"/>
      <c r="ED99" s="81"/>
      <c r="EE99" s="136"/>
      <c r="EF99" s="174"/>
    </row>
    <row r="100" spans="1:136">
      <c r="A100" s="135"/>
      <c r="B100" s="81"/>
      <c r="C100" s="81"/>
      <c r="D100" s="81"/>
      <c r="E100" s="81"/>
      <c r="F100" s="81"/>
      <c r="G100" s="81"/>
      <c r="H100" s="81"/>
      <c r="I100" s="81"/>
      <c r="J100" s="81"/>
      <c r="K100" s="81"/>
      <c r="L100" s="81"/>
      <c r="M100" s="81"/>
      <c r="N100" s="81"/>
      <c r="O100" s="81"/>
      <c r="P100" s="136"/>
      <c r="Q100" s="174"/>
      <c r="R100" s="135"/>
      <c r="S100" s="81"/>
      <c r="T100" s="81"/>
      <c r="U100" s="81"/>
      <c r="V100" s="81"/>
      <c r="W100" s="81"/>
      <c r="X100" s="81"/>
      <c r="Y100" s="81"/>
      <c r="Z100" s="81"/>
      <c r="AA100" s="81"/>
      <c r="AB100" s="81"/>
      <c r="AC100" s="81"/>
      <c r="AD100" s="81"/>
      <c r="AE100" s="81"/>
      <c r="AF100" s="81"/>
      <c r="AG100" s="136"/>
      <c r="AH100" s="174"/>
      <c r="AI100" s="135"/>
      <c r="AJ100" s="81"/>
      <c r="AK100" s="81"/>
      <c r="AL100" s="81"/>
      <c r="AM100" s="81"/>
      <c r="AN100" s="81"/>
      <c r="AO100" s="81"/>
      <c r="AP100" s="81"/>
      <c r="AQ100" s="81"/>
      <c r="AR100" s="81"/>
      <c r="AS100" s="81"/>
      <c r="AT100" s="81"/>
      <c r="AU100" s="81"/>
      <c r="AV100" s="81"/>
      <c r="AW100" s="81"/>
      <c r="AX100" s="136"/>
      <c r="AY100" s="174"/>
      <c r="AZ100" s="135"/>
      <c r="BA100" s="81"/>
      <c r="BB100" s="81"/>
      <c r="BC100" s="81"/>
      <c r="BD100" s="81"/>
      <c r="BE100" s="81"/>
      <c r="BF100" s="81"/>
      <c r="BG100" s="81"/>
      <c r="BH100" s="81"/>
      <c r="BI100" s="81"/>
      <c r="BJ100" s="81"/>
      <c r="BK100" s="81"/>
      <c r="BL100" s="81"/>
      <c r="BM100" s="81"/>
      <c r="BN100" s="81"/>
      <c r="BO100" s="136"/>
      <c r="BP100" s="174"/>
      <c r="BQ100" s="135"/>
      <c r="BR100" s="81"/>
      <c r="BS100" s="81"/>
      <c r="BT100" s="81"/>
      <c r="BU100" s="81"/>
      <c r="BV100" s="81"/>
      <c r="BW100" s="81"/>
      <c r="BX100" s="81"/>
      <c r="BY100" s="81"/>
      <c r="BZ100" s="81"/>
      <c r="CA100" s="81"/>
      <c r="CB100" s="81"/>
      <c r="CC100" s="81"/>
      <c r="CD100" s="81"/>
      <c r="CE100" s="81"/>
      <c r="CF100" s="136"/>
      <c r="CG100" s="174"/>
      <c r="CH100" s="135"/>
      <c r="CI100" s="81"/>
      <c r="CJ100" s="81"/>
      <c r="CK100" s="81"/>
      <c r="CL100" s="81"/>
      <c r="CM100" s="81"/>
      <c r="CN100" s="81"/>
      <c r="CO100" s="81"/>
      <c r="CP100" s="81"/>
      <c r="CQ100" s="81"/>
      <c r="CR100" s="81"/>
      <c r="CS100" s="81"/>
      <c r="CT100" s="81"/>
      <c r="CU100" s="81"/>
      <c r="CV100" s="81"/>
      <c r="CW100" s="136"/>
      <c r="CX100" s="174"/>
      <c r="CY100" s="135"/>
      <c r="CZ100" s="81"/>
      <c r="DA100" s="81"/>
      <c r="DB100" s="81"/>
      <c r="DC100" s="81"/>
      <c r="DD100" s="81"/>
      <c r="DE100" s="81"/>
      <c r="DF100" s="81"/>
      <c r="DG100" s="81"/>
      <c r="DH100" s="81"/>
      <c r="DI100" s="81"/>
      <c r="DJ100" s="81"/>
      <c r="DK100" s="81"/>
      <c r="DL100" s="81"/>
      <c r="DM100" s="81"/>
      <c r="DN100" s="136"/>
      <c r="DO100" s="174"/>
      <c r="DP100" s="135"/>
      <c r="DQ100" s="81"/>
      <c r="DR100" s="81"/>
      <c r="DS100" s="81"/>
      <c r="DT100" s="81"/>
      <c r="DU100" s="81"/>
      <c r="DV100" s="81"/>
      <c r="DW100" s="81"/>
      <c r="DX100" s="81"/>
      <c r="DY100" s="81"/>
      <c r="DZ100" s="81"/>
      <c r="EA100" s="81"/>
      <c r="EB100" s="81"/>
      <c r="EC100" s="81"/>
      <c r="ED100" s="81"/>
      <c r="EE100" s="136"/>
      <c r="EF100" s="174"/>
    </row>
    <row r="101" spans="1:136">
      <c r="A101" s="135"/>
      <c r="B101" s="81"/>
      <c r="C101" s="81"/>
      <c r="D101" s="81"/>
      <c r="E101" s="81"/>
      <c r="F101" s="81"/>
      <c r="G101" s="81"/>
      <c r="H101" s="81"/>
      <c r="I101" s="81"/>
      <c r="J101" s="81"/>
      <c r="K101" s="81"/>
      <c r="L101" s="81"/>
      <c r="M101" s="81"/>
      <c r="N101" s="81"/>
      <c r="O101" s="81"/>
      <c r="P101" s="136"/>
      <c r="Q101" s="174"/>
      <c r="R101" s="135"/>
      <c r="S101" s="81"/>
      <c r="T101" s="81"/>
      <c r="U101" s="81"/>
      <c r="V101" s="81"/>
      <c r="W101" s="81"/>
      <c r="X101" s="81"/>
      <c r="Y101" s="81"/>
      <c r="Z101" s="81"/>
      <c r="AA101" s="81"/>
      <c r="AB101" s="81"/>
      <c r="AC101" s="81"/>
      <c r="AD101" s="81"/>
      <c r="AE101" s="81"/>
      <c r="AF101" s="81"/>
      <c r="AG101" s="136"/>
      <c r="AH101" s="174"/>
      <c r="AI101" s="135"/>
      <c r="AJ101" s="81"/>
      <c r="AK101" s="81"/>
      <c r="AL101" s="81"/>
      <c r="AM101" s="81"/>
      <c r="AN101" s="81"/>
      <c r="AO101" s="81"/>
      <c r="AP101" s="81"/>
      <c r="AQ101" s="81"/>
      <c r="AR101" s="81"/>
      <c r="AS101" s="81"/>
      <c r="AT101" s="81"/>
      <c r="AU101" s="81"/>
      <c r="AV101" s="81"/>
      <c r="AW101" s="81"/>
      <c r="AX101" s="136"/>
      <c r="AY101" s="174"/>
      <c r="AZ101" s="135"/>
      <c r="BA101" s="81"/>
      <c r="BB101" s="81"/>
      <c r="BC101" s="81"/>
      <c r="BD101" s="81"/>
      <c r="BE101" s="81"/>
      <c r="BF101" s="81"/>
      <c r="BG101" s="81"/>
      <c r="BH101" s="81"/>
      <c r="BI101" s="81"/>
      <c r="BJ101" s="81"/>
      <c r="BK101" s="81"/>
      <c r="BL101" s="81"/>
      <c r="BM101" s="81"/>
      <c r="BN101" s="81"/>
      <c r="BO101" s="136"/>
      <c r="BP101" s="174"/>
      <c r="BQ101" s="135"/>
      <c r="BR101" s="81"/>
      <c r="BS101" s="81"/>
      <c r="BT101" s="81"/>
      <c r="BU101" s="81"/>
      <c r="BV101" s="81"/>
      <c r="BW101" s="81"/>
      <c r="BX101" s="81"/>
      <c r="BY101" s="81"/>
      <c r="BZ101" s="81"/>
      <c r="CA101" s="81"/>
      <c r="CB101" s="81"/>
      <c r="CC101" s="81"/>
      <c r="CD101" s="81"/>
      <c r="CE101" s="81"/>
      <c r="CF101" s="136"/>
      <c r="CG101" s="174"/>
      <c r="CH101" s="135"/>
      <c r="CI101" s="81"/>
      <c r="CJ101" s="81"/>
      <c r="CK101" s="81"/>
      <c r="CL101" s="81"/>
      <c r="CM101" s="81"/>
      <c r="CN101" s="81"/>
      <c r="CO101" s="81"/>
      <c r="CP101" s="81"/>
      <c r="CQ101" s="81"/>
      <c r="CR101" s="81"/>
      <c r="CS101" s="81"/>
      <c r="CT101" s="81"/>
      <c r="CU101" s="81"/>
      <c r="CV101" s="81"/>
      <c r="CW101" s="136"/>
      <c r="CX101" s="174"/>
      <c r="CY101" s="135"/>
      <c r="CZ101" s="81"/>
      <c r="DA101" s="81"/>
      <c r="DB101" s="81"/>
      <c r="DC101" s="81"/>
      <c r="DD101" s="81"/>
      <c r="DE101" s="81"/>
      <c r="DF101" s="81"/>
      <c r="DG101" s="81"/>
      <c r="DH101" s="81"/>
      <c r="DI101" s="81"/>
      <c r="DJ101" s="81"/>
      <c r="DK101" s="81"/>
      <c r="DL101" s="81"/>
      <c r="DM101" s="81"/>
      <c r="DN101" s="136"/>
      <c r="DO101" s="174"/>
      <c r="DP101" s="135"/>
      <c r="DQ101" s="81"/>
      <c r="DR101" s="81"/>
      <c r="DS101" s="81"/>
      <c r="DT101" s="81"/>
      <c r="DU101" s="81"/>
      <c r="DV101" s="81"/>
      <c r="DW101" s="81"/>
      <c r="DX101" s="81"/>
      <c r="DY101" s="81"/>
      <c r="DZ101" s="81"/>
      <c r="EA101" s="81"/>
      <c r="EB101" s="81"/>
      <c r="EC101" s="81"/>
      <c r="ED101" s="81"/>
      <c r="EE101" s="136"/>
      <c r="EF101" s="174"/>
    </row>
    <row r="102" spans="1:136">
      <c r="A102" s="135"/>
      <c r="B102" s="81"/>
      <c r="C102" s="81"/>
      <c r="D102" s="81"/>
      <c r="E102" s="81"/>
      <c r="F102" s="81"/>
      <c r="G102" s="81"/>
      <c r="H102" s="81"/>
      <c r="I102" s="81"/>
      <c r="J102" s="81"/>
      <c r="K102" s="81"/>
      <c r="L102" s="81"/>
      <c r="M102" s="81"/>
      <c r="N102" s="81"/>
      <c r="O102" s="81"/>
      <c r="P102" s="136"/>
      <c r="Q102" s="174"/>
      <c r="R102" s="135"/>
      <c r="S102" s="81"/>
      <c r="T102" s="81"/>
      <c r="U102" s="81"/>
      <c r="V102" s="81"/>
      <c r="W102" s="81"/>
      <c r="X102" s="81"/>
      <c r="Y102" s="81"/>
      <c r="Z102" s="81"/>
      <c r="AA102" s="81"/>
      <c r="AB102" s="81"/>
      <c r="AC102" s="81"/>
      <c r="AD102" s="81"/>
      <c r="AE102" s="81"/>
      <c r="AF102" s="81"/>
      <c r="AG102" s="136"/>
      <c r="AH102" s="174"/>
      <c r="AI102" s="135"/>
      <c r="AJ102" s="81"/>
      <c r="AK102" s="81"/>
      <c r="AL102" s="81"/>
      <c r="AM102" s="81"/>
      <c r="AN102" s="81"/>
      <c r="AO102" s="81"/>
      <c r="AP102" s="81"/>
      <c r="AQ102" s="81"/>
      <c r="AR102" s="81"/>
      <c r="AS102" s="81"/>
      <c r="AT102" s="81"/>
      <c r="AU102" s="81"/>
      <c r="AV102" s="81"/>
      <c r="AW102" s="81"/>
      <c r="AX102" s="136"/>
      <c r="AY102" s="174"/>
      <c r="AZ102" s="135"/>
      <c r="BA102" s="81"/>
      <c r="BB102" s="81"/>
      <c r="BC102" s="81"/>
      <c r="BD102" s="81"/>
      <c r="BE102" s="81"/>
      <c r="BF102" s="81"/>
      <c r="BG102" s="81"/>
      <c r="BH102" s="81"/>
      <c r="BI102" s="81"/>
      <c r="BJ102" s="81"/>
      <c r="BK102" s="81"/>
      <c r="BL102" s="81"/>
      <c r="BM102" s="81"/>
      <c r="BN102" s="81"/>
      <c r="BO102" s="136"/>
      <c r="BP102" s="174"/>
      <c r="BQ102" s="135"/>
      <c r="BR102" s="81"/>
      <c r="BS102" s="81"/>
      <c r="BT102" s="81"/>
      <c r="BU102" s="81"/>
      <c r="BV102" s="81"/>
      <c r="BW102" s="81"/>
      <c r="BX102" s="81"/>
      <c r="BY102" s="81"/>
      <c r="BZ102" s="81"/>
      <c r="CA102" s="81"/>
      <c r="CB102" s="81"/>
      <c r="CC102" s="81"/>
      <c r="CD102" s="81"/>
      <c r="CE102" s="81"/>
      <c r="CF102" s="136"/>
      <c r="CG102" s="174"/>
      <c r="CH102" s="135"/>
      <c r="CI102" s="81"/>
      <c r="CJ102" s="81"/>
      <c r="CK102" s="81"/>
      <c r="CL102" s="81"/>
      <c r="CM102" s="81"/>
      <c r="CN102" s="81"/>
      <c r="CO102" s="81"/>
      <c r="CP102" s="81"/>
      <c r="CQ102" s="81"/>
      <c r="CR102" s="81"/>
      <c r="CS102" s="81"/>
      <c r="CT102" s="81"/>
      <c r="CU102" s="81"/>
      <c r="CV102" s="81"/>
      <c r="CW102" s="136"/>
      <c r="CX102" s="174"/>
      <c r="CY102" s="135"/>
      <c r="CZ102" s="81"/>
      <c r="DA102" s="81"/>
      <c r="DB102" s="81"/>
      <c r="DC102" s="81"/>
      <c r="DD102" s="81"/>
      <c r="DE102" s="81"/>
      <c r="DF102" s="81"/>
      <c r="DG102" s="81"/>
      <c r="DH102" s="81"/>
      <c r="DI102" s="81"/>
      <c r="DJ102" s="81"/>
      <c r="DK102" s="81"/>
      <c r="DL102" s="81"/>
      <c r="DM102" s="81"/>
      <c r="DN102" s="136"/>
      <c r="DO102" s="174"/>
      <c r="DP102" s="135"/>
      <c r="DQ102" s="81"/>
      <c r="DR102" s="81"/>
      <c r="DS102" s="81"/>
      <c r="DT102" s="81"/>
      <c r="DU102" s="81"/>
      <c r="DV102" s="81"/>
      <c r="DW102" s="81"/>
      <c r="DX102" s="81"/>
      <c r="DY102" s="81"/>
      <c r="DZ102" s="81"/>
      <c r="EA102" s="81"/>
      <c r="EB102" s="81"/>
      <c r="EC102" s="81"/>
      <c r="ED102" s="81"/>
      <c r="EE102" s="136"/>
      <c r="EF102" s="174"/>
    </row>
    <row r="103" spans="1:136">
      <c r="A103" s="135"/>
      <c r="B103" s="81"/>
      <c r="C103" s="81"/>
      <c r="D103" s="81"/>
      <c r="E103" s="81"/>
      <c r="F103" s="81"/>
      <c r="G103" s="81"/>
      <c r="H103" s="81"/>
      <c r="I103" s="81"/>
      <c r="J103" s="81"/>
      <c r="K103" s="81"/>
      <c r="L103" s="81"/>
      <c r="M103" s="81"/>
      <c r="N103" s="81"/>
      <c r="O103" s="81"/>
      <c r="P103" s="136"/>
      <c r="Q103" s="174"/>
      <c r="R103" s="135"/>
      <c r="S103" s="81"/>
      <c r="T103" s="81"/>
      <c r="U103" s="81"/>
      <c r="V103" s="81"/>
      <c r="W103" s="81"/>
      <c r="X103" s="81"/>
      <c r="Y103" s="81"/>
      <c r="Z103" s="81"/>
      <c r="AA103" s="81"/>
      <c r="AB103" s="81"/>
      <c r="AC103" s="81"/>
      <c r="AD103" s="81"/>
      <c r="AE103" s="81"/>
      <c r="AF103" s="81"/>
      <c r="AG103" s="136"/>
      <c r="AH103" s="174"/>
      <c r="AI103" s="135"/>
      <c r="AJ103" s="81"/>
      <c r="AK103" s="81"/>
      <c r="AL103" s="81"/>
      <c r="AM103" s="81"/>
      <c r="AN103" s="81"/>
      <c r="AO103" s="81"/>
      <c r="AP103" s="81"/>
      <c r="AQ103" s="81"/>
      <c r="AR103" s="81"/>
      <c r="AS103" s="81"/>
      <c r="AT103" s="81"/>
      <c r="AU103" s="81"/>
      <c r="AV103" s="81"/>
      <c r="AW103" s="81"/>
      <c r="AX103" s="136"/>
      <c r="AY103" s="174"/>
      <c r="AZ103" s="135"/>
      <c r="BA103" s="81"/>
      <c r="BB103" s="81"/>
      <c r="BC103" s="81"/>
      <c r="BD103" s="81"/>
      <c r="BE103" s="81"/>
      <c r="BF103" s="81"/>
      <c r="BG103" s="81"/>
      <c r="BH103" s="81"/>
      <c r="BI103" s="81"/>
      <c r="BJ103" s="81"/>
      <c r="BK103" s="81"/>
      <c r="BL103" s="81"/>
      <c r="BM103" s="81"/>
      <c r="BN103" s="81"/>
      <c r="BO103" s="136"/>
      <c r="BP103" s="174"/>
      <c r="BQ103" s="135"/>
      <c r="BR103" s="81"/>
      <c r="BS103" s="81"/>
      <c r="BT103" s="81"/>
      <c r="BU103" s="81"/>
      <c r="BV103" s="81"/>
      <c r="BW103" s="81"/>
      <c r="BX103" s="81"/>
      <c r="BY103" s="81"/>
      <c r="BZ103" s="81"/>
      <c r="CA103" s="81"/>
      <c r="CB103" s="81"/>
      <c r="CC103" s="81"/>
      <c r="CD103" s="81"/>
      <c r="CE103" s="81"/>
      <c r="CF103" s="136"/>
      <c r="CG103" s="174"/>
      <c r="CH103" s="135"/>
      <c r="CI103" s="81"/>
      <c r="CJ103" s="81"/>
      <c r="CK103" s="81"/>
      <c r="CL103" s="81"/>
      <c r="CM103" s="81"/>
      <c r="CN103" s="81"/>
      <c r="CO103" s="81"/>
      <c r="CP103" s="81"/>
      <c r="CQ103" s="81"/>
      <c r="CR103" s="81"/>
      <c r="CS103" s="81"/>
      <c r="CT103" s="81"/>
      <c r="CU103" s="81"/>
      <c r="CV103" s="81"/>
      <c r="CW103" s="136"/>
      <c r="CX103" s="174"/>
      <c r="CY103" s="135"/>
      <c r="CZ103" s="81"/>
      <c r="DA103" s="81"/>
      <c r="DB103" s="81"/>
      <c r="DC103" s="81"/>
      <c r="DD103" s="81"/>
      <c r="DE103" s="81"/>
      <c r="DF103" s="81"/>
      <c r="DG103" s="81"/>
      <c r="DH103" s="81"/>
      <c r="DI103" s="81"/>
      <c r="DJ103" s="81"/>
      <c r="DK103" s="81"/>
      <c r="DL103" s="81"/>
      <c r="DM103" s="81"/>
      <c r="DN103" s="136"/>
      <c r="DO103" s="174"/>
      <c r="DP103" s="135"/>
      <c r="DQ103" s="81"/>
      <c r="DR103" s="81"/>
      <c r="DS103" s="81"/>
      <c r="DT103" s="81"/>
      <c r="DU103" s="81"/>
      <c r="DV103" s="81"/>
      <c r="DW103" s="81"/>
      <c r="DX103" s="81"/>
      <c r="DY103" s="81"/>
      <c r="DZ103" s="81"/>
      <c r="EA103" s="81"/>
      <c r="EB103" s="81"/>
      <c r="EC103" s="81"/>
      <c r="ED103" s="81"/>
      <c r="EE103" s="136"/>
      <c r="EF103" s="174"/>
    </row>
    <row r="104" spans="1:136">
      <c r="A104" s="135"/>
      <c r="B104" s="81"/>
      <c r="C104" s="81"/>
      <c r="D104" s="81"/>
      <c r="E104" s="81"/>
      <c r="F104" s="81"/>
      <c r="G104" s="81"/>
      <c r="H104" s="81"/>
      <c r="I104" s="81"/>
      <c r="J104" s="81"/>
      <c r="K104" s="81"/>
      <c r="L104" s="81"/>
      <c r="M104" s="81"/>
      <c r="N104" s="81"/>
      <c r="O104" s="81"/>
      <c r="P104" s="136"/>
      <c r="Q104" s="174"/>
      <c r="R104" s="135"/>
      <c r="S104" s="81"/>
      <c r="T104" s="81"/>
      <c r="U104" s="81"/>
      <c r="V104" s="81"/>
      <c r="W104" s="81"/>
      <c r="X104" s="81"/>
      <c r="Y104" s="81"/>
      <c r="Z104" s="81"/>
      <c r="AA104" s="81"/>
      <c r="AB104" s="81"/>
      <c r="AC104" s="81"/>
      <c r="AD104" s="81"/>
      <c r="AE104" s="81"/>
      <c r="AF104" s="81"/>
      <c r="AG104" s="136"/>
      <c r="AH104" s="174"/>
      <c r="AI104" s="135"/>
      <c r="AJ104" s="81"/>
      <c r="AK104" s="81"/>
      <c r="AL104" s="81"/>
      <c r="AM104" s="81"/>
      <c r="AN104" s="81"/>
      <c r="AO104" s="81"/>
      <c r="AP104" s="81"/>
      <c r="AQ104" s="81"/>
      <c r="AR104" s="81"/>
      <c r="AS104" s="81"/>
      <c r="AT104" s="81"/>
      <c r="AU104" s="81"/>
      <c r="AV104" s="81"/>
      <c r="AW104" s="81"/>
      <c r="AX104" s="136"/>
      <c r="AY104" s="174"/>
      <c r="AZ104" s="135"/>
      <c r="BA104" s="81"/>
      <c r="BB104" s="81"/>
      <c r="BC104" s="81"/>
      <c r="BD104" s="81"/>
      <c r="BE104" s="81"/>
      <c r="BF104" s="81"/>
      <c r="BG104" s="81"/>
      <c r="BH104" s="81"/>
      <c r="BI104" s="81"/>
      <c r="BJ104" s="81"/>
      <c r="BK104" s="81"/>
      <c r="BL104" s="81"/>
      <c r="BM104" s="81"/>
      <c r="BN104" s="81"/>
      <c r="BO104" s="136"/>
      <c r="BP104" s="174"/>
      <c r="BQ104" s="135"/>
      <c r="BR104" s="81"/>
      <c r="BS104" s="81"/>
      <c r="BT104" s="81"/>
      <c r="BU104" s="81"/>
      <c r="BV104" s="81"/>
      <c r="BW104" s="81"/>
      <c r="BX104" s="81"/>
      <c r="BY104" s="81"/>
      <c r="BZ104" s="81"/>
      <c r="CA104" s="81"/>
      <c r="CB104" s="81"/>
      <c r="CC104" s="81"/>
      <c r="CD104" s="81"/>
      <c r="CE104" s="81"/>
      <c r="CF104" s="136"/>
      <c r="CG104" s="174"/>
      <c r="CH104" s="135"/>
      <c r="CI104" s="81"/>
      <c r="CJ104" s="81"/>
      <c r="CK104" s="81"/>
      <c r="CL104" s="81"/>
      <c r="CM104" s="81"/>
      <c r="CN104" s="81"/>
      <c r="CO104" s="81"/>
      <c r="CP104" s="81"/>
      <c r="CQ104" s="81"/>
      <c r="CR104" s="81"/>
      <c r="CS104" s="81"/>
      <c r="CT104" s="81"/>
      <c r="CU104" s="81"/>
      <c r="CV104" s="81"/>
      <c r="CW104" s="136"/>
      <c r="CX104" s="174"/>
      <c r="CY104" s="135"/>
      <c r="CZ104" s="81"/>
      <c r="DA104" s="81"/>
      <c r="DB104" s="81"/>
      <c r="DC104" s="81"/>
      <c r="DD104" s="81"/>
      <c r="DE104" s="81"/>
      <c r="DF104" s="81"/>
      <c r="DG104" s="81"/>
      <c r="DH104" s="81"/>
      <c r="DI104" s="81"/>
      <c r="DJ104" s="81"/>
      <c r="DK104" s="81"/>
      <c r="DL104" s="81"/>
      <c r="DM104" s="81"/>
      <c r="DN104" s="136"/>
      <c r="DO104" s="174"/>
      <c r="DP104" s="135"/>
      <c r="DQ104" s="81"/>
      <c r="DR104" s="81"/>
      <c r="DS104" s="81"/>
      <c r="DT104" s="81"/>
      <c r="DU104" s="81"/>
      <c r="DV104" s="81"/>
      <c r="DW104" s="81"/>
      <c r="DX104" s="81"/>
      <c r="DY104" s="81"/>
      <c r="DZ104" s="81"/>
      <c r="EA104" s="81"/>
      <c r="EB104" s="81"/>
      <c r="EC104" s="81"/>
      <c r="ED104" s="81"/>
      <c r="EE104" s="136"/>
      <c r="EF104" s="174"/>
    </row>
    <row r="105" spans="1:136">
      <c r="A105" s="135"/>
      <c r="B105" s="81"/>
      <c r="C105" s="81"/>
      <c r="D105" s="81"/>
      <c r="E105" s="81"/>
      <c r="F105" s="81"/>
      <c r="G105" s="81"/>
      <c r="H105" s="81"/>
      <c r="I105" s="81"/>
      <c r="J105" s="81"/>
      <c r="K105" s="81"/>
      <c r="L105" s="81"/>
      <c r="M105" s="81"/>
      <c r="N105" s="81"/>
      <c r="O105" s="81"/>
      <c r="P105" s="136"/>
      <c r="Q105" s="174"/>
      <c r="R105" s="135"/>
      <c r="S105" s="81"/>
      <c r="T105" s="81"/>
      <c r="U105" s="81"/>
      <c r="V105" s="81"/>
      <c r="W105" s="81"/>
      <c r="X105" s="81"/>
      <c r="Y105" s="81"/>
      <c r="Z105" s="81"/>
      <c r="AA105" s="81"/>
      <c r="AB105" s="81"/>
      <c r="AC105" s="81"/>
      <c r="AD105" s="81"/>
      <c r="AE105" s="81"/>
      <c r="AF105" s="81"/>
      <c r="AG105" s="136"/>
      <c r="AH105" s="174"/>
      <c r="AI105" s="135"/>
      <c r="AJ105" s="81"/>
      <c r="AK105" s="81"/>
      <c r="AL105" s="81"/>
      <c r="AM105" s="81"/>
      <c r="AN105" s="81"/>
      <c r="AO105" s="81"/>
      <c r="AP105" s="81"/>
      <c r="AQ105" s="81"/>
      <c r="AR105" s="81"/>
      <c r="AS105" s="81"/>
      <c r="AT105" s="81"/>
      <c r="AU105" s="81"/>
      <c r="AV105" s="81"/>
      <c r="AW105" s="81"/>
      <c r="AX105" s="136"/>
      <c r="AY105" s="174"/>
      <c r="AZ105" s="135"/>
      <c r="BA105" s="81"/>
      <c r="BB105" s="81"/>
      <c r="BC105" s="81"/>
      <c r="BD105" s="81"/>
      <c r="BE105" s="81"/>
      <c r="BF105" s="81"/>
      <c r="BG105" s="81"/>
      <c r="BH105" s="81"/>
      <c r="BI105" s="81"/>
      <c r="BJ105" s="81"/>
      <c r="BK105" s="81"/>
      <c r="BL105" s="81"/>
      <c r="BM105" s="81"/>
      <c r="BN105" s="81"/>
      <c r="BO105" s="136"/>
      <c r="BP105" s="174"/>
      <c r="BQ105" s="135"/>
      <c r="BR105" s="81"/>
      <c r="BS105" s="81"/>
      <c r="BT105" s="81"/>
      <c r="BU105" s="81"/>
      <c r="BV105" s="81"/>
      <c r="BW105" s="81"/>
      <c r="BX105" s="81"/>
      <c r="BY105" s="81"/>
      <c r="BZ105" s="81"/>
      <c r="CA105" s="81"/>
      <c r="CB105" s="81"/>
      <c r="CC105" s="81"/>
      <c r="CD105" s="81"/>
      <c r="CE105" s="81"/>
      <c r="CF105" s="136"/>
      <c r="CG105" s="174"/>
      <c r="CH105" s="135"/>
      <c r="CI105" s="81"/>
      <c r="CJ105" s="81"/>
      <c r="CK105" s="81"/>
      <c r="CL105" s="81"/>
      <c r="CM105" s="81"/>
      <c r="CN105" s="81"/>
      <c r="CO105" s="81"/>
      <c r="CP105" s="81"/>
      <c r="CQ105" s="81"/>
      <c r="CR105" s="81"/>
      <c r="CS105" s="81"/>
      <c r="CT105" s="81"/>
      <c r="CU105" s="81"/>
      <c r="CV105" s="81"/>
      <c r="CW105" s="136"/>
      <c r="CX105" s="174"/>
      <c r="CY105" s="135"/>
      <c r="CZ105" s="81"/>
      <c r="DA105" s="81"/>
      <c r="DB105" s="81"/>
      <c r="DC105" s="81"/>
      <c r="DD105" s="81"/>
      <c r="DE105" s="81"/>
      <c r="DF105" s="81"/>
      <c r="DG105" s="81"/>
      <c r="DH105" s="81"/>
      <c r="DI105" s="81"/>
      <c r="DJ105" s="81"/>
      <c r="DK105" s="81"/>
      <c r="DL105" s="81"/>
      <c r="DM105" s="81"/>
      <c r="DN105" s="136"/>
      <c r="DO105" s="174"/>
      <c r="DP105" s="135"/>
      <c r="DQ105" s="81"/>
      <c r="DR105" s="81"/>
      <c r="DS105" s="81"/>
      <c r="DT105" s="81"/>
      <c r="DU105" s="81"/>
      <c r="DV105" s="81"/>
      <c r="DW105" s="81"/>
      <c r="DX105" s="81"/>
      <c r="DY105" s="81"/>
      <c r="DZ105" s="81"/>
      <c r="EA105" s="81"/>
      <c r="EB105" s="81"/>
      <c r="EC105" s="81"/>
      <c r="ED105" s="81"/>
      <c r="EE105" s="136"/>
      <c r="EF105" s="174"/>
    </row>
    <row r="106" spans="1:136">
      <c r="A106" s="135"/>
      <c r="B106" s="81"/>
      <c r="C106" s="81"/>
      <c r="D106" s="81"/>
      <c r="E106" s="81"/>
      <c r="F106" s="81"/>
      <c r="G106" s="81"/>
      <c r="H106" s="81"/>
      <c r="I106" s="81"/>
      <c r="J106" s="81"/>
      <c r="K106" s="81"/>
      <c r="L106" s="81"/>
      <c r="M106" s="81"/>
      <c r="N106" s="81"/>
      <c r="O106" s="81"/>
      <c r="P106" s="136"/>
      <c r="Q106" s="174"/>
      <c r="R106" s="135"/>
      <c r="S106" s="81"/>
      <c r="T106" s="81"/>
      <c r="U106" s="81"/>
      <c r="V106" s="81"/>
      <c r="W106" s="81"/>
      <c r="X106" s="81"/>
      <c r="Y106" s="81"/>
      <c r="Z106" s="81"/>
      <c r="AA106" s="81"/>
      <c r="AB106" s="81"/>
      <c r="AC106" s="81"/>
      <c r="AD106" s="81"/>
      <c r="AE106" s="81"/>
      <c r="AF106" s="81"/>
      <c r="AG106" s="136"/>
      <c r="AH106" s="174"/>
      <c r="AI106" s="135"/>
      <c r="AJ106" s="81"/>
      <c r="AK106" s="81"/>
      <c r="AL106" s="81"/>
      <c r="AM106" s="81"/>
      <c r="AN106" s="81"/>
      <c r="AO106" s="81"/>
      <c r="AP106" s="81"/>
      <c r="AQ106" s="81"/>
      <c r="AR106" s="81"/>
      <c r="AS106" s="81"/>
      <c r="AT106" s="81"/>
      <c r="AU106" s="81"/>
      <c r="AV106" s="81"/>
      <c r="AW106" s="81"/>
      <c r="AX106" s="136"/>
      <c r="AY106" s="174"/>
      <c r="AZ106" s="135"/>
      <c r="BA106" s="81"/>
      <c r="BB106" s="81"/>
      <c r="BC106" s="81"/>
      <c r="BD106" s="81"/>
      <c r="BE106" s="81"/>
      <c r="BF106" s="81"/>
      <c r="BG106" s="81"/>
      <c r="BH106" s="81"/>
      <c r="BI106" s="81"/>
      <c r="BJ106" s="81"/>
      <c r="BK106" s="81"/>
      <c r="BL106" s="81"/>
      <c r="BM106" s="81"/>
      <c r="BN106" s="81"/>
      <c r="BO106" s="136"/>
      <c r="BP106" s="174"/>
      <c r="BQ106" s="135"/>
      <c r="BR106" s="81"/>
      <c r="BS106" s="81"/>
      <c r="BT106" s="81"/>
      <c r="BU106" s="81"/>
      <c r="BV106" s="81"/>
      <c r="BW106" s="81"/>
      <c r="BX106" s="81"/>
      <c r="BY106" s="81"/>
      <c r="BZ106" s="81"/>
      <c r="CA106" s="81"/>
      <c r="CB106" s="81"/>
      <c r="CC106" s="81"/>
      <c r="CD106" s="81"/>
      <c r="CE106" s="81"/>
      <c r="CF106" s="136"/>
      <c r="CG106" s="174"/>
      <c r="CH106" s="135"/>
      <c r="CI106" s="81"/>
      <c r="CJ106" s="81"/>
      <c r="CK106" s="81"/>
      <c r="CL106" s="81"/>
      <c r="CM106" s="81"/>
      <c r="CN106" s="81"/>
      <c r="CO106" s="81"/>
      <c r="CP106" s="81"/>
      <c r="CQ106" s="81"/>
      <c r="CR106" s="81"/>
      <c r="CS106" s="81"/>
      <c r="CT106" s="81"/>
      <c r="CU106" s="81"/>
      <c r="CV106" s="81"/>
      <c r="CW106" s="136"/>
      <c r="CX106" s="174"/>
      <c r="CY106" s="135"/>
      <c r="CZ106" s="81"/>
      <c r="DA106" s="81"/>
      <c r="DB106" s="81"/>
      <c r="DC106" s="81"/>
      <c r="DD106" s="81"/>
      <c r="DE106" s="81"/>
      <c r="DF106" s="81"/>
      <c r="DG106" s="81"/>
      <c r="DH106" s="81"/>
      <c r="DI106" s="81"/>
      <c r="DJ106" s="81"/>
      <c r="DK106" s="81"/>
      <c r="DL106" s="81"/>
      <c r="DM106" s="81"/>
      <c r="DN106" s="136"/>
      <c r="DO106" s="174"/>
      <c r="DP106" s="135"/>
      <c r="DQ106" s="81"/>
      <c r="DR106" s="81"/>
      <c r="DS106" s="81"/>
      <c r="DT106" s="81"/>
      <c r="DU106" s="81"/>
      <c r="DV106" s="81"/>
      <c r="DW106" s="81"/>
      <c r="DX106" s="81"/>
      <c r="DY106" s="81"/>
      <c r="DZ106" s="81"/>
      <c r="EA106" s="81"/>
      <c r="EB106" s="81"/>
      <c r="EC106" s="81"/>
      <c r="ED106" s="81"/>
      <c r="EE106" s="136"/>
      <c r="EF106" s="174"/>
    </row>
    <row r="107" spans="1:136">
      <c r="A107" s="135"/>
      <c r="B107" s="81"/>
      <c r="C107" s="81"/>
      <c r="D107" s="81"/>
      <c r="E107" s="81"/>
      <c r="F107" s="81"/>
      <c r="G107" s="81"/>
      <c r="H107" s="81"/>
      <c r="I107" s="81"/>
      <c r="J107" s="81"/>
      <c r="K107" s="81"/>
      <c r="L107" s="81"/>
      <c r="M107" s="81"/>
      <c r="N107" s="81"/>
      <c r="O107" s="81"/>
      <c r="P107" s="136"/>
      <c r="Q107" s="174"/>
      <c r="R107" s="135"/>
      <c r="S107" s="81"/>
      <c r="T107" s="81"/>
      <c r="U107" s="81"/>
      <c r="V107" s="81"/>
      <c r="W107" s="81"/>
      <c r="X107" s="81"/>
      <c r="Y107" s="81"/>
      <c r="Z107" s="81"/>
      <c r="AA107" s="81"/>
      <c r="AB107" s="81"/>
      <c r="AC107" s="81"/>
      <c r="AD107" s="81"/>
      <c r="AE107" s="81"/>
      <c r="AF107" s="81"/>
      <c r="AG107" s="136"/>
      <c r="AH107" s="174"/>
      <c r="AI107" s="135"/>
      <c r="AJ107" s="81"/>
      <c r="AK107" s="81"/>
      <c r="AL107" s="81"/>
      <c r="AM107" s="81"/>
      <c r="AN107" s="81"/>
      <c r="AO107" s="81"/>
      <c r="AP107" s="81"/>
      <c r="AQ107" s="81"/>
      <c r="AR107" s="81"/>
      <c r="AS107" s="81"/>
      <c r="AT107" s="81"/>
      <c r="AU107" s="81"/>
      <c r="AV107" s="81"/>
      <c r="AW107" s="81"/>
      <c r="AX107" s="136"/>
      <c r="AY107" s="174"/>
      <c r="AZ107" s="135"/>
      <c r="BA107" s="81"/>
      <c r="BB107" s="81"/>
      <c r="BC107" s="81"/>
      <c r="BD107" s="81"/>
      <c r="BE107" s="81"/>
      <c r="BF107" s="81"/>
      <c r="BG107" s="81"/>
      <c r="BH107" s="81"/>
      <c r="BI107" s="81"/>
      <c r="BJ107" s="81"/>
      <c r="BK107" s="81"/>
      <c r="BL107" s="81"/>
      <c r="BM107" s="81"/>
      <c r="BN107" s="81"/>
      <c r="BO107" s="136"/>
      <c r="BP107" s="174"/>
      <c r="BQ107" s="135"/>
      <c r="BR107" s="81"/>
      <c r="BS107" s="81"/>
      <c r="BT107" s="81"/>
      <c r="BU107" s="81"/>
      <c r="BV107" s="81"/>
      <c r="BW107" s="81"/>
      <c r="BX107" s="81"/>
      <c r="BY107" s="81"/>
      <c r="BZ107" s="81"/>
      <c r="CA107" s="81"/>
      <c r="CB107" s="81"/>
      <c r="CC107" s="81"/>
      <c r="CD107" s="81"/>
      <c r="CE107" s="81"/>
      <c r="CF107" s="136"/>
      <c r="CG107" s="174"/>
      <c r="CH107" s="135"/>
      <c r="CI107" s="81"/>
      <c r="CJ107" s="81"/>
      <c r="CK107" s="81"/>
      <c r="CL107" s="81"/>
      <c r="CM107" s="81"/>
      <c r="CN107" s="81"/>
      <c r="CO107" s="81"/>
      <c r="CP107" s="81"/>
      <c r="CQ107" s="81"/>
      <c r="CR107" s="81"/>
      <c r="CS107" s="81"/>
      <c r="CT107" s="81"/>
      <c r="CU107" s="81"/>
      <c r="CV107" s="81"/>
      <c r="CW107" s="136"/>
      <c r="CX107" s="174"/>
      <c r="CY107" s="135"/>
      <c r="CZ107" s="81"/>
      <c r="DA107" s="81"/>
      <c r="DB107" s="81"/>
      <c r="DC107" s="81"/>
      <c r="DD107" s="81"/>
      <c r="DE107" s="81"/>
      <c r="DF107" s="81"/>
      <c r="DG107" s="81"/>
      <c r="DH107" s="81"/>
      <c r="DI107" s="81"/>
      <c r="DJ107" s="81"/>
      <c r="DK107" s="81"/>
      <c r="DL107" s="81"/>
      <c r="DM107" s="81"/>
      <c r="DN107" s="136"/>
      <c r="DO107" s="174"/>
      <c r="DP107" s="135"/>
      <c r="DQ107" s="81"/>
      <c r="DR107" s="81"/>
      <c r="DS107" s="81"/>
      <c r="DT107" s="81"/>
      <c r="DU107" s="81"/>
      <c r="DV107" s="81"/>
      <c r="DW107" s="81"/>
      <c r="DX107" s="81"/>
      <c r="DY107" s="81"/>
      <c r="DZ107" s="81"/>
      <c r="EA107" s="81"/>
      <c r="EB107" s="81"/>
      <c r="EC107" s="81"/>
      <c r="ED107" s="81"/>
      <c r="EE107" s="136"/>
      <c r="EF107" s="174"/>
    </row>
    <row r="108" spans="1:136">
      <c r="A108" s="135"/>
      <c r="B108" s="81"/>
      <c r="C108" s="81"/>
      <c r="D108" s="81"/>
      <c r="E108" s="81"/>
      <c r="F108" s="81"/>
      <c r="G108" s="81"/>
      <c r="H108" s="81"/>
      <c r="I108" s="81"/>
      <c r="J108" s="81"/>
      <c r="K108" s="81"/>
      <c r="L108" s="81"/>
      <c r="M108" s="81"/>
      <c r="N108" s="81"/>
      <c r="O108" s="81"/>
      <c r="P108" s="136"/>
      <c r="Q108" s="174"/>
      <c r="R108" s="135"/>
      <c r="S108" s="81"/>
      <c r="T108" s="81"/>
      <c r="U108" s="81"/>
      <c r="V108" s="81"/>
      <c r="W108" s="81"/>
      <c r="X108" s="81"/>
      <c r="Y108" s="81"/>
      <c r="Z108" s="81"/>
      <c r="AA108" s="81"/>
      <c r="AB108" s="81"/>
      <c r="AC108" s="81"/>
      <c r="AD108" s="81"/>
      <c r="AE108" s="81"/>
      <c r="AF108" s="81"/>
      <c r="AG108" s="136"/>
      <c r="AH108" s="174"/>
      <c r="AI108" s="135"/>
      <c r="AJ108" s="81"/>
      <c r="AK108" s="81"/>
      <c r="AL108" s="81"/>
      <c r="AM108" s="81"/>
      <c r="AN108" s="81"/>
      <c r="AO108" s="81"/>
      <c r="AP108" s="81"/>
      <c r="AQ108" s="81"/>
      <c r="AR108" s="81"/>
      <c r="AS108" s="81"/>
      <c r="AT108" s="81"/>
      <c r="AU108" s="81"/>
      <c r="AV108" s="81"/>
      <c r="AW108" s="81"/>
      <c r="AX108" s="136"/>
      <c r="AY108" s="174"/>
      <c r="AZ108" s="135"/>
      <c r="BA108" s="81"/>
      <c r="BB108" s="81"/>
      <c r="BC108" s="81"/>
      <c r="BD108" s="81"/>
      <c r="BE108" s="81"/>
      <c r="BF108" s="81"/>
      <c r="BG108" s="81"/>
      <c r="BH108" s="81"/>
      <c r="BI108" s="81"/>
      <c r="BJ108" s="81"/>
      <c r="BK108" s="81"/>
      <c r="BL108" s="81"/>
      <c r="BM108" s="81"/>
      <c r="BN108" s="81"/>
      <c r="BO108" s="136"/>
      <c r="BP108" s="174"/>
      <c r="BQ108" s="135"/>
      <c r="BR108" s="81"/>
      <c r="BS108" s="81"/>
      <c r="BT108" s="81"/>
      <c r="BU108" s="81"/>
      <c r="BV108" s="81"/>
      <c r="BW108" s="81"/>
      <c r="BX108" s="81"/>
      <c r="BY108" s="81"/>
      <c r="BZ108" s="81"/>
      <c r="CA108" s="81"/>
      <c r="CB108" s="81"/>
      <c r="CC108" s="81"/>
      <c r="CD108" s="81"/>
      <c r="CE108" s="81"/>
      <c r="CF108" s="136"/>
      <c r="CG108" s="174"/>
      <c r="CH108" s="135"/>
      <c r="CI108" s="81"/>
      <c r="CJ108" s="81"/>
      <c r="CK108" s="81"/>
      <c r="CL108" s="81"/>
      <c r="CM108" s="81"/>
      <c r="CN108" s="81"/>
      <c r="CO108" s="81"/>
      <c r="CP108" s="81"/>
      <c r="CQ108" s="81"/>
      <c r="CR108" s="81"/>
      <c r="CS108" s="81"/>
      <c r="CT108" s="81"/>
      <c r="CU108" s="81"/>
      <c r="CV108" s="81"/>
      <c r="CW108" s="136"/>
      <c r="CX108" s="174"/>
      <c r="CY108" s="135"/>
      <c r="CZ108" s="81"/>
      <c r="DA108" s="81"/>
      <c r="DB108" s="81"/>
      <c r="DC108" s="81"/>
      <c r="DD108" s="81"/>
      <c r="DE108" s="81"/>
      <c r="DF108" s="81"/>
      <c r="DG108" s="81"/>
      <c r="DH108" s="81"/>
      <c r="DI108" s="81"/>
      <c r="DJ108" s="81"/>
      <c r="DK108" s="81"/>
      <c r="DL108" s="81"/>
      <c r="DM108" s="81"/>
      <c r="DN108" s="136"/>
      <c r="DO108" s="174"/>
      <c r="DP108" s="135"/>
      <c r="DQ108" s="81"/>
      <c r="DR108" s="81"/>
      <c r="DS108" s="81"/>
      <c r="DT108" s="81"/>
      <c r="DU108" s="81"/>
      <c r="DV108" s="81"/>
      <c r="DW108" s="81"/>
      <c r="DX108" s="81"/>
      <c r="DY108" s="81"/>
      <c r="DZ108" s="81"/>
      <c r="EA108" s="81"/>
      <c r="EB108" s="81"/>
      <c r="EC108" s="81"/>
      <c r="ED108" s="81"/>
      <c r="EE108" s="136"/>
      <c r="EF108" s="174"/>
    </row>
    <row r="109" spans="1:136">
      <c r="A109" s="135"/>
      <c r="B109" s="81"/>
      <c r="C109" s="81"/>
      <c r="D109" s="81"/>
      <c r="E109" s="81"/>
      <c r="F109" s="81"/>
      <c r="G109" s="81"/>
      <c r="H109" s="81"/>
      <c r="I109" s="81"/>
      <c r="J109" s="81"/>
      <c r="K109" s="81"/>
      <c r="L109" s="81"/>
      <c r="M109" s="81"/>
      <c r="N109" s="81"/>
      <c r="O109" s="81"/>
      <c r="P109" s="136"/>
      <c r="Q109" s="174"/>
      <c r="R109" s="135"/>
      <c r="S109" s="81"/>
      <c r="T109" s="81"/>
      <c r="U109" s="81"/>
      <c r="V109" s="81"/>
      <c r="W109" s="81"/>
      <c r="X109" s="81"/>
      <c r="Y109" s="81"/>
      <c r="Z109" s="81"/>
      <c r="AA109" s="81"/>
      <c r="AB109" s="81"/>
      <c r="AC109" s="81"/>
      <c r="AD109" s="81"/>
      <c r="AE109" s="81"/>
      <c r="AF109" s="81"/>
      <c r="AG109" s="136"/>
      <c r="AH109" s="174"/>
      <c r="AI109" s="135"/>
      <c r="AJ109" s="81"/>
      <c r="AK109" s="81"/>
      <c r="AL109" s="81"/>
      <c r="AM109" s="81"/>
      <c r="AN109" s="81"/>
      <c r="AO109" s="81"/>
      <c r="AP109" s="81"/>
      <c r="AQ109" s="81"/>
      <c r="AR109" s="81"/>
      <c r="AS109" s="81"/>
      <c r="AT109" s="81"/>
      <c r="AU109" s="81"/>
      <c r="AV109" s="81"/>
      <c r="AW109" s="81"/>
      <c r="AX109" s="136"/>
      <c r="AY109" s="174"/>
      <c r="AZ109" s="135"/>
      <c r="BA109" s="81"/>
      <c r="BB109" s="81"/>
      <c r="BC109" s="81"/>
      <c r="BD109" s="81"/>
      <c r="BE109" s="81"/>
      <c r="BF109" s="81"/>
      <c r="BG109" s="81"/>
      <c r="BH109" s="81"/>
      <c r="BI109" s="81"/>
      <c r="BJ109" s="81"/>
      <c r="BK109" s="81"/>
      <c r="BL109" s="81"/>
      <c r="BM109" s="81"/>
      <c r="BN109" s="81"/>
      <c r="BO109" s="136"/>
      <c r="BP109" s="174"/>
      <c r="BQ109" s="135"/>
      <c r="BR109" s="81"/>
      <c r="BS109" s="81"/>
      <c r="BT109" s="81"/>
      <c r="BU109" s="81"/>
      <c r="BV109" s="81"/>
      <c r="BW109" s="81"/>
      <c r="BX109" s="81"/>
      <c r="BY109" s="81"/>
      <c r="BZ109" s="81"/>
      <c r="CA109" s="81"/>
      <c r="CB109" s="81"/>
      <c r="CC109" s="81"/>
      <c r="CD109" s="81"/>
      <c r="CE109" s="81"/>
      <c r="CF109" s="136"/>
      <c r="CG109" s="174"/>
      <c r="CH109" s="135"/>
      <c r="CI109" s="81"/>
      <c r="CJ109" s="81"/>
      <c r="CK109" s="81"/>
      <c r="CL109" s="81"/>
      <c r="CM109" s="81"/>
      <c r="CN109" s="81"/>
      <c r="CO109" s="81"/>
      <c r="CP109" s="81"/>
      <c r="CQ109" s="81"/>
      <c r="CR109" s="81"/>
      <c r="CS109" s="81"/>
      <c r="CT109" s="81"/>
      <c r="CU109" s="81"/>
      <c r="CV109" s="81"/>
      <c r="CW109" s="136"/>
      <c r="CX109" s="174"/>
      <c r="CY109" s="135"/>
      <c r="CZ109" s="81"/>
      <c r="DA109" s="81"/>
      <c r="DB109" s="81"/>
      <c r="DC109" s="81"/>
      <c r="DD109" s="81"/>
      <c r="DE109" s="81"/>
      <c r="DF109" s="81"/>
      <c r="DG109" s="81"/>
      <c r="DH109" s="81"/>
      <c r="DI109" s="81"/>
      <c r="DJ109" s="81"/>
      <c r="DK109" s="81"/>
      <c r="DL109" s="81"/>
      <c r="DM109" s="81"/>
      <c r="DN109" s="136"/>
      <c r="DO109" s="174"/>
      <c r="DP109" s="135"/>
      <c r="DQ109" s="81"/>
      <c r="DR109" s="81"/>
      <c r="DS109" s="81"/>
      <c r="DT109" s="81"/>
      <c r="DU109" s="81"/>
      <c r="DV109" s="81"/>
      <c r="DW109" s="81"/>
      <c r="DX109" s="81"/>
      <c r="DY109" s="81"/>
      <c r="DZ109" s="81"/>
      <c r="EA109" s="81"/>
      <c r="EB109" s="81"/>
      <c r="EC109" s="81"/>
      <c r="ED109" s="81"/>
      <c r="EE109" s="136"/>
      <c r="EF109" s="174"/>
    </row>
    <row r="110" spans="1:136">
      <c r="A110" s="135"/>
      <c r="B110" s="81"/>
      <c r="C110" s="81"/>
      <c r="D110" s="81"/>
      <c r="E110" s="81"/>
      <c r="F110" s="81"/>
      <c r="G110" s="81"/>
      <c r="H110" s="81"/>
      <c r="I110" s="81"/>
      <c r="J110" s="81"/>
      <c r="K110" s="81"/>
      <c r="L110" s="81"/>
      <c r="M110" s="81"/>
      <c r="N110" s="81"/>
      <c r="O110" s="81"/>
      <c r="P110" s="136"/>
      <c r="Q110" s="174"/>
      <c r="R110" s="135"/>
      <c r="S110" s="81"/>
      <c r="T110" s="81"/>
      <c r="U110" s="81"/>
      <c r="V110" s="81"/>
      <c r="W110" s="81"/>
      <c r="X110" s="81"/>
      <c r="Y110" s="81"/>
      <c r="Z110" s="81"/>
      <c r="AA110" s="81"/>
      <c r="AB110" s="81"/>
      <c r="AC110" s="81"/>
      <c r="AD110" s="81"/>
      <c r="AE110" s="81"/>
      <c r="AF110" s="81"/>
      <c r="AG110" s="136"/>
      <c r="AH110" s="174"/>
      <c r="AI110" s="135"/>
      <c r="AJ110" s="81"/>
      <c r="AK110" s="81"/>
      <c r="AL110" s="81"/>
      <c r="AM110" s="81"/>
      <c r="AN110" s="81"/>
      <c r="AO110" s="81"/>
      <c r="AP110" s="81"/>
      <c r="AQ110" s="81"/>
      <c r="AR110" s="81"/>
      <c r="AS110" s="81"/>
      <c r="AT110" s="81"/>
      <c r="AU110" s="81"/>
      <c r="AV110" s="81"/>
      <c r="AW110" s="81"/>
      <c r="AX110" s="136"/>
      <c r="AY110" s="174"/>
      <c r="AZ110" s="135"/>
      <c r="BA110" s="81"/>
      <c r="BB110" s="81"/>
      <c r="BC110" s="81"/>
      <c r="BD110" s="81"/>
      <c r="BE110" s="81"/>
      <c r="BF110" s="81"/>
      <c r="BG110" s="81"/>
      <c r="BH110" s="81"/>
      <c r="BI110" s="81"/>
      <c r="BJ110" s="81"/>
      <c r="BK110" s="81"/>
      <c r="BL110" s="81"/>
      <c r="BM110" s="81"/>
      <c r="BN110" s="81"/>
      <c r="BO110" s="136"/>
      <c r="BP110" s="174"/>
      <c r="BQ110" s="135"/>
      <c r="BR110" s="81"/>
      <c r="BS110" s="81"/>
      <c r="BT110" s="81"/>
      <c r="BU110" s="81"/>
      <c r="BV110" s="81"/>
      <c r="BW110" s="81"/>
      <c r="BX110" s="81"/>
      <c r="BY110" s="81"/>
      <c r="BZ110" s="81"/>
      <c r="CA110" s="81"/>
      <c r="CB110" s="81"/>
      <c r="CC110" s="81"/>
      <c r="CD110" s="81"/>
      <c r="CE110" s="81"/>
      <c r="CF110" s="136"/>
      <c r="CG110" s="174"/>
      <c r="CH110" s="135"/>
      <c r="CI110" s="81"/>
      <c r="CJ110" s="81"/>
      <c r="CK110" s="81"/>
      <c r="CL110" s="81"/>
      <c r="CM110" s="81"/>
      <c r="CN110" s="81"/>
      <c r="CO110" s="81"/>
      <c r="CP110" s="81"/>
      <c r="CQ110" s="81"/>
      <c r="CR110" s="81"/>
      <c r="CS110" s="81"/>
      <c r="CT110" s="81"/>
      <c r="CU110" s="81"/>
      <c r="CV110" s="81"/>
      <c r="CW110" s="136"/>
      <c r="CX110" s="174"/>
      <c r="CY110" s="135"/>
      <c r="CZ110" s="81"/>
      <c r="DA110" s="81"/>
      <c r="DB110" s="81"/>
      <c r="DC110" s="81"/>
      <c r="DD110" s="81"/>
      <c r="DE110" s="81"/>
      <c r="DF110" s="81"/>
      <c r="DG110" s="81"/>
      <c r="DH110" s="81"/>
      <c r="DI110" s="81"/>
      <c r="DJ110" s="81"/>
      <c r="DK110" s="81"/>
      <c r="DL110" s="81"/>
      <c r="DM110" s="81"/>
      <c r="DN110" s="136"/>
      <c r="DO110" s="174"/>
      <c r="DP110" s="135"/>
      <c r="DQ110" s="81"/>
      <c r="DR110" s="81"/>
      <c r="DS110" s="81"/>
      <c r="DT110" s="81"/>
      <c r="DU110" s="81"/>
      <c r="DV110" s="81"/>
      <c r="DW110" s="81"/>
      <c r="DX110" s="81"/>
      <c r="DY110" s="81"/>
      <c r="DZ110" s="81"/>
      <c r="EA110" s="81"/>
      <c r="EB110" s="81"/>
      <c r="EC110" s="81"/>
      <c r="ED110" s="81"/>
      <c r="EE110" s="136"/>
      <c r="EF110" s="174"/>
    </row>
    <row r="111" spans="1:136">
      <c r="A111" s="135"/>
      <c r="B111" s="81"/>
      <c r="C111" s="81"/>
      <c r="D111" s="81"/>
      <c r="E111" s="81"/>
      <c r="F111" s="81"/>
      <c r="G111" s="81"/>
      <c r="H111" s="81"/>
      <c r="I111" s="81"/>
      <c r="J111" s="81"/>
      <c r="K111" s="81"/>
      <c r="L111" s="81"/>
      <c r="M111" s="81"/>
      <c r="N111" s="81"/>
      <c r="O111" s="81"/>
      <c r="P111" s="136"/>
      <c r="Q111" s="174"/>
      <c r="R111" s="135"/>
      <c r="S111" s="81"/>
      <c r="T111" s="81"/>
      <c r="U111" s="81"/>
      <c r="V111" s="81"/>
      <c r="W111" s="81"/>
      <c r="X111" s="81"/>
      <c r="Y111" s="81"/>
      <c r="Z111" s="81"/>
      <c r="AA111" s="81"/>
      <c r="AB111" s="81"/>
      <c r="AC111" s="81"/>
      <c r="AD111" s="81"/>
      <c r="AE111" s="81"/>
      <c r="AF111" s="81"/>
      <c r="AG111" s="136"/>
      <c r="AH111" s="174"/>
      <c r="AI111" s="135"/>
      <c r="AJ111" s="81"/>
      <c r="AK111" s="81"/>
      <c r="AL111" s="81"/>
      <c r="AM111" s="81"/>
      <c r="AN111" s="81"/>
      <c r="AO111" s="81"/>
      <c r="AP111" s="81"/>
      <c r="AQ111" s="81"/>
      <c r="AR111" s="81"/>
      <c r="AS111" s="81"/>
      <c r="AT111" s="81"/>
      <c r="AU111" s="81"/>
      <c r="AV111" s="81"/>
      <c r="AW111" s="81"/>
      <c r="AX111" s="136"/>
      <c r="AY111" s="174"/>
      <c r="AZ111" s="135"/>
      <c r="BA111" s="81"/>
      <c r="BB111" s="81"/>
      <c r="BC111" s="81"/>
      <c r="BD111" s="81"/>
      <c r="BE111" s="81"/>
      <c r="BF111" s="81"/>
      <c r="BG111" s="81"/>
      <c r="BH111" s="81"/>
      <c r="BI111" s="81"/>
      <c r="BJ111" s="81"/>
      <c r="BK111" s="81"/>
      <c r="BL111" s="81"/>
      <c r="BM111" s="81"/>
      <c r="BN111" s="81"/>
      <c r="BO111" s="136"/>
      <c r="BP111" s="174"/>
      <c r="BQ111" s="135"/>
      <c r="BR111" s="81"/>
      <c r="BS111" s="81"/>
      <c r="BT111" s="81"/>
      <c r="BU111" s="81"/>
      <c r="BV111" s="81"/>
      <c r="BW111" s="81"/>
      <c r="BX111" s="81"/>
      <c r="BY111" s="81"/>
      <c r="BZ111" s="81"/>
      <c r="CA111" s="81"/>
      <c r="CB111" s="81"/>
      <c r="CC111" s="81"/>
      <c r="CD111" s="81"/>
      <c r="CE111" s="81"/>
      <c r="CF111" s="136"/>
      <c r="CG111" s="174"/>
      <c r="CH111" s="135"/>
      <c r="CI111" s="81"/>
      <c r="CJ111" s="81"/>
      <c r="CK111" s="81"/>
      <c r="CL111" s="81"/>
      <c r="CM111" s="81"/>
      <c r="CN111" s="81"/>
      <c r="CO111" s="81"/>
      <c r="CP111" s="81"/>
      <c r="CQ111" s="81"/>
      <c r="CR111" s="81"/>
      <c r="CS111" s="81"/>
      <c r="CT111" s="81"/>
      <c r="CU111" s="81"/>
      <c r="CV111" s="81"/>
      <c r="CW111" s="136"/>
      <c r="CX111" s="174"/>
      <c r="CY111" s="135"/>
      <c r="CZ111" s="81"/>
      <c r="DA111" s="81"/>
      <c r="DB111" s="81"/>
      <c r="DC111" s="81"/>
      <c r="DD111" s="81"/>
      <c r="DE111" s="81"/>
      <c r="DF111" s="81"/>
      <c r="DG111" s="81"/>
      <c r="DH111" s="81"/>
      <c r="DI111" s="81"/>
      <c r="DJ111" s="81"/>
      <c r="DK111" s="81"/>
      <c r="DL111" s="81"/>
      <c r="DM111" s="81"/>
      <c r="DN111" s="136"/>
      <c r="DO111" s="174"/>
      <c r="DP111" s="135"/>
      <c r="DQ111" s="81"/>
      <c r="DR111" s="81"/>
      <c r="DS111" s="81"/>
      <c r="DT111" s="81"/>
      <c r="DU111" s="81"/>
      <c r="DV111" s="81"/>
      <c r="DW111" s="81"/>
      <c r="DX111" s="81"/>
      <c r="DY111" s="81"/>
      <c r="DZ111" s="81"/>
      <c r="EA111" s="81"/>
      <c r="EB111" s="81"/>
      <c r="EC111" s="81"/>
      <c r="ED111" s="81"/>
      <c r="EE111" s="136"/>
      <c r="EF111" s="174"/>
    </row>
    <row r="112" spans="1:136">
      <c r="A112" s="135"/>
      <c r="B112" s="81"/>
      <c r="C112" s="81"/>
      <c r="D112" s="81"/>
      <c r="E112" s="81"/>
      <c r="F112" s="81"/>
      <c r="G112" s="81"/>
      <c r="H112" s="81"/>
      <c r="I112" s="81"/>
      <c r="J112" s="81"/>
      <c r="K112" s="81"/>
      <c r="L112" s="81"/>
      <c r="M112" s="81"/>
      <c r="N112" s="81"/>
      <c r="O112" s="81"/>
      <c r="P112" s="136"/>
      <c r="Q112" s="174"/>
      <c r="R112" s="135"/>
      <c r="S112" s="81"/>
      <c r="T112" s="81"/>
      <c r="U112" s="81"/>
      <c r="V112" s="81"/>
      <c r="W112" s="81"/>
      <c r="X112" s="81"/>
      <c r="Y112" s="81"/>
      <c r="Z112" s="81"/>
      <c r="AA112" s="81"/>
      <c r="AB112" s="81"/>
      <c r="AC112" s="81"/>
      <c r="AD112" s="81"/>
      <c r="AE112" s="81"/>
      <c r="AF112" s="81"/>
      <c r="AG112" s="136"/>
      <c r="AH112" s="174"/>
      <c r="AI112" s="135"/>
      <c r="AJ112" s="81"/>
      <c r="AK112" s="81"/>
      <c r="AL112" s="81"/>
      <c r="AM112" s="81"/>
      <c r="AN112" s="81"/>
      <c r="AO112" s="81"/>
      <c r="AP112" s="81"/>
      <c r="AQ112" s="81"/>
      <c r="AR112" s="81"/>
      <c r="AS112" s="81"/>
      <c r="AT112" s="81"/>
      <c r="AU112" s="81"/>
      <c r="AV112" s="81"/>
      <c r="AW112" s="81"/>
      <c r="AX112" s="136"/>
      <c r="AY112" s="174"/>
      <c r="AZ112" s="135"/>
      <c r="BA112" s="81"/>
      <c r="BB112" s="81"/>
      <c r="BC112" s="81"/>
      <c r="BD112" s="81"/>
      <c r="BE112" s="81"/>
      <c r="BF112" s="81"/>
      <c r="BG112" s="81"/>
      <c r="BH112" s="81"/>
      <c r="BI112" s="81"/>
      <c r="BJ112" s="81"/>
      <c r="BK112" s="81"/>
      <c r="BL112" s="81"/>
      <c r="BM112" s="81"/>
      <c r="BN112" s="81"/>
      <c r="BO112" s="136"/>
      <c r="BP112" s="174"/>
      <c r="BQ112" s="135"/>
      <c r="BR112" s="81"/>
      <c r="BS112" s="81"/>
      <c r="BT112" s="81"/>
      <c r="BU112" s="81"/>
      <c r="BV112" s="81"/>
      <c r="BW112" s="81"/>
      <c r="BX112" s="81"/>
      <c r="BY112" s="81"/>
      <c r="BZ112" s="81"/>
      <c r="CA112" s="81"/>
      <c r="CB112" s="81"/>
      <c r="CC112" s="81"/>
      <c r="CD112" s="81"/>
      <c r="CE112" s="81"/>
      <c r="CF112" s="136"/>
      <c r="CG112" s="174"/>
      <c r="CH112" s="135"/>
      <c r="CI112" s="81"/>
      <c r="CJ112" s="81"/>
      <c r="CK112" s="81"/>
      <c r="CL112" s="81"/>
      <c r="CM112" s="81"/>
      <c r="CN112" s="81"/>
      <c r="CO112" s="81"/>
      <c r="CP112" s="81"/>
      <c r="CQ112" s="81"/>
      <c r="CR112" s="81"/>
      <c r="CS112" s="81"/>
      <c r="CT112" s="81"/>
      <c r="CU112" s="81"/>
      <c r="CV112" s="81"/>
      <c r="CW112" s="136"/>
      <c r="CX112" s="174"/>
      <c r="CY112" s="135"/>
      <c r="CZ112" s="81"/>
      <c r="DA112" s="81"/>
      <c r="DB112" s="81"/>
      <c r="DC112" s="81"/>
      <c r="DD112" s="81"/>
      <c r="DE112" s="81"/>
      <c r="DF112" s="81"/>
      <c r="DG112" s="81"/>
      <c r="DH112" s="81"/>
      <c r="DI112" s="81"/>
      <c r="DJ112" s="81"/>
      <c r="DK112" s="81"/>
      <c r="DL112" s="81"/>
      <c r="DM112" s="81"/>
      <c r="DN112" s="136"/>
      <c r="DO112" s="174"/>
      <c r="DP112" s="135"/>
      <c r="DQ112" s="81"/>
      <c r="DR112" s="81"/>
      <c r="DS112" s="81"/>
      <c r="DT112" s="81"/>
      <c r="DU112" s="81"/>
      <c r="DV112" s="81"/>
      <c r="DW112" s="81"/>
      <c r="DX112" s="81"/>
      <c r="DY112" s="81"/>
      <c r="DZ112" s="81"/>
      <c r="EA112" s="81"/>
      <c r="EB112" s="81"/>
      <c r="EC112" s="81"/>
      <c r="ED112" s="81"/>
      <c r="EE112" s="136"/>
      <c r="EF112" s="174"/>
    </row>
    <row r="113" spans="1:136">
      <c r="A113" s="135"/>
      <c r="B113" s="81"/>
      <c r="C113" s="81"/>
      <c r="D113" s="81"/>
      <c r="E113" s="81"/>
      <c r="F113" s="81"/>
      <c r="G113" s="81"/>
      <c r="H113" s="81"/>
      <c r="I113" s="81"/>
      <c r="J113" s="81"/>
      <c r="K113" s="81"/>
      <c r="L113" s="81"/>
      <c r="M113" s="81"/>
      <c r="N113" s="81"/>
      <c r="O113" s="81"/>
      <c r="P113" s="136"/>
      <c r="Q113" s="174"/>
      <c r="R113" s="135"/>
      <c r="S113" s="81"/>
      <c r="T113" s="81"/>
      <c r="U113" s="81"/>
      <c r="V113" s="81"/>
      <c r="W113" s="81"/>
      <c r="X113" s="81"/>
      <c r="Y113" s="81"/>
      <c r="Z113" s="81"/>
      <c r="AA113" s="81"/>
      <c r="AB113" s="81"/>
      <c r="AC113" s="81"/>
      <c r="AD113" s="81"/>
      <c r="AE113" s="81"/>
      <c r="AF113" s="81"/>
      <c r="AG113" s="136"/>
      <c r="AH113" s="174"/>
      <c r="AI113" s="135"/>
      <c r="AJ113" s="81"/>
      <c r="AK113" s="81"/>
      <c r="AL113" s="81"/>
      <c r="AM113" s="81"/>
      <c r="AN113" s="81"/>
      <c r="AO113" s="81"/>
      <c r="AP113" s="81"/>
      <c r="AQ113" s="81"/>
      <c r="AR113" s="81"/>
      <c r="AS113" s="81"/>
      <c r="AT113" s="81"/>
      <c r="AU113" s="81"/>
      <c r="AV113" s="81"/>
      <c r="AW113" s="81"/>
      <c r="AX113" s="136"/>
      <c r="AY113" s="174"/>
      <c r="AZ113" s="135"/>
      <c r="BA113" s="81"/>
      <c r="BB113" s="81"/>
      <c r="BC113" s="81"/>
      <c r="BD113" s="81"/>
      <c r="BE113" s="81"/>
      <c r="BF113" s="81"/>
      <c r="BG113" s="81"/>
      <c r="BH113" s="81"/>
      <c r="BI113" s="81"/>
      <c r="BJ113" s="81"/>
      <c r="BK113" s="81"/>
      <c r="BL113" s="81"/>
      <c r="BM113" s="81"/>
      <c r="BN113" s="81"/>
      <c r="BO113" s="136"/>
      <c r="BP113" s="174"/>
      <c r="BQ113" s="135"/>
      <c r="BR113" s="81"/>
      <c r="BS113" s="81"/>
      <c r="BT113" s="81"/>
      <c r="BU113" s="81"/>
      <c r="BV113" s="81"/>
      <c r="BW113" s="81"/>
      <c r="BX113" s="81"/>
      <c r="BY113" s="81"/>
      <c r="BZ113" s="81"/>
      <c r="CA113" s="81"/>
      <c r="CB113" s="81"/>
      <c r="CC113" s="81"/>
      <c r="CD113" s="81"/>
      <c r="CE113" s="81"/>
      <c r="CF113" s="136"/>
      <c r="CG113" s="174"/>
      <c r="CH113" s="135"/>
      <c r="CI113" s="81"/>
      <c r="CJ113" s="81"/>
      <c r="CK113" s="81"/>
      <c r="CL113" s="81"/>
      <c r="CM113" s="81"/>
      <c r="CN113" s="81"/>
      <c r="CO113" s="81"/>
      <c r="CP113" s="81"/>
      <c r="CQ113" s="81"/>
      <c r="CR113" s="81"/>
      <c r="CS113" s="81"/>
      <c r="CT113" s="81"/>
      <c r="CU113" s="81"/>
      <c r="CV113" s="81"/>
      <c r="CW113" s="136"/>
      <c r="CX113" s="174"/>
      <c r="CY113" s="135"/>
      <c r="CZ113" s="81"/>
      <c r="DA113" s="81"/>
      <c r="DB113" s="81"/>
      <c r="DC113" s="81"/>
      <c r="DD113" s="81"/>
      <c r="DE113" s="81"/>
      <c r="DF113" s="81"/>
      <c r="DG113" s="81"/>
      <c r="DH113" s="81"/>
      <c r="DI113" s="81"/>
      <c r="DJ113" s="81"/>
      <c r="DK113" s="81"/>
      <c r="DL113" s="81"/>
      <c r="DM113" s="81"/>
      <c r="DN113" s="136"/>
      <c r="DO113" s="174"/>
      <c r="DP113" s="135"/>
      <c r="DQ113" s="81"/>
      <c r="DR113" s="81"/>
      <c r="DS113" s="81"/>
      <c r="DT113" s="81"/>
      <c r="DU113" s="81"/>
      <c r="DV113" s="81"/>
      <c r="DW113" s="81"/>
      <c r="DX113" s="81"/>
      <c r="DY113" s="81"/>
      <c r="DZ113" s="81"/>
      <c r="EA113" s="81"/>
      <c r="EB113" s="81"/>
      <c r="EC113" s="81"/>
      <c r="ED113" s="81"/>
      <c r="EE113" s="136"/>
      <c r="EF113" s="174"/>
    </row>
    <row r="114" spans="1:136">
      <c r="A114" s="135"/>
      <c r="B114" s="81"/>
      <c r="C114" s="81"/>
      <c r="D114" s="81"/>
      <c r="E114" s="81"/>
      <c r="F114" s="81"/>
      <c r="G114" s="81"/>
      <c r="H114" s="81"/>
      <c r="I114" s="81"/>
      <c r="J114" s="81"/>
      <c r="K114" s="81"/>
      <c r="L114" s="81"/>
      <c r="M114" s="81"/>
      <c r="N114" s="81"/>
      <c r="O114" s="81"/>
      <c r="P114" s="136"/>
      <c r="Q114" s="174"/>
      <c r="R114" s="135"/>
      <c r="S114" s="81"/>
      <c r="T114" s="81"/>
      <c r="U114" s="81"/>
      <c r="V114" s="81"/>
      <c r="W114" s="81"/>
      <c r="X114" s="81"/>
      <c r="Y114" s="81"/>
      <c r="Z114" s="81"/>
      <c r="AA114" s="81"/>
      <c r="AB114" s="81"/>
      <c r="AC114" s="81"/>
      <c r="AD114" s="81"/>
      <c r="AE114" s="81"/>
      <c r="AF114" s="81"/>
      <c r="AG114" s="136"/>
      <c r="AH114" s="174"/>
      <c r="AI114" s="135"/>
      <c r="AJ114" s="81"/>
      <c r="AK114" s="81"/>
      <c r="AL114" s="81"/>
      <c r="AM114" s="81"/>
      <c r="AN114" s="81"/>
      <c r="AO114" s="81"/>
      <c r="AP114" s="81"/>
      <c r="AQ114" s="81"/>
      <c r="AR114" s="81"/>
      <c r="AS114" s="81"/>
      <c r="AT114" s="81"/>
      <c r="AU114" s="81"/>
      <c r="AV114" s="81"/>
      <c r="AW114" s="81"/>
      <c r="AX114" s="136"/>
      <c r="AY114" s="174"/>
      <c r="AZ114" s="135"/>
      <c r="BA114" s="81"/>
      <c r="BB114" s="81"/>
      <c r="BC114" s="81"/>
      <c r="BD114" s="81"/>
      <c r="BE114" s="81"/>
      <c r="BF114" s="81"/>
      <c r="BG114" s="81"/>
      <c r="BH114" s="81"/>
      <c r="BI114" s="81"/>
      <c r="BJ114" s="81"/>
      <c r="BK114" s="81"/>
      <c r="BL114" s="81"/>
      <c r="BM114" s="81"/>
      <c r="BN114" s="81"/>
      <c r="BO114" s="136"/>
      <c r="BP114" s="174"/>
      <c r="BQ114" s="135"/>
      <c r="BR114" s="81"/>
      <c r="BS114" s="81"/>
      <c r="BT114" s="81"/>
      <c r="BU114" s="81"/>
      <c r="BV114" s="81"/>
      <c r="BW114" s="81"/>
      <c r="BX114" s="81"/>
      <c r="BY114" s="81"/>
      <c r="BZ114" s="81"/>
      <c r="CA114" s="81"/>
      <c r="CB114" s="81"/>
      <c r="CC114" s="81"/>
      <c r="CD114" s="81"/>
      <c r="CE114" s="81"/>
      <c r="CF114" s="136"/>
      <c r="CG114" s="174"/>
      <c r="CH114" s="135"/>
      <c r="CI114" s="81"/>
      <c r="CJ114" s="81"/>
      <c r="CK114" s="81"/>
      <c r="CL114" s="81"/>
      <c r="CM114" s="81"/>
      <c r="CN114" s="81"/>
      <c r="CO114" s="81"/>
      <c r="CP114" s="81"/>
      <c r="CQ114" s="81"/>
      <c r="CR114" s="81"/>
      <c r="CS114" s="81"/>
      <c r="CT114" s="81"/>
      <c r="CU114" s="81"/>
      <c r="CV114" s="81"/>
      <c r="CW114" s="136"/>
      <c r="CX114" s="174"/>
      <c r="CY114" s="135"/>
      <c r="CZ114" s="81"/>
      <c r="DA114" s="81"/>
      <c r="DB114" s="81"/>
      <c r="DC114" s="81"/>
      <c r="DD114" s="81"/>
      <c r="DE114" s="81"/>
      <c r="DF114" s="81"/>
      <c r="DG114" s="81"/>
      <c r="DH114" s="81"/>
      <c r="DI114" s="81"/>
      <c r="DJ114" s="81"/>
      <c r="DK114" s="81"/>
      <c r="DL114" s="81"/>
      <c r="DM114" s="81"/>
      <c r="DN114" s="136"/>
      <c r="DO114" s="174"/>
      <c r="DP114" s="135"/>
      <c r="DQ114" s="81"/>
      <c r="DR114" s="81"/>
      <c r="DS114" s="81"/>
      <c r="DT114" s="81"/>
      <c r="DU114" s="81"/>
      <c r="DV114" s="81"/>
      <c r="DW114" s="81"/>
      <c r="DX114" s="81"/>
      <c r="DY114" s="81"/>
      <c r="DZ114" s="81"/>
      <c r="EA114" s="81"/>
      <c r="EB114" s="81"/>
      <c r="EC114" s="81"/>
      <c r="ED114" s="81"/>
      <c r="EE114" s="136"/>
      <c r="EF114" s="174"/>
    </row>
    <row r="115" spans="1:136">
      <c r="A115" s="135"/>
      <c r="B115" s="81"/>
      <c r="C115" s="81"/>
      <c r="D115" s="81"/>
      <c r="E115" s="81"/>
      <c r="F115" s="81"/>
      <c r="G115" s="81"/>
      <c r="H115" s="81"/>
      <c r="I115" s="81"/>
      <c r="J115" s="81"/>
      <c r="K115" s="81"/>
      <c r="L115" s="81"/>
      <c r="M115" s="81"/>
      <c r="N115" s="81"/>
      <c r="O115" s="81"/>
      <c r="P115" s="136"/>
      <c r="Q115" s="174"/>
      <c r="R115" s="135"/>
      <c r="S115" s="81"/>
      <c r="T115" s="81"/>
      <c r="U115" s="81"/>
      <c r="V115" s="81"/>
      <c r="W115" s="81"/>
      <c r="X115" s="81"/>
      <c r="Y115" s="81"/>
      <c r="Z115" s="81"/>
      <c r="AA115" s="81"/>
      <c r="AB115" s="81"/>
      <c r="AC115" s="81"/>
      <c r="AD115" s="81"/>
      <c r="AE115" s="81"/>
      <c r="AF115" s="81"/>
      <c r="AG115" s="136"/>
      <c r="AH115" s="174"/>
      <c r="AI115" s="135"/>
      <c r="AJ115" s="81"/>
      <c r="AK115" s="81"/>
      <c r="AL115" s="81"/>
      <c r="AM115" s="81"/>
      <c r="AN115" s="81"/>
      <c r="AO115" s="81"/>
      <c r="AP115" s="81"/>
      <c r="AQ115" s="81"/>
      <c r="AR115" s="81"/>
      <c r="AS115" s="81"/>
      <c r="AT115" s="81"/>
      <c r="AU115" s="81"/>
      <c r="AV115" s="81"/>
      <c r="AW115" s="81"/>
      <c r="AX115" s="136"/>
      <c r="AY115" s="174"/>
      <c r="AZ115" s="135"/>
      <c r="BA115" s="81"/>
      <c r="BB115" s="81"/>
      <c r="BC115" s="81"/>
      <c r="BD115" s="81"/>
      <c r="BE115" s="81"/>
      <c r="BF115" s="81"/>
      <c r="BG115" s="81"/>
      <c r="BH115" s="81"/>
      <c r="BI115" s="81"/>
      <c r="BJ115" s="81"/>
      <c r="BK115" s="81"/>
      <c r="BL115" s="81"/>
      <c r="BM115" s="81"/>
      <c r="BN115" s="81"/>
      <c r="BO115" s="136"/>
      <c r="BP115" s="174"/>
      <c r="BQ115" s="135"/>
      <c r="BR115" s="81"/>
      <c r="BS115" s="81"/>
      <c r="BT115" s="81"/>
      <c r="BU115" s="81"/>
      <c r="BV115" s="81"/>
      <c r="BW115" s="81"/>
      <c r="BX115" s="81"/>
      <c r="BY115" s="81"/>
      <c r="BZ115" s="81"/>
      <c r="CA115" s="81"/>
      <c r="CB115" s="81"/>
      <c r="CC115" s="81"/>
      <c r="CD115" s="81"/>
      <c r="CE115" s="81"/>
      <c r="CF115" s="136"/>
      <c r="CG115" s="174"/>
      <c r="CH115" s="135"/>
      <c r="CI115" s="81"/>
      <c r="CJ115" s="81"/>
      <c r="CK115" s="81"/>
      <c r="CL115" s="81"/>
      <c r="CM115" s="81"/>
      <c r="CN115" s="81"/>
      <c r="CO115" s="81"/>
      <c r="CP115" s="81"/>
      <c r="CQ115" s="81"/>
      <c r="CR115" s="81"/>
      <c r="CS115" s="81"/>
      <c r="CT115" s="81"/>
      <c r="CU115" s="81"/>
      <c r="CV115" s="81"/>
      <c r="CW115" s="136"/>
      <c r="CX115" s="174"/>
      <c r="CY115" s="135"/>
      <c r="CZ115" s="81"/>
      <c r="DA115" s="81"/>
      <c r="DB115" s="81"/>
      <c r="DC115" s="81"/>
      <c r="DD115" s="81"/>
      <c r="DE115" s="81"/>
      <c r="DF115" s="81"/>
      <c r="DG115" s="81"/>
      <c r="DH115" s="81"/>
      <c r="DI115" s="81"/>
      <c r="DJ115" s="81"/>
      <c r="DK115" s="81"/>
      <c r="DL115" s="81"/>
      <c r="DM115" s="81"/>
      <c r="DN115" s="136"/>
      <c r="DO115" s="174"/>
      <c r="DP115" s="135"/>
      <c r="DQ115" s="81"/>
      <c r="DR115" s="81"/>
      <c r="DS115" s="81"/>
      <c r="DT115" s="81"/>
      <c r="DU115" s="81"/>
      <c r="DV115" s="81"/>
      <c r="DW115" s="81"/>
      <c r="DX115" s="81"/>
      <c r="DY115" s="81"/>
      <c r="DZ115" s="81"/>
      <c r="EA115" s="81"/>
      <c r="EB115" s="81"/>
      <c r="EC115" s="81"/>
      <c r="ED115" s="81"/>
      <c r="EE115" s="136"/>
      <c r="EF115" s="174"/>
    </row>
    <row r="116" spans="1:136">
      <c r="A116" s="135"/>
      <c r="B116" s="81"/>
      <c r="C116" s="81"/>
      <c r="D116" s="81"/>
      <c r="E116" s="81"/>
      <c r="F116" s="81"/>
      <c r="G116" s="81"/>
      <c r="H116" s="81"/>
      <c r="I116" s="81"/>
      <c r="J116" s="81"/>
      <c r="K116" s="81"/>
      <c r="L116" s="81"/>
      <c r="M116" s="81"/>
      <c r="N116" s="81"/>
      <c r="O116" s="81"/>
      <c r="P116" s="136"/>
      <c r="Q116" s="174"/>
      <c r="R116" s="135"/>
      <c r="S116" s="81"/>
      <c r="T116" s="81"/>
      <c r="U116" s="81"/>
      <c r="V116" s="81"/>
      <c r="W116" s="81"/>
      <c r="X116" s="81"/>
      <c r="Y116" s="81"/>
      <c r="Z116" s="81"/>
      <c r="AA116" s="81"/>
      <c r="AB116" s="81"/>
      <c r="AC116" s="81"/>
      <c r="AD116" s="81"/>
      <c r="AE116" s="81"/>
      <c r="AF116" s="81"/>
      <c r="AG116" s="136"/>
      <c r="AH116" s="174"/>
      <c r="AI116" s="135"/>
      <c r="AJ116" s="81"/>
      <c r="AK116" s="81"/>
      <c r="AL116" s="81"/>
      <c r="AM116" s="81"/>
      <c r="AN116" s="81"/>
      <c r="AO116" s="81"/>
      <c r="AP116" s="81"/>
      <c r="AQ116" s="81"/>
      <c r="AR116" s="81"/>
      <c r="AS116" s="81"/>
      <c r="AT116" s="81"/>
      <c r="AU116" s="81"/>
      <c r="AV116" s="81"/>
      <c r="AW116" s="81"/>
      <c r="AX116" s="136"/>
      <c r="AY116" s="174"/>
      <c r="AZ116" s="135"/>
      <c r="BA116" s="81"/>
      <c r="BB116" s="81"/>
      <c r="BC116" s="81"/>
      <c r="BD116" s="81"/>
      <c r="BE116" s="81"/>
      <c r="BF116" s="81"/>
      <c r="BG116" s="81"/>
      <c r="BH116" s="81"/>
      <c r="BI116" s="81"/>
      <c r="BJ116" s="81"/>
      <c r="BK116" s="81"/>
      <c r="BL116" s="81"/>
      <c r="BM116" s="81"/>
      <c r="BN116" s="81"/>
      <c r="BO116" s="136"/>
      <c r="BP116" s="174"/>
      <c r="BQ116" s="135"/>
      <c r="BR116" s="81"/>
      <c r="BS116" s="81"/>
      <c r="BT116" s="81"/>
      <c r="BU116" s="81"/>
      <c r="BV116" s="81"/>
      <c r="BW116" s="81"/>
      <c r="BX116" s="81"/>
      <c r="BY116" s="81"/>
      <c r="BZ116" s="81"/>
      <c r="CA116" s="81"/>
      <c r="CB116" s="81"/>
      <c r="CC116" s="81"/>
      <c r="CD116" s="81"/>
      <c r="CE116" s="81"/>
      <c r="CF116" s="136"/>
      <c r="CG116" s="174"/>
      <c r="CH116" s="135"/>
      <c r="CI116" s="81"/>
      <c r="CJ116" s="81"/>
      <c r="CK116" s="81"/>
      <c r="CL116" s="81"/>
      <c r="CM116" s="81"/>
      <c r="CN116" s="81"/>
      <c r="CO116" s="81"/>
      <c r="CP116" s="81"/>
      <c r="CQ116" s="81"/>
      <c r="CR116" s="81"/>
      <c r="CS116" s="81"/>
      <c r="CT116" s="81"/>
      <c r="CU116" s="81"/>
      <c r="CV116" s="81"/>
      <c r="CW116" s="136"/>
      <c r="CX116" s="174"/>
      <c r="CY116" s="135"/>
      <c r="CZ116" s="81"/>
      <c r="DA116" s="81"/>
      <c r="DB116" s="81"/>
      <c r="DC116" s="81"/>
      <c r="DD116" s="81"/>
      <c r="DE116" s="81"/>
      <c r="DF116" s="81"/>
      <c r="DG116" s="81"/>
      <c r="DH116" s="81"/>
      <c r="DI116" s="81"/>
      <c r="DJ116" s="81"/>
      <c r="DK116" s="81"/>
      <c r="DL116" s="81"/>
      <c r="DM116" s="81"/>
      <c r="DN116" s="136"/>
      <c r="DO116" s="174"/>
      <c r="DP116" s="135"/>
      <c r="DQ116" s="81"/>
      <c r="DR116" s="81"/>
      <c r="DS116" s="81"/>
      <c r="DT116" s="81"/>
      <c r="DU116" s="81"/>
      <c r="DV116" s="81"/>
      <c r="DW116" s="81"/>
      <c r="DX116" s="81"/>
      <c r="DY116" s="81"/>
      <c r="DZ116" s="81"/>
      <c r="EA116" s="81"/>
      <c r="EB116" s="81"/>
      <c r="EC116" s="81"/>
      <c r="ED116" s="81"/>
      <c r="EE116" s="136"/>
      <c r="EF116" s="174"/>
    </row>
    <row r="117" spans="1:136">
      <c r="A117" s="135"/>
      <c r="B117" s="81"/>
      <c r="C117" s="81"/>
      <c r="D117" s="81"/>
      <c r="E117" s="81"/>
      <c r="F117" s="81"/>
      <c r="G117" s="81"/>
      <c r="H117" s="81"/>
      <c r="I117" s="81"/>
      <c r="J117" s="81"/>
      <c r="K117" s="81"/>
      <c r="L117" s="81"/>
      <c r="M117" s="81"/>
      <c r="N117" s="81"/>
      <c r="O117" s="81"/>
      <c r="P117" s="136"/>
      <c r="Q117" s="174"/>
      <c r="R117" s="135"/>
      <c r="S117" s="81"/>
      <c r="T117" s="81"/>
      <c r="U117" s="81"/>
      <c r="V117" s="81"/>
      <c r="W117" s="81"/>
      <c r="X117" s="81"/>
      <c r="Y117" s="81"/>
      <c r="Z117" s="81"/>
      <c r="AA117" s="81"/>
      <c r="AB117" s="81"/>
      <c r="AC117" s="81"/>
      <c r="AD117" s="81"/>
      <c r="AE117" s="81"/>
      <c r="AF117" s="81"/>
      <c r="AG117" s="136"/>
      <c r="AH117" s="174"/>
      <c r="AI117" s="135"/>
      <c r="AJ117" s="81"/>
      <c r="AK117" s="81"/>
      <c r="AL117" s="81"/>
      <c r="AM117" s="81"/>
      <c r="AN117" s="81"/>
      <c r="AO117" s="81"/>
      <c r="AP117" s="81"/>
      <c r="AQ117" s="81"/>
      <c r="AR117" s="81"/>
      <c r="AS117" s="81"/>
      <c r="AT117" s="81"/>
      <c r="AU117" s="81"/>
      <c r="AV117" s="81"/>
      <c r="AW117" s="81"/>
      <c r="AX117" s="136"/>
      <c r="AY117" s="174"/>
      <c r="AZ117" s="135"/>
      <c r="BA117" s="81"/>
      <c r="BB117" s="81"/>
      <c r="BC117" s="81"/>
      <c r="BD117" s="81"/>
      <c r="BE117" s="81"/>
      <c r="BF117" s="81"/>
      <c r="BG117" s="81"/>
      <c r="BH117" s="81"/>
      <c r="BI117" s="81"/>
      <c r="BJ117" s="81"/>
      <c r="BK117" s="81"/>
      <c r="BL117" s="81"/>
      <c r="BM117" s="81"/>
      <c r="BN117" s="81"/>
      <c r="BO117" s="136"/>
      <c r="BP117" s="174"/>
      <c r="BQ117" s="135"/>
      <c r="BR117" s="81"/>
      <c r="BS117" s="81"/>
      <c r="BT117" s="81"/>
      <c r="BU117" s="81"/>
      <c r="BV117" s="81"/>
      <c r="BW117" s="81"/>
      <c r="BX117" s="81"/>
      <c r="BY117" s="81"/>
      <c r="BZ117" s="81"/>
      <c r="CA117" s="81"/>
      <c r="CB117" s="81"/>
      <c r="CC117" s="81"/>
      <c r="CD117" s="81"/>
      <c r="CE117" s="81"/>
      <c r="CF117" s="136"/>
      <c r="CG117" s="174"/>
      <c r="CH117" s="135"/>
      <c r="CI117" s="81"/>
      <c r="CJ117" s="81"/>
      <c r="CK117" s="81"/>
      <c r="CL117" s="81"/>
      <c r="CM117" s="81"/>
      <c r="CN117" s="81"/>
      <c r="CO117" s="81"/>
      <c r="CP117" s="81"/>
      <c r="CQ117" s="81"/>
      <c r="CR117" s="81"/>
      <c r="CS117" s="81"/>
      <c r="CT117" s="81"/>
      <c r="CU117" s="81"/>
      <c r="CV117" s="81"/>
      <c r="CW117" s="136"/>
      <c r="CX117" s="174"/>
      <c r="CY117" s="135"/>
      <c r="CZ117" s="81"/>
      <c r="DA117" s="81"/>
      <c r="DB117" s="81"/>
      <c r="DC117" s="81"/>
      <c r="DD117" s="81"/>
      <c r="DE117" s="81"/>
      <c r="DF117" s="81"/>
      <c r="DG117" s="81"/>
      <c r="DH117" s="81"/>
      <c r="DI117" s="81"/>
      <c r="DJ117" s="81"/>
      <c r="DK117" s="81"/>
      <c r="DL117" s="81"/>
      <c r="DM117" s="81"/>
      <c r="DN117" s="136"/>
      <c r="DO117" s="174"/>
      <c r="DP117" s="135"/>
      <c r="DQ117" s="81"/>
      <c r="DR117" s="81"/>
      <c r="DS117" s="81"/>
      <c r="DT117" s="81"/>
      <c r="DU117" s="81"/>
      <c r="DV117" s="81"/>
      <c r="DW117" s="81"/>
      <c r="DX117" s="81"/>
      <c r="DY117" s="81"/>
      <c r="DZ117" s="81"/>
      <c r="EA117" s="81"/>
      <c r="EB117" s="81"/>
      <c r="EC117" s="81"/>
      <c r="ED117" s="81"/>
      <c r="EE117" s="136"/>
      <c r="EF117" s="174"/>
    </row>
    <row r="118" spans="1:136">
      <c r="A118" s="138"/>
      <c r="B118" s="139"/>
      <c r="C118" s="139"/>
      <c r="D118" s="139"/>
      <c r="E118" s="139"/>
      <c r="F118" s="139"/>
      <c r="G118" s="139"/>
      <c r="H118" s="139"/>
      <c r="I118" s="139"/>
      <c r="J118" s="139"/>
      <c r="K118" s="139"/>
      <c r="L118" s="139"/>
      <c r="M118" s="139"/>
      <c r="N118" s="139"/>
      <c r="O118" s="139"/>
      <c r="P118" s="140"/>
      <c r="Q118" s="174"/>
      <c r="R118" s="138"/>
      <c r="S118" s="139"/>
      <c r="T118" s="139"/>
      <c r="U118" s="139"/>
      <c r="V118" s="139"/>
      <c r="W118" s="139"/>
      <c r="X118" s="139"/>
      <c r="Y118" s="139"/>
      <c r="Z118" s="139"/>
      <c r="AA118" s="139"/>
      <c r="AB118" s="139"/>
      <c r="AC118" s="139"/>
      <c r="AD118" s="139"/>
      <c r="AE118" s="139"/>
      <c r="AF118" s="139"/>
      <c r="AG118" s="140"/>
      <c r="AH118" s="174"/>
      <c r="AI118" s="138"/>
      <c r="AJ118" s="139"/>
      <c r="AK118" s="139"/>
      <c r="AL118" s="139"/>
      <c r="AM118" s="139"/>
      <c r="AN118" s="139"/>
      <c r="AO118" s="139"/>
      <c r="AP118" s="139"/>
      <c r="AQ118" s="139"/>
      <c r="AR118" s="139"/>
      <c r="AS118" s="139"/>
      <c r="AT118" s="139"/>
      <c r="AU118" s="139"/>
      <c r="AV118" s="139"/>
      <c r="AW118" s="139"/>
      <c r="AX118" s="140"/>
      <c r="AY118" s="174"/>
      <c r="AZ118" s="138"/>
      <c r="BA118" s="139"/>
      <c r="BB118" s="139"/>
      <c r="BC118" s="139"/>
      <c r="BD118" s="139"/>
      <c r="BE118" s="139"/>
      <c r="BF118" s="139"/>
      <c r="BG118" s="139"/>
      <c r="BH118" s="139"/>
      <c r="BI118" s="139"/>
      <c r="BJ118" s="139"/>
      <c r="BK118" s="139"/>
      <c r="BL118" s="139"/>
      <c r="BM118" s="139"/>
      <c r="BN118" s="139"/>
      <c r="BO118" s="140"/>
      <c r="BP118" s="174"/>
      <c r="BQ118" s="138"/>
      <c r="BR118" s="139"/>
      <c r="BS118" s="139"/>
      <c r="BT118" s="139"/>
      <c r="BU118" s="139"/>
      <c r="BV118" s="139"/>
      <c r="BW118" s="139"/>
      <c r="BX118" s="139"/>
      <c r="BY118" s="139"/>
      <c r="BZ118" s="139"/>
      <c r="CA118" s="139"/>
      <c r="CB118" s="139"/>
      <c r="CC118" s="139"/>
      <c r="CD118" s="139"/>
      <c r="CE118" s="139"/>
      <c r="CF118" s="140"/>
      <c r="CG118" s="174"/>
      <c r="CH118" s="138"/>
      <c r="CI118" s="139"/>
      <c r="CJ118" s="139"/>
      <c r="CK118" s="139"/>
      <c r="CL118" s="139"/>
      <c r="CM118" s="139"/>
      <c r="CN118" s="139"/>
      <c r="CO118" s="139"/>
      <c r="CP118" s="139"/>
      <c r="CQ118" s="139"/>
      <c r="CR118" s="139"/>
      <c r="CS118" s="139"/>
      <c r="CT118" s="139"/>
      <c r="CU118" s="139"/>
      <c r="CV118" s="139"/>
      <c r="CW118" s="140"/>
      <c r="CX118" s="174"/>
      <c r="CY118" s="138"/>
      <c r="CZ118" s="139"/>
      <c r="DA118" s="139"/>
      <c r="DB118" s="139"/>
      <c r="DC118" s="139"/>
      <c r="DD118" s="139"/>
      <c r="DE118" s="139"/>
      <c r="DF118" s="139"/>
      <c r="DG118" s="139"/>
      <c r="DH118" s="139"/>
      <c r="DI118" s="139"/>
      <c r="DJ118" s="139"/>
      <c r="DK118" s="139"/>
      <c r="DL118" s="139"/>
      <c r="DM118" s="139"/>
      <c r="DN118" s="140"/>
      <c r="DO118" s="174"/>
      <c r="DP118" s="138"/>
      <c r="DQ118" s="139"/>
      <c r="DR118" s="139"/>
      <c r="DS118" s="139"/>
      <c r="DT118" s="139"/>
      <c r="DU118" s="139"/>
      <c r="DV118" s="139"/>
      <c r="DW118" s="139"/>
      <c r="DX118" s="139"/>
      <c r="DY118" s="139"/>
      <c r="DZ118" s="139"/>
      <c r="EA118" s="139"/>
      <c r="EB118" s="139"/>
      <c r="EC118" s="139"/>
      <c r="ED118" s="139"/>
      <c r="EE118" s="140"/>
      <c r="EF118" s="174"/>
    </row>
  </sheetData>
  <sheetProtection algorithmName="SHA-512" hashValue="XgSKJ/enrHd6AX2rPSEpaBOiECOW3Fu67kGho8C0k9PiwtQ1B6CTv+Fx0U29c3C1zYcWZJx6bXv+um8cJ4cbkQ==" saltValue="moW1EPk6Xu6otsBEbnj0Cg==" spinCount="100000" sheet="1" scenarios="1"/>
  <mergeCells count="99">
    <mergeCell ref="AI5:AX6"/>
    <mergeCell ref="A5:P6"/>
    <mergeCell ref="R5:AG6"/>
    <mergeCell ref="A1:Q1"/>
    <mergeCell ref="D3:I3"/>
    <mergeCell ref="N3:Q3"/>
    <mergeCell ref="AZ5:BO6"/>
    <mergeCell ref="BQ5:CF6"/>
    <mergeCell ref="CH5:CW6"/>
    <mergeCell ref="CY5:DN6"/>
    <mergeCell ref="DP5:EE6"/>
    <mergeCell ref="AZ9:BC10"/>
    <mergeCell ref="A9:D10"/>
    <mergeCell ref="E9:F10"/>
    <mergeCell ref="H9:K10"/>
    <mergeCell ref="L9:P10"/>
    <mergeCell ref="R9:U10"/>
    <mergeCell ref="V9:W10"/>
    <mergeCell ref="Y9:AB10"/>
    <mergeCell ref="AC9:AG10"/>
    <mergeCell ref="AI9:AL10"/>
    <mergeCell ref="AM9:AN10"/>
    <mergeCell ref="AP9:AS10"/>
    <mergeCell ref="AT9:AX10"/>
    <mergeCell ref="CY9:DB10"/>
    <mergeCell ref="BD9:BE10"/>
    <mergeCell ref="BG9:BJ10"/>
    <mergeCell ref="BK9:BO10"/>
    <mergeCell ref="BQ9:BT10"/>
    <mergeCell ref="BU9:BV10"/>
    <mergeCell ref="BX9:CA10"/>
    <mergeCell ref="CB9:CF10"/>
    <mergeCell ref="CH9:CK10"/>
    <mergeCell ref="CL9:CM10"/>
    <mergeCell ref="CO9:CR10"/>
    <mergeCell ref="CS9:CW10"/>
    <mergeCell ref="EA9:EE10"/>
    <mergeCell ref="A11:F12"/>
    <mergeCell ref="H11:P12"/>
    <mergeCell ref="R11:W12"/>
    <mergeCell ref="Y11:AG12"/>
    <mergeCell ref="AI11:AN12"/>
    <mergeCell ref="AP11:AX12"/>
    <mergeCell ref="AZ11:BE12"/>
    <mergeCell ref="BG11:BO12"/>
    <mergeCell ref="BQ11:BV12"/>
    <mergeCell ref="DC9:DD10"/>
    <mergeCell ref="DF9:DI10"/>
    <mergeCell ref="DJ9:DN10"/>
    <mergeCell ref="DP9:DS10"/>
    <mergeCell ref="DT9:DU10"/>
    <mergeCell ref="DW9:DZ10"/>
    <mergeCell ref="DW11:EE12"/>
    <mergeCell ref="A13:P14"/>
    <mergeCell ref="R13:AG14"/>
    <mergeCell ref="AI13:AX14"/>
    <mergeCell ref="AZ13:BO14"/>
    <mergeCell ref="BQ13:CF14"/>
    <mergeCell ref="CH13:CW14"/>
    <mergeCell ref="CY13:DN14"/>
    <mergeCell ref="DP13:EE14"/>
    <mergeCell ref="BX11:CF12"/>
    <mergeCell ref="CH11:CM12"/>
    <mergeCell ref="CO11:CW12"/>
    <mergeCell ref="CY11:DD12"/>
    <mergeCell ref="DF11:DN12"/>
    <mergeCell ref="DP11:DU12"/>
    <mergeCell ref="AP7:AS8"/>
    <mergeCell ref="A7:D8"/>
    <mergeCell ref="E7:F8"/>
    <mergeCell ref="H7:K8"/>
    <mergeCell ref="L7:P8"/>
    <mergeCell ref="R7:U8"/>
    <mergeCell ref="V7:W8"/>
    <mergeCell ref="Y7:AB8"/>
    <mergeCell ref="AC7:AG8"/>
    <mergeCell ref="AI7:AL8"/>
    <mergeCell ref="AM7:AN8"/>
    <mergeCell ref="CO7:CR8"/>
    <mergeCell ref="AT7:AX8"/>
    <mergeCell ref="AZ7:BC8"/>
    <mergeCell ref="BD7:BE8"/>
    <mergeCell ref="BG7:BJ8"/>
    <mergeCell ref="BK7:BO8"/>
    <mergeCell ref="BQ7:BT8"/>
    <mergeCell ref="BU7:BV8"/>
    <mergeCell ref="BX7:CA8"/>
    <mergeCell ref="CB7:CF8"/>
    <mergeCell ref="CH7:CK8"/>
    <mergeCell ref="CL7:CM8"/>
    <mergeCell ref="DT7:DU8"/>
    <mergeCell ref="DW7:DZ8"/>
    <mergeCell ref="EA7:EE8"/>
    <mergeCell ref="CS7:CW8"/>
    <mergeCell ref="CY7:DB8"/>
    <mergeCell ref="DC7:DD8"/>
    <mergeCell ref="DF7:DI8"/>
    <mergeCell ref="DJ7:DN8"/>
    <mergeCell ref="DP7:DS8"/>
  </mergeCells>
  <conditionalFormatting sqref="E7:F10">
    <cfRule type="cellIs" dxfId="132" priority="67" operator="equal">
      <formula>"N/A"</formula>
    </cfRule>
    <cfRule type="cellIs" dxfId="131" priority="68" operator="equal">
      <formula>"No"</formula>
    </cfRule>
    <cfRule type="cellIs" dxfId="130" priority="69" operator="equal">
      <formula>"YES"</formula>
    </cfRule>
  </conditionalFormatting>
  <conditionalFormatting sqref="L7">
    <cfRule type="cellIs" dxfId="129" priority="64" operator="equal">
      <formula>"Performed own test"</formula>
    </cfRule>
    <cfRule type="cellIs" dxfId="128" priority="65" operator="equal">
      <formula>"No"</formula>
    </cfRule>
    <cfRule type="cellIs" dxfId="127" priority="66" operator="equal">
      <formula>"YES"</formula>
    </cfRule>
  </conditionalFormatting>
  <conditionalFormatting sqref="V7:W10">
    <cfRule type="cellIs" dxfId="126" priority="58" operator="equal">
      <formula>"N/A"</formula>
    </cfRule>
    <cfRule type="cellIs" dxfId="125" priority="59" operator="equal">
      <formula>"No"</formula>
    </cfRule>
    <cfRule type="cellIs" dxfId="124" priority="60" operator="equal">
      <formula>"YES"</formula>
    </cfRule>
  </conditionalFormatting>
  <conditionalFormatting sqref="AC7">
    <cfRule type="cellIs" dxfId="123" priority="55" operator="equal">
      <formula>"Performed own test"</formula>
    </cfRule>
    <cfRule type="cellIs" dxfId="122" priority="56" operator="equal">
      <formula>"No"</formula>
    </cfRule>
    <cfRule type="cellIs" dxfId="121" priority="57" operator="equal">
      <formula>"YES"</formula>
    </cfRule>
  </conditionalFormatting>
  <conditionalFormatting sqref="AM7:AN10">
    <cfRule type="cellIs" dxfId="120" priority="49" operator="equal">
      <formula>"N/A"</formula>
    </cfRule>
    <cfRule type="cellIs" dxfId="119" priority="50" operator="equal">
      <formula>"No"</formula>
    </cfRule>
    <cfRule type="cellIs" dxfId="118" priority="51" operator="equal">
      <formula>"YES"</formula>
    </cfRule>
  </conditionalFormatting>
  <conditionalFormatting sqref="AT7">
    <cfRule type="cellIs" dxfId="117" priority="46" operator="equal">
      <formula>"Performed own test"</formula>
    </cfRule>
    <cfRule type="cellIs" dxfId="116" priority="47" operator="equal">
      <formula>"No"</formula>
    </cfRule>
    <cfRule type="cellIs" dxfId="115" priority="48" operator="equal">
      <formula>"YES"</formula>
    </cfRule>
  </conditionalFormatting>
  <conditionalFormatting sqref="BD7:BE10">
    <cfRule type="cellIs" dxfId="114" priority="40" operator="equal">
      <formula>"N/A"</formula>
    </cfRule>
    <cfRule type="cellIs" dxfId="113" priority="41" operator="equal">
      <formula>"No"</formula>
    </cfRule>
    <cfRule type="cellIs" dxfId="112" priority="42" operator="equal">
      <formula>"YES"</formula>
    </cfRule>
  </conditionalFormatting>
  <conditionalFormatting sqref="BK7">
    <cfRule type="cellIs" dxfId="111" priority="37" operator="equal">
      <formula>"Performed own test"</formula>
    </cfRule>
    <cfRule type="cellIs" dxfId="110" priority="38" operator="equal">
      <formula>"No"</formula>
    </cfRule>
    <cfRule type="cellIs" dxfId="109" priority="39" operator="equal">
      <formula>"YES"</formula>
    </cfRule>
  </conditionalFormatting>
  <conditionalFormatting sqref="BU7:BV10">
    <cfRule type="cellIs" dxfId="108" priority="31" operator="equal">
      <formula>"N/A"</formula>
    </cfRule>
    <cfRule type="cellIs" dxfId="107" priority="32" operator="equal">
      <formula>"No"</formula>
    </cfRule>
    <cfRule type="cellIs" dxfId="106" priority="33" operator="equal">
      <formula>"YES"</formula>
    </cfRule>
  </conditionalFormatting>
  <conditionalFormatting sqref="CB7">
    <cfRule type="cellIs" dxfId="105" priority="28" operator="equal">
      <formula>"Performed own test"</formula>
    </cfRule>
    <cfRule type="cellIs" dxfId="104" priority="29" operator="equal">
      <formula>"No"</formula>
    </cfRule>
    <cfRule type="cellIs" dxfId="103" priority="30" operator="equal">
      <formula>"YES"</formula>
    </cfRule>
  </conditionalFormatting>
  <conditionalFormatting sqref="CL7:CM10">
    <cfRule type="cellIs" dxfId="102" priority="22" operator="equal">
      <formula>"N/A"</formula>
    </cfRule>
    <cfRule type="cellIs" dxfId="101" priority="23" operator="equal">
      <formula>"No"</formula>
    </cfRule>
    <cfRule type="cellIs" dxfId="100" priority="24" operator="equal">
      <formula>"YES"</formula>
    </cfRule>
  </conditionalFormatting>
  <conditionalFormatting sqref="CS7">
    <cfRule type="cellIs" dxfId="99" priority="19" operator="equal">
      <formula>"Performed own test"</formula>
    </cfRule>
    <cfRule type="cellIs" dxfId="98" priority="20" operator="equal">
      <formula>"No"</formula>
    </cfRule>
    <cfRule type="cellIs" dxfId="97" priority="21" operator="equal">
      <formula>"YES"</formula>
    </cfRule>
  </conditionalFormatting>
  <conditionalFormatting sqref="DC7:DD10">
    <cfRule type="cellIs" dxfId="96" priority="13" operator="equal">
      <formula>"N/A"</formula>
    </cfRule>
    <cfRule type="cellIs" dxfId="95" priority="14" operator="equal">
      <formula>"No"</formula>
    </cfRule>
    <cfRule type="cellIs" dxfId="94" priority="15" operator="equal">
      <formula>"YES"</formula>
    </cfRule>
  </conditionalFormatting>
  <conditionalFormatting sqref="DJ7">
    <cfRule type="cellIs" dxfId="93" priority="10" operator="equal">
      <formula>"Performed own test"</formula>
    </cfRule>
    <cfRule type="cellIs" dxfId="92" priority="11" operator="equal">
      <formula>"No"</formula>
    </cfRule>
    <cfRule type="cellIs" dxfId="91" priority="12" operator="equal">
      <formula>"YES"</formula>
    </cfRule>
  </conditionalFormatting>
  <conditionalFormatting sqref="DT7:DU10">
    <cfRule type="cellIs" dxfId="90" priority="4" operator="equal">
      <formula>"N/A"</formula>
    </cfRule>
    <cfRule type="cellIs" dxfId="89" priority="5" operator="equal">
      <formula>"No"</formula>
    </cfRule>
    <cfRule type="cellIs" dxfId="88" priority="6" operator="equal">
      <formula>"YES"</formula>
    </cfRule>
  </conditionalFormatting>
  <conditionalFormatting sqref="EA7">
    <cfRule type="cellIs" dxfId="87" priority="1" operator="equal">
      <formula>"Performed own test"</formula>
    </cfRule>
    <cfRule type="cellIs" dxfId="86" priority="2" operator="equal">
      <formula>"No"</formula>
    </cfRule>
    <cfRule type="cellIs" dxfId="85" priority="3" operator="equal">
      <formula>"YES"</formula>
    </cfRule>
  </conditionalFormatting>
  <dataValidations count="3">
    <dataValidation allowBlank="1" showInputMessage="1" showErrorMessage="1" sqref="L9:P10 G7 Q7:Q8 X7 AC9:AG10 AH7:AH8 AO7 AT9:AX10 AY7:AY8 BF7 BK9:BO10 BP7:BP8 BW7 CB9:CF10 CG7:CG8 CN7 CS9:CW10 CX7:CX8 DE7 DJ9:DN10 DO7:DO8 EA9:EE10 DV7" xr:uid="{6EC76071-E428-4623-B83B-6AC2870D4F40}"/>
    <dataValidation type="list" allowBlank="1" showInputMessage="1" showErrorMessage="1" sqref="E7:F10 DC7:DD10 V7:W10 AM7:AN10 BD7:BE10 BU7:BV10 CL7:CM10 DT7:DU10" xr:uid="{A2C5A435-4005-4ACD-B493-1D67CFAB5103}">
      <formula1>"YES,NO,N/A"</formula1>
    </dataValidation>
    <dataValidation type="list" allowBlank="1" showInputMessage="1" showErrorMessage="1" sqref="L7 DJ7 AC7 AT7 BK7 CB7 CS7 EA7" xr:uid="{89C79617-B4EE-4AF2-8F07-BDE502319E5A}">
      <formula1>"Performed own test,YES,NO"</formula1>
    </dataValidation>
  </dataValidations>
  <hyperlinks>
    <hyperlink ref="S2" location="'Cover Sheet'!A1" display="BACK to COVER SHEET" xr:uid="{88884685-E4FB-40AE-B1C3-9D4BBE0AD295}"/>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D2B2-F268-41AA-8E6B-4DF62EA0AC64}">
  <sheetPr codeName="Sheet8">
    <tabColor rgb="FF9999FF"/>
  </sheetPr>
  <dimension ref="A1:S41"/>
  <sheetViews>
    <sheetView view="pageBreakPreview" zoomScaleNormal="100" zoomScaleSheetLayoutView="100" workbookViewId="0">
      <selection sqref="A1:O1"/>
    </sheetView>
  </sheetViews>
  <sheetFormatPr defaultColWidth="9.140625" defaultRowHeight="12.75"/>
  <cols>
    <col min="1" max="3" width="5" customWidth="1"/>
    <col min="4" max="6" width="5.7109375" customWidth="1"/>
    <col min="7" max="12" width="6.7109375" customWidth="1"/>
    <col min="13" max="15" width="5" customWidth="1"/>
    <col min="16" max="16" width="10.7109375" customWidth="1"/>
    <col min="17" max="19" width="5.7109375" customWidth="1"/>
    <col min="20" max="22" width="5" customWidth="1"/>
    <col min="23" max="28" width="6.7109375" customWidth="1"/>
    <col min="29" max="46" width="5" customWidth="1"/>
  </cols>
  <sheetData>
    <row r="1" spans="1:19">
      <c r="A1" s="561" t="str">
        <f>CONCATENATE(Read_Me!A1," FS ASES ",Read_Me!B1," - MATERIALS OVERVIEW")</f>
        <v>2026 FS ASES V1.0 - MATERIALS OVERVIEW</v>
      </c>
      <c r="B1" s="561"/>
      <c r="C1" s="561"/>
      <c r="D1" s="561"/>
      <c r="E1" s="561"/>
      <c r="F1" s="561"/>
      <c r="G1" s="561"/>
      <c r="H1" s="561"/>
      <c r="I1" s="561"/>
      <c r="J1" s="561"/>
      <c r="K1" s="561"/>
      <c r="L1" s="561"/>
      <c r="M1" s="561"/>
      <c r="N1" s="561"/>
      <c r="O1" s="561"/>
      <c r="P1" s="3"/>
      <c r="Q1" s="3"/>
      <c r="R1" s="3"/>
      <c r="S1" s="3"/>
    </row>
    <row r="2" spans="1:19">
      <c r="A2" s="174"/>
      <c r="B2" s="174"/>
      <c r="C2" s="174"/>
      <c r="D2" s="174"/>
      <c r="E2" s="174"/>
      <c r="F2" s="174"/>
      <c r="G2" s="174"/>
      <c r="H2" s="174"/>
      <c r="I2" s="174"/>
      <c r="J2" s="174"/>
      <c r="K2" s="174"/>
      <c r="L2" s="174"/>
      <c r="M2" s="174"/>
      <c r="N2" s="174"/>
      <c r="O2" s="174"/>
    </row>
    <row r="3" spans="1:19">
      <c r="A3" s="174" t="s">
        <v>17</v>
      </c>
      <c r="B3" s="174"/>
      <c r="C3" s="174"/>
      <c r="D3" s="562" t="str">
        <f>IF('Cover Sheet'!D15:J15&gt;0,'Cover Sheet'!D15:J15,"")</f>
        <v/>
      </c>
      <c r="E3" s="562"/>
      <c r="F3" s="562"/>
      <c r="G3" s="562"/>
      <c r="H3" s="562"/>
      <c r="I3" s="174" t="s">
        <v>18</v>
      </c>
      <c r="J3" s="174"/>
      <c r="K3" s="174"/>
      <c r="L3" s="562" t="str">
        <f>IF('Cover Sheet'!O15&gt;0,'Cover Sheet'!O15,"")</f>
        <v/>
      </c>
      <c r="M3" s="562"/>
      <c r="N3" s="562"/>
      <c r="O3" s="562"/>
    </row>
    <row r="4" spans="1:19">
      <c r="A4" s="174"/>
      <c r="B4" s="174"/>
      <c r="C4" s="174"/>
      <c r="D4" s="174"/>
      <c r="E4" s="174"/>
      <c r="F4" s="174"/>
      <c r="G4" s="174"/>
      <c r="H4" s="174"/>
      <c r="I4" s="174"/>
      <c r="J4" s="174"/>
      <c r="K4" s="174"/>
      <c r="L4" s="174"/>
      <c r="M4" s="174"/>
      <c r="N4" s="174"/>
      <c r="O4" s="174"/>
    </row>
    <row r="5" spans="1:19" ht="12.75" customHeight="1">
      <c r="A5" s="776" t="s">
        <v>219</v>
      </c>
      <c r="B5" s="777"/>
      <c r="C5" s="777"/>
      <c r="D5" s="777"/>
      <c r="E5" s="777"/>
      <c r="F5" s="777"/>
      <c r="G5" s="777"/>
      <c r="H5" s="777"/>
      <c r="I5" s="777"/>
      <c r="J5" s="777"/>
      <c r="K5" s="777"/>
      <c r="L5" s="778"/>
      <c r="M5" s="176"/>
      <c r="N5" s="174"/>
      <c r="O5" s="174"/>
    </row>
    <row r="6" spans="1:19" ht="12.75" customHeight="1">
      <c r="A6" s="779"/>
      <c r="B6" s="780"/>
      <c r="C6" s="780"/>
      <c r="D6" s="780"/>
      <c r="E6" s="780"/>
      <c r="F6" s="780"/>
      <c r="G6" s="780"/>
      <c r="H6" s="780"/>
      <c r="I6" s="780"/>
      <c r="J6" s="780"/>
      <c r="K6" s="780"/>
      <c r="L6" s="781"/>
      <c r="M6" s="176"/>
      <c r="N6" s="174"/>
      <c r="O6" s="174"/>
    </row>
    <row r="7" spans="1:19" ht="39" customHeight="1">
      <c r="A7" s="771" t="s">
        <v>371</v>
      </c>
      <c r="B7" s="764"/>
      <c r="C7" s="765"/>
      <c r="D7" s="763" t="s">
        <v>88</v>
      </c>
      <c r="E7" s="764"/>
      <c r="F7" s="765"/>
      <c r="G7" s="766" t="s">
        <v>391</v>
      </c>
      <c r="H7" s="767"/>
      <c r="I7" s="768"/>
      <c r="J7" s="769" t="s">
        <v>318</v>
      </c>
      <c r="K7" s="767"/>
      <c r="L7" s="770"/>
      <c r="M7" s="176"/>
      <c r="N7" s="174"/>
      <c r="O7" s="174"/>
    </row>
    <row r="8" spans="1:19" ht="15.75">
      <c r="A8" s="759" t="str">
        <f>IF('Datasheets Fiber'!A5="Your Material 1","",'Datasheets Fiber'!A5)</f>
        <v>Twill 22x</v>
      </c>
      <c r="B8" s="760"/>
      <c r="C8" s="760"/>
      <c r="D8" s="761" t="str">
        <f>IF(A8="","",'Datasheets Fiber'!A7)</f>
        <v>Carbon Fiber</v>
      </c>
      <c r="E8" s="761"/>
      <c r="F8" s="761"/>
      <c r="G8" s="762" t="str">
        <f>IF(A8="","",'Datasheets Fiber'!E9)</f>
        <v>NO</v>
      </c>
      <c r="H8" s="762"/>
      <c r="I8" s="762"/>
      <c r="J8" s="762" t="str">
        <f>IF(A8="","",'Datasheets Fiber'!L9)</f>
        <v>NO</v>
      </c>
      <c r="K8" s="762"/>
      <c r="L8" s="772"/>
      <c r="M8" s="176"/>
      <c r="N8" s="174"/>
      <c r="O8" s="174"/>
    </row>
    <row r="9" spans="1:19" ht="15.75">
      <c r="A9" s="707" t="str">
        <f>IF('Datasheets Fiber'!R5="Your Material 2","",'Datasheets Fiber'!R5)</f>
        <v/>
      </c>
      <c r="B9" s="708"/>
      <c r="C9" s="708"/>
      <c r="D9" s="673" t="str">
        <f>IF(A9="","",'Datasheets Fiber'!R7)</f>
        <v/>
      </c>
      <c r="E9" s="673"/>
      <c r="F9" s="673"/>
      <c r="G9" s="732" t="str">
        <f>IF(A9="","",'Datasheets Fiber'!V9)</f>
        <v/>
      </c>
      <c r="H9" s="732"/>
      <c r="I9" s="732"/>
      <c r="J9" s="732" t="str">
        <f>IF(A9="","",'Datasheets Fiber'!AC9)</f>
        <v/>
      </c>
      <c r="K9" s="732"/>
      <c r="L9" s="774"/>
      <c r="M9" s="176"/>
      <c r="N9" s="174"/>
      <c r="O9" s="174"/>
    </row>
    <row r="10" spans="1:19" ht="15.75">
      <c r="A10" s="707" t="str">
        <f>IF('Datasheets Fiber'!AI5="Your Material 3","",'Datasheets Fiber'!AI5)</f>
        <v/>
      </c>
      <c r="B10" s="708"/>
      <c r="C10" s="708"/>
      <c r="D10" s="673" t="str">
        <f>IF(A10="","",'Datasheets Fiber'!AI7)</f>
        <v/>
      </c>
      <c r="E10" s="673"/>
      <c r="F10" s="673"/>
      <c r="G10" s="732" t="str">
        <f>IF(A10="","",'Datasheets Fiber'!AM9)</f>
        <v/>
      </c>
      <c r="H10" s="732"/>
      <c r="I10" s="732"/>
      <c r="J10" s="732" t="str">
        <f>IF(A10="","",'Datasheets Fiber'!AT9)</f>
        <v/>
      </c>
      <c r="K10" s="732"/>
      <c r="L10" s="774"/>
      <c r="M10" s="176"/>
      <c r="N10" s="174"/>
      <c r="O10" s="174"/>
    </row>
    <row r="11" spans="1:19" ht="15.75">
      <c r="A11" s="707" t="str">
        <f>IF('Datasheets Fiber'!AZ5="Your Material 4","",'Datasheets Fiber'!AZ5)</f>
        <v/>
      </c>
      <c r="B11" s="708"/>
      <c r="C11" s="708"/>
      <c r="D11" s="673" t="str">
        <f>IF(A11="","",'Datasheets Fiber'!AZ7)</f>
        <v/>
      </c>
      <c r="E11" s="673"/>
      <c r="F11" s="673"/>
      <c r="G11" s="732" t="str">
        <f>IF(A11="","",'Datasheets Fiber'!BD9)</f>
        <v/>
      </c>
      <c r="H11" s="732"/>
      <c r="I11" s="732"/>
      <c r="J11" s="732" t="str">
        <f>IF(A11="","",'Datasheets Fiber'!BK9)</f>
        <v/>
      </c>
      <c r="K11" s="732"/>
      <c r="L11" s="774"/>
      <c r="M11" s="176"/>
      <c r="N11" s="174"/>
      <c r="O11" s="174"/>
    </row>
    <row r="12" spans="1:19" ht="15.75">
      <c r="A12" s="707" t="str">
        <f>IF('Datasheets Fiber'!BQ5="Your Material 5","",'Datasheets Fiber'!BQ5)</f>
        <v/>
      </c>
      <c r="B12" s="708"/>
      <c r="C12" s="708"/>
      <c r="D12" s="673" t="str">
        <f>IF(A12="","",'Datasheets Fiber'!BQ7)</f>
        <v/>
      </c>
      <c r="E12" s="673"/>
      <c r="F12" s="673"/>
      <c r="G12" s="732" t="str">
        <f>IF(A12="","",'Datasheets Fiber'!BU9)</f>
        <v/>
      </c>
      <c r="H12" s="732"/>
      <c r="I12" s="732"/>
      <c r="J12" s="732" t="str">
        <f>IF(A12="","",'Datasheets Fiber'!CB9)</f>
        <v/>
      </c>
      <c r="K12" s="732"/>
      <c r="L12" s="774"/>
      <c r="M12" s="176"/>
      <c r="N12" s="174"/>
      <c r="O12" s="174"/>
    </row>
    <row r="13" spans="1:19" ht="15.75">
      <c r="A13" s="707" t="str">
        <f>IF('Datasheets Fiber'!CH5="Your Material 6","",'Datasheets Fiber'!CH5)</f>
        <v/>
      </c>
      <c r="B13" s="708"/>
      <c r="C13" s="708"/>
      <c r="D13" s="673" t="str">
        <f>IF(A13="","",'Datasheets Fiber'!CH7)</f>
        <v/>
      </c>
      <c r="E13" s="673"/>
      <c r="F13" s="673"/>
      <c r="G13" s="732" t="str">
        <f>IF(A13="","",'Datasheets Fiber'!CL9)</f>
        <v/>
      </c>
      <c r="H13" s="732"/>
      <c r="I13" s="732"/>
      <c r="J13" s="732" t="str">
        <f>IF(A13="","",'Datasheets Fiber'!CS9)</f>
        <v/>
      </c>
      <c r="K13" s="732"/>
      <c r="L13" s="774"/>
      <c r="M13" s="176"/>
      <c r="N13" s="174"/>
      <c r="O13" s="174"/>
    </row>
    <row r="14" spans="1:19" ht="15.75">
      <c r="A14" s="710" t="str">
        <f>IF('Datasheets Fiber'!CY5="Your Material 7","",'Datasheets Fiber'!CY5)</f>
        <v/>
      </c>
      <c r="B14" s="711"/>
      <c r="C14" s="711"/>
      <c r="D14" s="676" t="str">
        <f>IF(A14="","",'Datasheets Fiber'!CY7)</f>
        <v/>
      </c>
      <c r="E14" s="676"/>
      <c r="F14" s="676"/>
      <c r="G14" s="731" t="str">
        <f>IF(A14="","",'Datasheets Fiber'!DC9)</f>
        <v/>
      </c>
      <c r="H14" s="731"/>
      <c r="I14" s="731"/>
      <c r="J14" s="731" t="str">
        <f>IF(A14="","",'Datasheets Fiber'!DJ9)</f>
        <v/>
      </c>
      <c r="K14" s="731"/>
      <c r="L14" s="775"/>
      <c r="M14" s="176"/>
      <c r="N14" s="174"/>
      <c r="O14" s="174"/>
    </row>
    <row r="15" spans="1:19" ht="15.75">
      <c r="A15" s="739" t="str">
        <f>IF('Datasheets Fiber'!DP5="Your Material 8","",'Datasheets Fiber'!DP5)</f>
        <v/>
      </c>
      <c r="B15" s="740"/>
      <c r="C15" s="740"/>
      <c r="D15" s="741" t="str">
        <f>IF(A15="","",'Datasheets Fiber'!DP7)</f>
        <v/>
      </c>
      <c r="E15" s="741"/>
      <c r="F15" s="741"/>
      <c r="G15" s="742" t="str">
        <f>IF(A15="","",'Datasheets Fiber'!DT9)</f>
        <v/>
      </c>
      <c r="H15" s="742"/>
      <c r="I15" s="742"/>
      <c r="J15" s="742" t="str">
        <f>IF(A15="","",'Datasheets Fiber'!EA9)</f>
        <v/>
      </c>
      <c r="K15" s="742"/>
      <c r="L15" s="773"/>
      <c r="M15" s="176"/>
      <c r="N15" s="174"/>
      <c r="O15" s="174"/>
    </row>
    <row r="16" spans="1:19">
      <c r="A16" s="174"/>
      <c r="B16" s="174"/>
      <c r="C16" s="174"/>
      <c r="D16" s="174"/>
      <c r="E16" s="174"/>
      <c r="F16" s="174"/>
      <c r="G16" s="174"/>
      <c r="H16" s="174"/>
      <c r="I16" s="174"/>
      <c r="J16" s="174"/>
      <c r="K16" s="174"/>
      <c r="L16" s="174"/>
      <c r="M16" s="174"/>
      <c r="N16" s="174"/>
      <c r="O16" s="174"/>
    </row>
    <row r="17" spans="1:15" ht="12.75" customHeight="1" thickBot="1">
      <c r="A17" s="174"/>
      <c r="B17" s="174"/>
      <c r="C17" s="174"/>
      <c r="D17" s="174"/>
      <c r="E17" s="174"/>
      <c r="F17" s="174"/>
      <c r="G17" s="174"/>
      <c r="H17" s="174"/>
      <c r="I17" s="174"/>
      <c r="J17" s="174"/>
      <c r="K17" s="174"/>
      <c r="L17" s="174"/>
      <c r="M17" s="174"/>
      <c r="N17" s="174"/>
      <c r="O17" s="174"/>
    </row>
    <row r="18" spans="1:15" ht="12.75" customHeight="1">
      <c r="A18" s="733" t="s">
        <v>220</v>
      </c>
      <c r="B18" s="734"/>
      <c r="C18" s="734"/>
      <c r="D18" s="734"/>
      <c r="E18" s="734"/>
      <c r="F18" s="734"/>
      <c r="G18" s="734"/>
      <c r="H18" s="734"/>
      <c r="I18" s="734"/>
      <c r="J18" s="734"/>
      <c r="K18" s="734"/>
      <c r="L18" s="734"/>
      <c r="M18" s="734"/>
      <c r="N18" s="734"/>
      <c r="O18" s="735"/>
    </row>
    <row r="19" spans="1:15" ht="21" customHeight="1" thickBot="1">
      <c r="A19" s="736"/>
      <c r="B19" s="737"/>
      <c r="C19" s="737"/>
      <c r="D19" s="737"/>
      <c r="E19" s="737"/>
      <c r="F19" s="737"/>
      <c r="G19" s="737"/>
      <c r="H19" s="737"/>
      <c r="I19" s="737"/>
      <c r="J19" s="737"/>
      <c r="K19" s="737"/>
      <c r="L19" s="737"/>
      <c r="M19" s="737"/>
      <c r="N19" s="737"/>
      <c r="O19" s="738"/>
    </row>
    <row r="20" spans="1:15" ht="47.25" customHeight="1" thickBot="1">
      <c r="A20" s="753" t="s">
        <v>371</v>
      </c>
      <c r="B20" s="754"/>
      <c r="C20" s="755"/>
      <c r="D20" s="782" t="s">
        <v>88</v>
      </c>
      <c r="E20" s="754"/>
      <c r="F20" s="755"/>
      <c r="G20" s="756" t="s">
        <v>391</v>
      </c>
      <c r="H20" s="747"/>
      <c r="I20" s="757"/>
      <c r="J20" s="783" t="s">
        <v>318</v>
      </c>
      <c r="K20" s="743"/>
      <c r="L20" s="743"/>
      <c r="M20" s="743" t="s">
        <v>222</v>
      </c>
      <c r="N20" s="743"/>
      <c r="O20" s="744"/>
    </row>
    <row r="21" spans="1:15" ht="15.75">
      <c r="A21" s="759" t="str">
        <f>IF('Datasheets Other Matl'!A5="Your Material 1","",'Datasheets Other Matl'!A5)</f>
        <v/>
      </c>
      <c r="B21" s="760"/>
      <c r="C21" s="760"/>
      <c r="D21" s="761" t="str">
        <f>IF(A21="","",'Datasheets Other Matl'!A7)</f>
        <v/>
      </c>
      <c r="E21" s="761"/>
      <c r="F21" s="761"/>
      <c r="G21" s="762" t="str">
        <f>IF(A21="","",'Datasheets Other Matl'!E9)</f>
        <v/>
      </c>
      <c r="H21" s="762"/>
      <c r="I21" s="762"/>
      <c r="J21" s="762" t="str">
        <f>IF(A21="","",'Datasheets Other Matl'!L9)</f>
        <v/>
      </c>
      <c r="K21" s="762"/>
      <c r="L21" s="762"/>
      <c r="M21" s="745" t="str">
        <f>IF(A21="","",'Datasheets Other Matl'!L11)</f>
        <v/>
      </c>
      <c r="N21" s="745"/>
      <c r="O21" s="746"/>
    </row>
    <row r="22" spans="1:15" ht="15.75">
      <c r="A22" s="707" t="str">
        <f>IF('Datasheets Other Matl'!R5="Your Material 2","",'Datasheets Other Matl'!R5)</f>
        <v/>
      </c>
      <c r="B22" s="708"/>
      <c r="C22" s="708"/>
      <c r="D22" s="673" t="str">
        <f>IF(A22="","",'Datasheets Other Matl'!R7)</f>
        <v/>
      </c>
      <c r="E22" s="673"/>
      <c r="F22" s="673"/>
      <c r="G22" s="732" t="str">
        <f>IF(A22="","",'Datasheets Other Matl'!V9)</f>
        <v/>
      </c>
      <c r="H22" s="732"/>
      <c r="I22" s="732"/>
      <c r="J22" s="732" t="str">
        <f>IF(A22="","",'Datasheets Other Matl'!AC9)</f>
        <v/>
      </c>
      <c r="K22" s="732"/>
      <c r="L22" s="732"/>
      <c r="M22" s="749" t="str">
        <f>IF(A22="","",'Datasheets Other Matl'!AC11)</f>
        <v/>
      </c>
      <c r="N22" s="749"/>
      <c r="O22" s="750"/>
    </row>
    <row r="23" spans="1:15" ht="15.75">
      <c r="A23" s="707" t="str">
        <f>IF('Datasheets Other Matl'!AI5="Your Material 3","",'Datasheets Other Matl'!AI5)</f>
        <v/>
      </c>
      <c r="B23" s="708"/>
      <c r="C23" s="708"/>
      <c r="D23" s="673" t="str">
        <f>IF(A23="","",'Datasheets Other Matl'!AI7)</f>
        <v/>
      </c>
      <c r="E23" s="673"/>
      <c r="F23" s="673"/>
      <c r="G23" s="732" t="str">
        <f>IF(A23="","",'Datasheets Other Matl'!AM9)</f>
        <v/>
      </c>
      <c r="H23" s="732"/>
      <c r="I23" s="732"/>
      <c r="J23" s="732" t="str">
        <f>IF(A23="","",'Datasheets Other Matl'!AT9)</f>
        <v/>
      </c>
      <c r="K23" s="732"/>
      <c r="L23" s="732"/>
      <c r="M23" s="749" t="str">
        <f>IF(A23="","",'Datasheets Other Matl'!AT11)</f>
        <v/>
      </c>
      <c r="N23" s="749"/>
      <c r="O23" s="750"/>
    </row>
    <row r="24" spans="1:15" ht="15.75">
      <c r="A24" s="707" t="str">
        <f>IF('Datasheets Other Matl'!AZ5="Your Material 4","",'Datasheets Other Matl'!AZ5)</f>
        <v/>
      </c>
      <c r="B24" s="708"/>
      <c r="C24" s="708"/>
      <c r="D24" s="673" t="str">
        <f>IF(A24="","",'Datasheets Other Matl'!AZ7)</f>
        <v/>
      </c>
      <c r="E24" s="673"/>
      <c r="F24" s="673"/>
      <c r="G24" s="732" t="str">
        <f>IF(A24="","",'Datasheets Other Matl'!BD9)</f>
        <v/>
      </c>
      <c r="H24" s="732"/>
      <c r="I24" s="732"/>
      <c r="J24" s="732" t="str">
        <f>IF(A24="","",'Datasheets Other Matl'!BK9)</f>
        <v/>
      </c>
      <c r="K24" s="732"/>
      <c r="L24" s="732"/>
      <c r="M24" s="749" t="str">
        <f>IF(A24="","",'Datasheets Other Matl'!BK11)</f>
        <v/>
      </c>
      <c r="N24" s="749"/>
      <c r="O24" s="750"/>
    </row>
    <row r="25" spans="1:15" ht="15.75">
      <c r="A25" s="707" t="str">
        <f>IF('Datasheets Other Matl'!BQ5="Your Material 5","",'Datasheets Other Matl'!BQ5)</f>
        <v/>
      </c>
      <c r="B25" s="708"/>
      <c r="C25" s="708"/>
      <c r="D25" s="673" t="str">
        <f>IF(A25="","",'Datasheets Other Matl'!BQ7)</f>
        <v/>
      </c>
      <c r="E25" s="673"/>
      <c r="F25" s="673"/>
      <c r="G25" s="732" t="str">
        <f>IF(A25="","",'Datasheets Other Matl'!BU9)</f>
        <v/>
      </c>
      <c r="H25" s="732"/>
      <c r="I25" s="732"/>
      <c r="J25" s="732" t="str">
        <f>IF(A25="","",'Datasheets Other Matl'!CB9)</f>
        <v/>
      </c>
      <c r="K25" s="732"/>
      <c r="L25" s="732"/>
      <c r="M25" s="749" t="str">
        <f>IF(A25="","",'Datasheets Other Matl'!CB11)</f>
        <v/>
      </c>
      <c r="N25" s="749"/>
      <c r="O25" s="750"/>
    </row>
    <row r="26" spans="1:15" ht="15.75">
      <c r="A26" s="707" t="str">
        <f>IF('Datasheets Other Matl'!CH5="Your Material 6","",'Datasheets Other Matl'!CH5)</f>
        <v/>
      </c>
      <c r="B26" s="708"/>
      <c r="C26" s="708"/>
      <c r="D26" s="673" t="str">
        <f>IF(A26="","",'Datasheets Other Matl'!CH7)</f>
        <v/>
      </c>
      <c r="E26" s="673"/>
      <c r="F26" s="673"/>
      <c r="G26" s="732" t="str">
        <f>IF(A26="","",'Datasheets Other Matl'!CL9)</f>
        <v/>
      </c>
      <c r="H26" s="732"/>
      <c r="I26" s="732"/>
      <c r="J26" s="732" t="str">
        <f>IF(A26="","",'Datasheets Other Matl'!CS9)</f>
        <v/>
      </c>
      <c r="K26" s="732"/>
      <c r="L26" s="732"/>
      <c r="M26" s="749" t="str">
        <f>IF(A26="","",'Datasheets Other Matl'!CS11)</f>
        <v/>
      </c>
      <c r="N26" s="749"/>
      <c r="O26" s="750"/>
    </row>
    <row r="27" spans="1:15" ht="15.75">
      <c r="A27" s="710" t="str">
        <f>IF('Datasheets Other Matl'!CY5="Your Material 7","",'Datasheets Other Matl'!CY5)</f>
        <v/>
      </c>
      <c r="B27" s="711"/>
      <c r="C27" s="711"/>
      <c r="D27" s="676" t="str">
        <f>IF(A27="","",'Datasheets Other Matl'!CY7)</f>
        <v/>
      </c>
      <c r="E27" s="676"/>
      <c r="F27" s="676"/>
      <c r="G27" s="731" t="str">
        <f>IF(A27="","",'Datasheets Other Matl'!DC9)</f>
        <v/>
      </c>
      <c r="H27" s="731"/>
      <c r="I27" s="731"/>
      <c r="J27" s="731" t="str">
        <f>IF(A27="","",'Datasheets Other Matl'!DJ9)</f>
        <v/>
      </c>
      <c r="K27" s="731"/>
      <c r="L27" s="731"/>
      <c r="M27" s="749" t="str">
        <f>IF(A27="","",'Datasheets Other Matl'!DJ11)</f>
        <v/>
      </c>
      <c r="N27" s="749"/>
      <c r="O27" s="750"/>
    </row>
    <row r="28" spans="1:15" ht="16.5" thickBot="1">
      <c r="A28" s="739" t="str">
        <f>IF('Datasheets Other Matl'!DP5="Your Material 8","",'Datasheets Other Matl'!DP5)</f>
        <v/>
      </c>
      <c r="B28" s="740"/>
      <c r="C28" s="740"/>
      <c r="D28" s="741" t="str">
        <f>IF(A28="","",'Datasheets Other Matl'!DP7)</f>
        <v/>
      </c>
      <c r="E28" s="741"/>
      <c r="F28" s="741"/>
      <c r="G28" s="742" t="str">
        <f>IF(A28="","",'Datasheets Other Matl'!DT9)</f>
        <v/>
      </c>
      <c r="H28" s="742"/>
      <c r="I28" s="742"/>
      <c r="J28" s="742" t="str">
        <f>IF(A28="","",'Datasheets Other Matl'!EA9)</f>
        <v/>
      </c>
      <c r="K28" s="742"/>
      <c r="L28" s="742"/>
      <c r="M28" s="751" t="str">
        <f>IF(A28="","",'Datasheets Other Matl'!EA11)</f>
        <v/>
      </c>
      <c r="N28" s="751"/>
      <c r="O28" s="752"/>
    </row>
    <row r="29" spans="1:15">
      <c r="A29" s="174"/>
      <c r="B29" s="174"/>
      <c r="C29" s="174"/>
      <c r="D29" s="174"/>
      <c r="E29" s="174"/>
      <c r="F29" s="174"/>
      <c r="G29" s="174"/>
      <c r="H29" s="174"/>
      <c r="I29" s="174"/>
      <c r="J29" s="174"/>
      <c r="K29" s="174"/>
      <c r="L29" s="174"/>
      <c r="M29" s="174"/>
      <c r="N29" s="174"/>
      <c r="O29" s="174"/>
    </row>
    <row r="30" spans="1:15" ht="12.75" customHeight="1" thickBot="1">
      <c r="A30" s="174"/>
      <c r="B30" s="174"/>
      <c r="C30" s="174"/>
      <c r="D30" s="174"/>
      <c r="E30" s="174"/>
      <c r="F30" s="174"/>
      <c r="G30" s="174"/>
      <c r="H30" s="174"/>
      <c r="I30" s="174"/>
      <c r="J30" s="174"/>
      <c r="K30" s="174"/>
      <c r="L30" s="350" t="s">
        <v>375</v>
      </c>
      <c r="M30" s="174"/>
      <c r="N30" s="174"/>
      <c r="O30" s="174"/>
    </row>
    <row r="31" spans="1:15" ht="12.75" customHeight="1">
      <c r="A31" s="733" t="s">
        <v>221</v>
      </c>
      <c r="B31" s="734"/>
      <c r="C31" s="734"/>
      <c r="D31" s="734"/>
      <c r="E31" s="734"/>
      <c r="F31" s="734"/>
      <c r="G31" s="734"/>
      <c r="H31" s="734"/>
      <c r="I31" s="734"/>
      <c r="J31" s="734"/>
      <c r="K31" s="734"/>
      <c r="L31" s="734"/>
      <c r="M31" s="734"/>
      <c r="N31" s="734"/>
      <c r="O31" s="735"/>
    </row>
    <row r="32" spans="1:15" ht="12.75" customHeight="1" thickBot="1">
      <c r="A32" s="736"/>
      <c r="B32" s="737"/>
      <c r="C32" s="737"/>
      <c r="D32" s="737"/>
      <c r="E32" s="737"/>
      <c r="F32" s="737"/>
      <c r="G32" s="737"/>
      <c r="H32" s="737"/>
      <c r="I32" s="737"/>
      <c r="J32" s="737"/>
      <c r="K32" s="737"/>
      <c r="L32" s="737"/>
      <c r="M32" s="737"/>
      <c r="N32" s="737"/>
      <c r="O32" s="738"/>
    </row>
    <row r="33" spans="1:15" ht="38.25" customHeight="1" thickBot="1">
      <c r="A33" s="753" t="s">
        <v>371</v>
      </c>
      <c r="B33" s="754"/>
      <c r="C33" s="755"/>
      <c r="D33" s="756" t="s">
        <v>374</v>
      </c>
      <c r="E33" s="747"/>
      <c r="F33" s="757"/>
      <c r="G33" s="756" t="s">
        <v>372</v>
      </c>
      <c r="H33" s="747"/>
      <c r="I33" s="757"/>
      <c r="J33" s="756" t="s">
        <v>373</v>
      </c>
      <c r="K33" s="747"/>
      <c r="L33" s="758"/>
      <c r="M33" s="747" t="s">
        <v>222</v>
      </c>
      <c r="N33" s="747"/>
      <c r="O33" s="748"/>
    </row>
    <row r="34" spans="1:15" ht="15.75">
      <c r="A34" s="759" t="str">
        <f>IF('Datasheets Glue'!A5="Your Material 1","",'Datasheets Glue'!A5)</f>
        <v/>
      </c>
      <c r="B34" s="760"/>
      <c r="C34" s="760"/>
      <c r="D34" s="761" t="str">
        <f>IF(A34="","",'Datasheets Glue'!E7)</f>
        <v/>
      </c>
      <c r="E34" s="761"/>
      <c r="F34" s="761"/>
      <c r="G34" s="762" t="str">
        <f>IF(A34="","",'Datasheets Glue'!L7)</f>
        <v/>
      </c>
      <c r="H34" s="762"/>
      <c r="I34" s="762"/>
      <c r="J34" s="762" t="str">
        <f>IF(A34="","",'Datasheets Glue'!E9)</f>
        <v/>
      </c>
      <c r="K34" s="762"/>
      <c r="L34" s="762"/>
      <c r="M34" s="745" t="str">
        <f>IF(A34="","",'Datasheets Glue'!L9)</f>
        <v/>
      </c>
      <c r="N34" s="745"/>
      <c r="O34" s="746"/>
    </row>
    <row r="35" spans="1:15" ht="15.75">
      <c r="A35" s="707" t="str">
        <f>IF('Datasheets Glue'!R5="Your Material 2","",'Datasheets Glue'!R5)</f>
        <v/>
      </c>
      <c r="B35" s="708"/>
      <c r="C35" s="708"/>
      <c r="D35" s="673" t="str">
        <f>IF(A35="","",'Datasheets Glue'!V7)</f>
        <v/>
      </c>
      <c r="E35" s="673"/>
      <c r="F35" s="673"/>
      <c r="G35" s="732" t="str">
        <f>IF(A35="","",'Datasheets Glue'!AC7)</f>
        <v/>
      </c>
      <c r="H35" s="732"/>
      <c r="I35" s="732"/>
      <c r="J35" s="732" t="str">
        <f>IF(A35="","",'Datasheets Glue'!V9)</f>
        <v/>
      </c>
      <c r="K35" s="732"/>
      <c r="L35" s="732"/>
      <c r="M35" s="749" t="str">
        <f>IF(A35="","",'Datasheets Glue'!AC9)</f>
        <v/>
      </c>
      <c r="N35" s="749"/>
      <c r="O35" s="750"/>
    </row>
    <row r="36" spans="1:15" ht="15.75">
      <c r="A36" s="707" t="str">
        <f>IF('Datasheets Glue'!AI5="Your Material 3","",'Datasheets Glue'!AI5)</f>
        <v/>
      </c>
      <c r="B36" s="708"/>
      <c r="C36" s="708"/>
      <c r="D36" s="673" t="str">
        <f>IF(A36="","",'Datasheets Glue'!AM7)</f>
        <v/>
      </c>
      <c r="E36" s="673"/>
      <c r="F36" s="673"/>
      <c r="G36" s="732" t="str">
        <f>IF(A36="","",'Datasheets Glue'!AT7)</f>
        <v/>
      </c>
      <c r="H36" s="732"/>
      <c r="I36" s="732"/>
      <c r="J36" s="732" t="str">
        <f>IF(A36="","",'Datasheets Glue'!AM9)</f>
        <v/>
      </c>
      <c r="K36" s="732"/>
      <c r="L36" s="732"/>
      <c r="M36" s="749" t="str">
        <f>IF(A36="","",'Datasheets Glue'!AT9)</f>
        <v/>
      </c>
      <c r="N36" s="749"/>
      <c r="O36" s="750"/>
    </row>
    <row r="37" spans="1:15" ht="15.75">
      <c r="A37" s="707" t="str">
        <f>IF('Datasheets Glue'!AZ5="Your Material 4","",'Datasheets Glue'!AZ5)</f>
        <v/>
      </c>
      <c r="B37" s="708"/>
      <c r="C37" s="708"/>
      <c r="D37" s="673" t="str">
        <f>IF(A37="","",'Datasheets Glue'!BD7)</f>
        <v/>
      </c>
      <c r="E37" s="673"/>
      <c r="F37" s="673"/>
      <c r="G37" s="732" t="str">
        <f>IF(A37="","",'Datasheets Glue'!BK7)</f>
        <v/>
      </c>
      <c r="H37" s="732"/>
      <c r="I37" s="732"/>
      <c r="J37" s="732" t="str">
        <f>IF(A37="","",'Datasheets Glue'!BD9)</f>
        <v/>
      </c>
      <c r="K37" s="732"/>
      <c r="L37" s="732"/>
      <c r="M37" s="749" t="str">
        <f>IF(A37="","",'Datasheets Glue'!BK9)</f>
        <v/>
      </c>
      <c r="N37" s="749"/>
      <c r="O37" s="750"/>
    </row>
    <row r="38" spans="1:15" ht="15.75">
      <c r="A38" s="707" t="str">
        <f>IF('Datasheets Glue'!BQ5="Your Material 5","",'Datasheets Glue'!BQ5)</f>
        <v/>
      </c>
      <c r="B38" s="708"/>
      <c r="C38" s="708"/>
      <c r="D38" s="673" t="str">
        <f>IF(A38="","",'Datasheets Glue'!BU7)</f>
        <v/>
      </c>
      <c r="E38" s="673"/>
      <c r="F38" s="673"/>
      <c r="G38" s="732" t="str">
        <f>IF(A38="","",'Datasheets Glue'!CB7)</f>
        <v/>
      </c>
      <c r="H38" s="732"/>
      <c r="I38" s="732"/>
      <c r="J38" s="732" t="str">
        <f>IF(A38="","",'Datasheets Glue'!BU9)</f>
        <v/>
      </c>
      <c r="K38" s="732"/>
      <c r="L38" s="732"/>
      <c r="M38" s="749" t="str">
        <f>IF(A38="","",'Datasheets Glue'!CB9)</f>
        <v/>
      </c>
      <c r="N38" s="749"/>
      <c r="O38" s="750"/>
    </row>
    <row r="39" spans="1:15" ht="15.75">
      <c r="A39" s="707" t="str">
        <f>IF('Datasheets Glue'!CH5="Your Material 6","",'Datasheets Glue'!CH5)</f>
        <v/>
      </c>
      <c r="B39" s="708"/>
      <c r="C39" s="708"/>
      <c r="D39" s="673" t="str">
        <f>IF(A39="","",'Datasheets Glue'!CL7)</f>
        <v/>
      </c>
      <c r="E39" s="673"/>
      <c r="F39" s="673"/>
      <c r="G39" s="732" t="str">
        <f>IF(A39="","",'Datasheets Glue'!CS7)</f>
        <v/>
      </c>
      <c r="H39" s="732"/>
      <c r="I39" s="732"/>
      <c r="J39" s="732" t="str">
        <f>IF(A39="","",'Datasheets Glue'!CL9)</f>
        <v/>
      </c>
      <c r="K39" s="732"/>
      <c r="L39" s="732"/>
      <c r="M39" s="749" t="str">
        <f>IF(A39="","",'Datasheets Glue'!CS9)</f>
        <v/>
      </c>
      <c r="N39" s="749"/>
      <c r="O39" s="750"/>
    </row>
    <row r="40" spans="1:15" ht="15.75">
      <c r="A40" s="710" t="str">
        <f>IF('Datasheets Glue'!CY5="Your Material 7","",'Datasheets Glue'!CY5)</f>
        <v/>
      </c>
      <c r="B40" s="711"/>
      <c r="C40" s="711"/>
      <c r="D40" s="676" t="str">
        <f>IF(A40="","",'Datasheets Glue'!DC7)</f>
        <v/>
      </c>
      <c r="E40" s="676"/>
      <c r="F40" s="676"/>
      <c r="G40" s="731" t="str">
        <f>IF(A40="","",'Datasheets Glue'!DJ7)</f>
        <v/>
      </c>
      <c r="H40" s="731"/>
      <c r="I40" s="731"/>
      <c r="J40" s="732" t="str">
        <f>IF(A40="","",'Datasheets Glue'!DC9)</f>
        <v/>
      </c>
      <c r="K40" s="732"/>
      <c r="L40" s="732"/>
      <c r="M40" s="749" t="str">
        <f>IF(A40="","",'Datasheets Glue'!DJ9)</f>
        <v/>
      </c>
      <c r="N40" s="749"/>
      <c r="O40" s="750"/>
    </row>
    <row r="41" spans="1:15" ht="15.75">
      <c r="A41" s="739" t="str">
        <f>IF('Datasheets Glue'!DP5="Your Material 8","",'Datasheets Glue'!DP5)</f>
        <v/>
      </c>
      <c r="B41" s="740"/>
      <c r="C41" s="740"/>
      <c r="D41" s="741" t="str">
        <f>IF(A41="","",'Datasheets Glue'!DT7)</f>
        <v/>
      </c>
      <c r="E41" s="741"/>
      <c r="F41" s="741"/>
      <c r="G41" s="742" t="str">
        <f>IF(A41="","",'Datasheets Glue'!EA7)</f>
        <v/>
      </c>
      <c r="H41" s="742"/>
      <c r="I41" s="742"/>
      <c r="J41" s="742" t="str">
        <f>IF(A41="","",'Datasheets Glue'!DT9)</f>
        <v/>
      </c>
      <c r="K41" s="742"/>
      <c r="L41" s="742"/>
      <c r="M41" s="751" t="str">
        <f>IF(A41="","",'Datasheets Glue'!EA9)</f>
        <v/>
      </c>
      <c r="N41" s="751"/>
      <c r="O41" s="752"/>
    </row>
  </sheetData>
  <sheetProtection algorithmName="SHA-512" hashValue="1vzOQL3ppJNviZjhI2UHwT0/lqwyCN8ReCeX56GRNWmZlI5FBfuW4IOdVI04+gwG5qJCkxbt9t9yWq/raFgwVw==" saltValue="qytavkVuk906Pt6/NEGNzA==" spinCount="100000" sheet="1" scenarios="1"/>
  <mergeCells count="132">
    <mergeCell ref="M28:O28"/>
    <mergeCell ref="A18:O19"/>
    <mergeCell ref="A20:C20"/>
    <mergeCell ref="D20:F20"/>
    <mergeCell ref="G20:I20"/>
    <mergeCell ref="J20:L20"/>
    <mergeCell ref="G23:I23"/>
    <mergeCell ref="J23:L23"/>
    <mergeCell ref="A24:C24"/>
    <mergeCell ref="D24:F24"/>
    <mergeCell ref="G24:I24"/>
    <mergeCell ref="J24:L24"/>
    <mergeCell ref="A21:C21"/>
    <mergeCell ref="D21:F21"/>
    <mergeCell ref="G21:I21"/>
    <mergeCell ref="J21:L21"/>
    <mergeCell ref="A22:C22"/>
    <mergeCell ref="L3:O3"/>
    <mergeCell ref="A13:C13"/>
    <mergeCell ref="M21:O21"/>
    <mergeCell ref="M22:O22"/>
    <mergeCell ref="M23:O23"/>
    <mergeCell ref="M24:O24"/>
    <mergeCell ref="M25:O25"/>
    <mergeCell ref="M26:O26"/>
    <mergeCell ref="M27:O27"/>
    <mergeCell ref="D14:F14"/>
    <mergeCell ref="J13:L13"/>
    <mergeCell ref="J14:L14"/>
    <mergeCell ref="D3:H3"/>
    <mergeCell ref="D9:F9"/>
    <mergeCell ref="D10:F10"/>
    <mergeCell ref="D11:F11"/>
    <mergeCell ref="D12:F12"/>
    <mergeCell ref="D13:F13"/>
    <mergeCell ref="A5:L6"/>
    <mergeCell ref="A8:C8"/>
    <mergeCell ref="A9:C9"/>
    <mergeCell ref="A10:C10"/>
    <mergeCell ref="A11:C11"/>
    <mergeCell ref="A12:C12"/>
    <mergeCell ref="J9:L9"/>
    <mergeCell ref="J10:L10"/>
    <mergeCell ref="J11:L11"/>
    <mergeCell ref="J12:L12"/>
    <mergeCell ref="G8:I8"/>
    <mergeCell ref="G9:I9"/>
    <mergeCell ref="G10:I10"/>
    <mergeCell ref="G11:I11"/>
    <mergeCell ref="G12:I12"/>
    <mergeCell ref="D7:F7"/>
    <mergeCell ref="G7:I7"/>
    <mergeCell ref="J7:L7"/>
    <mergeCell ref="A7:C7"/>
    <mergeCell ref="D8:F8"/>
    <mergeCell ref="J8:L8"/>
    <mergeCell ref="A27:C27"/>
    <mergeCell ref="D27:F27"/>
    <mergeCell ref="G27:I27"/>
    <mergeCell ref="J27:L27"/>
    <mergeCell ref="A25:C25"/>
    <mergeCell ref="D25:F25"/>
    <mergeCell ref="G25:I25"/>
    <mergeCell ref="J25:L25"/>
    <mergeCell ref="A26:C26"/>
    <mergeCell ref="D26:F26"/>
    <mergeCell ref="G26:I26"/>
    <mergeCell ref="A14:C14"/>
    <mergeCell ref="A15:C15"/>
    <mergeCell ref="G13:I13"/>
    <mergeCell ref="G14:I14"/>
    <mergeCell ref="G15:I15"/>
    <mergeCell ref="D15:F15"/>
    <mergeCell ref="J15:L15"/>
    <mergeCell ref="G36:I36"/>
    <mergeCell ref="J36:L36"/>
    <mergeCell ref="A37:C37"/>
    <mergeCell ref="D22:F22"/>
    <mergeCell ref="G22:I22"/>
    <mergeCell ref="J22:L22"/>
    <mergeCell ref="A28:C28"/>
    <mergeCell ref="D28:F28"/>
    <mergeCell ref="G28:I28"/>
    <mergeCell ref="J28:L28"/>
    <mergeCell ref="G39:I39"/>
    <mergeCell ref="J39:L39"/>
    <mergeCell ref="A40:C40"/>
    <mergeCell ref="J26:L26"/>
    <mergeCell ref="A23:C23"/>
    <mergeCell ref="D23:F23"/>
    <mergeCell ref="A38:C38"/>
    <mergeCell ref="D38:F38"/>
    <mergeCell ref="G38:I38"/>
    <mergeCell ref="J38:L38"/>
    <mergeCell ref="A33:C33"/>
    <mergeCell ref="D33:F33"/>
    <mergeCell ref="G33:I33"/>
    <mergeCell ref="J33:L33"/>
    <mergeCell ref="A34:C34"/>
    <mergeCell ref="D34:F34"/>
    <mergeCell ref="G34:I34"/>
    <mergeCell ref="J34:L34"/>
    <mergeCell ref="A35:C35"/>
    <mergeCell ref="D35:F35"/>
    <mergeCell ref="G35:I35"/>
    <mergeCell ref="J35:L35"/>
    <mergeCell ref="A36:C36"/>
    <mergeCell ref="D36:F36"/>
    <mergeCell ref="D40:F40"/>
    <mergeCell ref="G40:I40"/>
    <mergeCell ref="J40:L40"/>
    <mergeCell ref="D37:F37"/>
    <mergeCell ref="G37:I37"/>
    <mergeCell ref="J37:L37"/>
    <mergeCell ref="A31:O32"/>
    <mergeCell ref="A1:O1"/>
    <mergeCell ref="A41:C41"/>
    <mergeCell ref="D41:F41"/>
    <mergeCell ref="G41:I41"/>
    <mergeCell ref="J41:L41"/>
    <mergeCell ref="M20:O20"/>
    <mergeCell ref="M34:O34"/>
    <mergeCell ref="M33:O33"/>
    <mergeCell ref="M35:O35"/>
    <mergeCell ref="M36:O36"/>
    <mergeCell ref="M37:O37"/>
    <mergeCell ref="M38:O38"/>
    <mergeCell ref="M39:O39"/>
    <mergeCell ref="M40:O40"/>
    <mergeCell ref="M41:O41"/>
    <mergeCell ref="A39:C39"/>
    <mergeCell ref="D39:F39"/>
  </mergeCells>
  <conditionalFormatting sqref="A8:A15 D8:D15">
    <cfRule type="expression" dxfId="84" priority="42">
      <formula>A8&lt;&gt;""</formula>
    </cfRule>
  </conditionalFormatting>
  <conditionalFormatting sqref="A21:A28 D21:D28">
    <cfRule type="expression" dxfId="83" priority="14">
      <formula>A21&lt;&gt;""</formula>
    </cfRule>
  </conditionalFormatting>
  <conditionalFormatting sqref="A34:A41 D34:D41">
    <cfRule type="expression" dxfId="82" priority="7">
      <formula>A34&lt;&gt;""</formula>
    </cfRule>
  </conditionalFormatting>
  <conditionalFormatting sqref="G8:G15">
    <cfRule type="cellIs" dxfId="81" priority="39" operator="equal">
      <formula>"N/A"</formula>
    </cfRule>
    <cfRule type="cellIs" dxfId="80" priority="40" operator="equal">
      <formula>"No"</formula>
    </cfRule>
    <cfRule type="cellIs" dxfId="79" priority="41" operator="equal">
      <formula>"YES"</formula>
    </cfRule>
  </conditionalFormatting>
  <conditionalFormatting sqref="G21:G28">
    <cfRule type="cellIs" dxfId="78" priority="11" operator="equal">
      <formula>"N/A"</formula>
    </cfRule>
    <cfRule type="cellIs" dxfId="77" priority="12" operator="equal">
      <formula>"No"</formula>
    </cfRule>
    <cfRule type="cellIs" dxfId="76" priority="13" operator="equal">
      <formula>"YES"</formula>
    </cfRule>
  </conditionalFormatting>
  <conditionalFormatting sqref="G34:G41">
    <cfRule type="cellIs" dxfId="75" priority="4" operator="equal">
      <formula>"N/A"</formula>
    </cfRule>
    <cfRule type="cellIs" dxfId="74" priority="5" operator="equal">
      <formula>"No"</formula>
    </cfRule>
    <cfRule type="cellIs" dxfId="73" priority="6" operator="equal">
      <formula>"YES"</formula>
    </cfRule>
  </conditionalFormatting>
  <conditionalFormatting sqref="J8:J15">
    <cfRule type="cellIs" dxfId="72" priority="36" operator="equal">
      <formula>"Performed own test"</formula>
    </cfRule>
    <cfRule type="cellIs" dxfId="71" priority="37" operator="equal">
      <formula>"No"</formula>
    </cfRule>
    <cfRule type="cellIs" dxfId="70" priority="38" operator="equal">
      <formula>"YES"</formula>
    </cfRule>
  </conditionalFormatting>
  <conditionalFormatting sqref="J21:J28">
    <cfRule type="cellIs" dxfId="69" priority="8" operator="equal">
      <formula>"Performed own test"</formula>
    </cfRule>
    <cfRule type="cellIs" dxfId="68" priority="9" operator="equal">
      <formula>"No"</formula>
    </cfRule>
    <cfRule type="cellIs" dxfId="67" priority="10" operator="equal">
      <formula>"YES"</formula>
    </cfRule>
  </conditionalFormatting>
  <conditionalFormatting sqref="J34:J41">
    <cfRule type="cellIs" dxfId="66" priority="1" operator="equal">
      <formula>"Performed own test"</formula>
    </cfRule>
    <cfRule type="cellIs" dxfId="65" priority="2" operator="equal">
      <formula>"No"</formula>
    </cfRule>
    <cfRule type="cellIs" dxfId="64" priority="3" operator="equal">
      <formula>"YES"</formula>
    </cfRule>
  </conditionalFormatting>
  <hyperlinks>
    <hyperlink ref="L30" location="'EV5.5.3 Guidance Notes'!A1" display="Link to guidance notes" xr:uid="{44AEDFFB-AE47-493E-BC95-8B6C351DE6F5}"/>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C73B-CF43-4834-BDAA-6CF8547C43B5}">
  <sheetPr codeName="Sheet9">
    <tabColor rgb="FFFFFF66"/>
  </sheetPr>
  <dimension ref="A1:BP60"/>
  <sheetViews>
    <sheetView view="pageBreakPreview" zoomScaleNormal="100" zoomScaleSheetLayoutView="100" workbookViewId="0">
      <selection sqref="A1:Q1"/>
    </sheetView>
  </sheetViews>
  <sheetFormatPr defaultColWidth="9.140625" defaultRowHeight="12.75"/>
  <cols>
    <col min="1" max="68" width="5" customWidth="1"/>
  </cols>
  <sheetData>
    <row r="1" spans="1:68">
      <c r="A1" s="793" t="str">
        <f>CONCATENATE(Read_Me!A1," FS ASES ",Read_Me!B1," - Cell fixation")</f>
        <v>2026 FS ASES V1.0 - Cell fixation</v>
      </c>
      <c r="B1" s="794"/>
      <c r="C1" s="794"/>
      <c r="D1" s="794"/>
      <c r="E1" s="794"/>
      <c r="F1" s="794"/>
      <c r="G1" s="794"/>
      <c r="H1" s="794"/>
      <c r="I1" s="794"/>
      <c r="J1" s="794"/>
      <c r="K1" s="794"/>
      <c r="L1" s="794"/>
      <c r="M1" s="794"/>
      <c r="N1" s="794"/>
      <c r="O1" s="794"/>
      <c r="P1" s="794"/>
      <c r="Q1" s="795"/>
      <c r="R1" s="146"/>
      <c r="S1" s="108"/>
      <c r="T1" s="108"/>
      <c r="U1" s="108"/>
      <c r="V1" s="108"/>
      <c r="W1" s="108"/>
      <c r="X1" s="108"/>
      <c r="Y1" s="108"/>
      <c r="Z1" s="108"/>
      <c r="AA1" s="108"/>
      <c r="AB1" s="108"/>
      <c r="AC1" s="108"/>
      <c r="AD1" s="108"/>
      <c r="AE1" s="108"/>
      <c r="AF1" s="108"/>
      <c r="AG1" s="108"/>
      <c r="AH1" s="359"/>
      <c r="AI1" s="146"/>
      <c r="AJ1" s="108"/>
      <c r="AK1" s="108"/>
      <c r="AL1" s="108"/>
      <c r="AM1" s="108"/>
      <c r="AN1" s="108"/>
      <c r="AO1" s="108"/>
      <c r="AP1" s="108"/>
      <c r="AQ1" s="108"/>
      <c r="AR1" s="108"/>
      <c r="AS1" s="108"/>
      <c r="AT1" s="108"/>
      <c r="AU1" s="108"/>
      <c r="AV1" s="108"/>
      <c r="AW1" s="108"/>
      <c r="AX1" s="108"/>
      <c r="AY1" s="359"/>
      <c r="AZ1" s="146"/>
      <c r="BA1" s="108"/>
      <c r="BB1" s="108"/>
      <c r="BC1" s="108"/>
      <c r="BD1" s="108"/>
      <c r="BE1" s="108"/>
      <c r="BF1" s="108"/>
      <c r="BG1" s="108"/>
      <c r="BH1" s="108"/>
      <c r="BI1" s="108"/>
      <c r="BJ1" s="108"/>
      <c r="BK1" s="108"/>
      <c r="BL1" s="108"/>
      <c r="BM1" s="108"/>
      <c r="BN1" s="108"/>
      <c r="BO1" s="108"/>
      <c r="BP1" s="359"/>
    </row>
    <row r="2" spans="1:68">
      <c r="A2" s="224"/>
      <c r="B2" s="174"/>
      <c r="C2" s="174"/>
      <c r="D2" s="174"/>
      <c r="E2" s="174"/>
      <c r="F2" s="174"/>
      <c r="G2" s="174"/>
      <c r="H2" s="174"/>
      <c r="I2" s="174"/>
      <c r="J2" s="174"/>
      <c r="K2" s="174"/>
      <c r="L2" s="174"/>
      <c r="M2" s="174"/>
      <c r="N2" s="174"/>
      <c r="O2" s="174"/>
      <c r="P2" s="174"/>
      <c r="Q2" s="199"/>
      <c r="R2" s="147"/>
      <c r="S2" s="81"/>
      <c r="T2" s="81"/>
      <c r="U2" s="81"/>
      <c r="V2" s="81"/>
      <c r="W2" s="81"/>
      <c r="X2" s="81"/>
      <c r="Y2" s="81"/>
      <c r="Z2" s="81"/>
      <c r="AA2" s="81"/>
      <c r="AB2" s="81"/>
      <c r="AC2" s="81"/>
      <c r="AD2" s="81"/>
      <c r="AE2" s="81"/>
      <c r="AF2" s="81"/>
      <c r="AG2" s="81"/>
      <c r="AH2" s="149"/>
      <c r="AI2" s="147"/>
      <c r="AJ2" s="81"/>
      <c r="AK2" s="81"/>
      <c r="AL2" s="81"/>
      <c r="AM2" s="81"/>
      <c r="AN2" s="81"/>
      <c r="AO2" s="81"/>
      <c r="AP2" s="81"/>
      <c r="AQ2" s="81"/>
      <c r="AR2" s="81"/>
      <c r="AS2" s="81"/>
      <c r="AT2" s="81"/>
      <c r="AU2" s="81"/>
      <c r="AV2" s="81"/>
      <c r="AW2" s="81"/>
      <c r="AX2" s="81"/>
      <c r="AY2" s="149"/>
      <c r="AZ2" s="147"/>
      <c r="BA2" s="81"/>
      <c r="BB2" s="81"/>
      <c r="BC2" s="81"/>
      <c r="BD2" s="81"/>
      <c r="BE2" s="81"/>
      <c r="BF2" s="81"/>
      <c r="BG2" s="81"/>
      <c r="BH2" s="81"/>
      <c r="BI2" s="81"/>
      <c r="BJ2" s="81"/>
      <c r="BK2" s="81"/>
      <c r="BL2" s="81"/>
      <c r="BM2" s="81"/>
      <c r="BN2" s="81"/>
      <c r="BO2" s="81"/>
      <c r="BP2" s="149"/>
    </row>
    <row r="3" spans="1:68">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796"/>
      <c r="R3" s="147"/>
      <c r="S3" s="81"/>
      <c r="T3" s="81"/>
      <c r="U3" s="81"/>
      <c r="V3" s="81"/>
      <c r="W3" s="81"/>
      <c r="X3" s="81"/>
      <c r="Y3" s="81"/>
      <c r="Z3" s="81"/>
      <c r="AA3" s="81"/>
      <c r="AB3" s="81"/>
      <c r="AC3" s="81"/>
      <c r="AD3" s="81"/>
      <c r="AE3" s="81"/>
      <c r="AF3" s="81"/>
      <c r="AG3" s="81"/>
      <c r="AH3" s="149"/>
      <c r="AI3" s="147"/>
      <c r="AJ3" s="81"/>
      <c r="AK3" s="81"/>
      <c r="AL3" s="81"/>
      <c r="AM3" s="81"/>
      <c r="AN3" s="81"/>
      <c r="AO3" s="81"/>
      <c r="AP3" s="81"/>
      <c r="AQ3" s="81"/>
      <c r="AR3" s="81"/>
      <c r="AS3" s="81"/>
      <c r="AT3" s="81"/>
      <c r="AU3" s="81"/>
      <c r="AV3" s="81"/>
      <c r="AW3" s="81"/>
      <c r="AX3" s="81"/>
      <c r="AY3" s="149"/>
      <c r="AZ3" s="147"/>
      <c r="BA3" s="81"/>
      <c r="BB3" s="81"/>
      <c r="BC3" s="81"/>
      <c r="BD3" s="81"/>
      <c r="BE3" s="81"/>
      <c r="BF3" s="81"/>
      <c r="BG3" s="81"/>
      <c r="BH3" s="81"/>
      <c r="BI3" s="81"/>
      <c r="BJ3" s="81"/>
      <c r="BK3" s="81"/>
      <c r="BL3" s="81"/>
      <c r="BM3" s="81"/>
      <c r="BN3" s="81"/>
      <c r="BO3" s="81"/>
      <c r="BP3" s="149"/>
    </row>
    <row r="4" spans="1:68">
      <c r="A4" s="224"/>
      <c r="B4" s="174"/>
      <c r="C4" s="174"/>
      <c r="D4" s="174"/>
      <c r="E4" s="174"/>
      <c r="F4" s="174"/>
      <c r="G4" s="174"/>
      <c r="H4" s="174"/>
      <c r="I4" s="174"/>
      <c r="J4" s="174"/>
      <c r="K4" s="174"/>
      <c r="L4" s="174"/>
      <c r="M4" s="174"/>
      <c r="N4" s="174"/>
      <c r="O4" s="174"/>
      <c r="P4" s="174"/>
      <c r="Q4" s="199"/>
      <c r="R4" s="147"/>
      <c r="S4" s="81"/>
      <c r="T4" s="81"/>
      <c r="U4" s="81"/>
      <c r="V4" s="81"/>
      <c r="W4" s="81"/>
      <c r="X4" s="81"/>
      <c r="Y4" s="81"/>
      <c r="Z4" s="81"/>
      <c r="AA4" s="81"/>
      <c r="AB4" s="81"/>
      <c r="AC4" s="81"/>
      <c r="AD4" s="81"/>
      <c r="AE4" s="81"/>
      <c r="AF4" s="81"/>
      <c r="AG4" s="81"/>
      <c r="AH4" s="149"/>
      <c r="AI4" s="147"/>
      <c r="AJ4" s="81"/>
      <c r="AK4" s="81"/>
      <c r="AL4" s="81"/>
      <c r="AM4" s="81"/>
      <c r="AN4" s="81"/>
      <c r="AO4" s="81"/>
      <c r="AP4" s="81"/>
      <c r="AQ4" s="81"/>
      <c r="AR4" s="81"/>
      <c r="AS4" s="81"/>
      <c r="AT4" s="81"/>
      <c r="AU4" s="81"/>
      <c r="AV4" s="81"/>
      <c r="AW4" s="81"/>
      <c r="AX4" s="81"/>
      <c r="AY4" s="149"/>
      <c r="AZ4" s="147"/>
      <c r="BA4" s="81"/>
      <c r="BB4" s="81"/>
      <c r="BC4" s="81"/>
      <c r="BD4" s="81"/>
      <c r="BE4" s="81"/>
      <c r="BF4" s="81"/>
      <c r="BG4" s="81"/>
      <c r="BH4" s="81"/>
      <c r="BI4" s="81"/>
      <c r="BJ4" s="81"/>
      <c r="BK4" s="81"/>
      <c r="BL4" s="81"/>
      <c r="BM4" s="81"/>
      <c r="BN4" s="81"/>
      <c r="BO4" s="81"/>
      <c r="BP4" s="149"/>
    </row>
    <row r="5" spans="1:68">
      <c r="A5" s="363"/>
      <c r="B5" s="370"/>
      <c r="C5" s="364"/>
      <c r="D5" s="364"/>
      <c r="E5" s="364"/>
      <c r="F5" s="364"/>
      <c r="G5" s="364"/>
      <c r="H5" s="371"/>
      <c r="I5" s="364"/>
      <c r="J5" s="364"/>
      <c r="K5" s="364"/>
      <c r="L5" s="372"/>
      <c r="M5" s="372"/>
      <c r="N5" s="364"/>
      <c r="O5" s="364"/>
      <c r="P5" s="364"/>
      <c r="Q5" s="365"/>
      <c r="R5" s="81"/>
      <c r="S5" s="81"/>
      <c r="T5" s="81"/>
      <c r="U5" s="81"/>
      <c r="V5" s="81"/>
      <c r="W5" s="81"/>
      <c r="X5" s="81"/>
      <c r="Y5" s="81"/>
      <c r="Z5" s="81"/>
      <c r="AA5" s="81"/>
      <c r="AB5" s="81"/>
      <c r="AC5" s="81"/>
      <c r="AD5" s="81"/>
      <c r="AE5" s="81"/>
      <c r="AF5" s="81"/>
      <c r="AG5" s="81"/>
      <c r="AH5" s="149"/>
      <c r="AI5" s="81"/>
      <c r="AJ5" s="81"/>
      <c r="AK5" s="81"/>
      <c r="AL5" s="81"/>
      <c r="AM5" s="81"/>
      <c r="AN5" s="81"/>
      <c r="AO5" s="81"/>
      <c r="AP5" s="81"/>
      <c r="AQ5" s="81"/>
      <c r="AR5" s="81"/>
      <c r="AS5" s="81"/>
      <c r="AT5" s="81"/>
      <c r="AU5" s="81"/>
      <c r="AV5" s="81"/>
      <c r="AW5" s="81"/>
      <c r="AX5" s="81"/>
      <c r="AY5" s="149"/>
      <c r="AZ5" s="81"/>
      <c r="BA5" s="81"/>
      <c r="BB5" s="81"/>
      <c r="BC5" s="81"/>
      <c r="BD5" s="81"/>
      <c r="BE5" s="81"/>
      <c r="BF5" s="81"/>
      <c r="BG5" s="81"/>
      <c r="BH5" s="81"/>
      <c r="BI5" s="81"/>
      <c r="BJ5" s="81"/>
      <c r="BK5" s="81"/>
      <c r="BL5" s="81"/>
      <c r="BM5" s="81"/>
      <c r="BN5" s="81"/>
      <c r="BO5" s="81"/>
      <c r="BP5" s="149"/>
    </row>
    <row r="6" spans="1:68">
      <c r="A6" s="224"/>
      <c r="B6" s="373" t="s">
        <v>342</v>
      </c>
      <c r="C6" s="174"/>
      <c r="D6" s="174"/>
      <c r="E6" s="174"/>
      <c r="F6" s="174"/>
      <c r="G6" s="174"/>
      <c r="H6" s="414"/>
      <c r="I6" s="174"/>
      <c r="J6" s="174"/>
      <c r="K6" s="174"/>
      <c r="L6" s="415"/>
      <c r="M6" s="415"/>
      <c r="N6" s="174"/>
      <c r="O6" s="174"/>
      <c r="P6" s="174"/>
      <c r="Q6" s="199"/>
      <c r="R6" s="81"/>
      <c r="S6" s="81"/>
      <c r="T6" s="81"/>
      <c r="U6" s="81"/>
      <c r="V6" s="81"/>
      <c r="W6" s="81"/>
      <c r="X6" s="81"/>
      <c r="Y6" s="81"/>
      <c r="Z6" s="81"/>
      <c r="AA6" s="81"/>
      <c r="AB6" s="81"/>
      <c r="AC6" s="81"/>
      <c r="AD6" s="81"/>
      <c r="AE6" s="81"/>
      <c r="AF6" s="81"/>
      <c r="AG6" s="81"/>
      <c r="AH6" s="149"/>
      <c r="AI6" s="81"/>
      <c r="AJ6" s="81"/>
      <c r="AK6" s="81"/>
      <c r="AL6" s="81"/>
      <c r="AM6" s="81"/>
      <c r="AN6" s="81"/>
      <c r="AO6" s="81"/>
      <c r="AP6" s="81"/>
      <c r="AQ6" s="81"/>
      <c r="AR6" s="81"/>
      <c r="AS6" s="81"/>
      <c r="AT6" s="81"/>
      <c r="AU6" s="81"/>
      <c r="AV6" s="81"/>
      <c r="AW6" s="81"/>
      <c r="AX6" s="81"/>
      <c r="AY6" s="149"/>
      <c r="AZ6" s="81"/>
      <c r="BA6" s="81"/>
      <c r="BB6" s="81"/>
      <c r="BC6" s="81"/>
      <c r="BD6" s="81"/>
      <c r="BE6" s="81"/>
      <c r="BF6" s="81"/>
      <c r="BG6" s="81"/>
      <c r="BH6" s="81"/>
      <c r="BI6" s="81"/>
      <c r="BJ6" s="81"/>
      <c r="BK6" s="81"/>
      <c r="BL6" s="81"/>
      <c r="BM6" s="81"/>
      <c r="BN6" s="81"/>
      <c r="BO6" s="81"/>
      <c r="BP6" s="149"/>
    </row>
    <row r="7" spans="1:68">
      <c r="A7" s="374"/>
      <c r="B7" s="195"/>
      <c r="C7" s="174"/>
      <c r="D7" s="174"/>
      <c r="E7" s="174"/>
      <c r="F7" s="174"/>
      <c r="G7" s="174"/>
      <c r="H7" s="414"/>
      <c r="I7" s="174"/>
      <c r="J7" s="174"/>
      <c r="K7" s="174"/>
      <c r="L7" s="415"/>
      <c r="M7" s="415"/>
      <c r="N7" s="174"/>
      <c r="O7" s="174"/>
      <c r="P7" s="174"/>
      <c r="Q7" s="199"/>
      <c r="R7" s="81"/>
      <c r="S7" s="81"/>
      <c r="T7" s="81"/>
      <c r="U7" s="81"/>
      <c r="V7" s="81"/>
      <c r="W7" s="81"/>
      <c r="X7" s="81"/>
      <c r="Y7" s="81"/>
      <c r="Z7" s="81"/>
      <c r="AA7" s="81"/>
      <c r="AB7" s="81"/>
      <c r="AC7" s="81"/>
      <c r="AD7" s="81"/>
      <c r="AE7" s="81"/>
      <c r="AF7" s="81"/>
      <c r="AG7" s="81"/>
      <c r="AH7" s="149"/>
      <c r="AI7" s="81"/>
      <c r="AJ7" s="81"/>
      <c r="AK7" s="81"/>
      <c r="AL7" s="81"/>
      <c r="AM7" s="81"/>
      <c r="AN7" s="81"/>
      <c r="AO7" s="81"/>
      <c r="AP7" s="81"/>
      <c r="AQ7" s="81"/>
      <c r="AR7" s="81"/>
      <c r="AS7" s="81"/>
      <c r="AT7" s="81"/>
      <c r="AU7" s="81"/>
      <c r="AV7" s="81"/>
      <c r="AW7" s="81"/>
      <c r="AX7" s="81"/>
      <c r="AY7" s="149"/>
      <c r="AZ7" s="81"/>
      <c r="BA7" s="81"/>
      <c r="BB7" s="81"/>
      <c r="BC7" s="81"/>
      <c r="BD7" s="81"/>
      <c r="BE7" s="81"/>
      <c r="BF7" s="81"/>
      <c r="BG7" s="81"/>
      <c r="BH7" s="81"/>
      <c r="BI7" s="81"/>
      <c r="BJ7" s="81"/>
      <c r="BK7" s="81"/>
      <c r="BL7" s="81"/>
      <c r="BM7" s="81"/>
      <c r="BN7" s="81"/>
      <c r="BO7" s="81"/>
      <c r="BP7" s="149"/>
    </row>
    <row r="8" spans="1:68">
      <c r="A8" s="224"/>
      <c r="B8" s="158" t="s">
        <v>471</v>
      </c>
      <c r="C8" s="174"/>
      <c r="D8" s="174"/>
      <c r="E8" s="174"/>
      <c r="F8" s="174"/>
      <c r="G8" s="174"/>
      <c r="H8" s="414"/>
      <c r="I8" s="174"/>
      <c r="J8" s="174"/>
      <c r="K8" s="174"/>
      <c r="L8" s="415"/>
      <c r="M8" s="168"/>
      <c r="N8" s="174"/>
      <c r="O8" s="174"/>
      <c r="P8" s="174"/>
      <c r="Q8" s="199"/>
      <c r="R8" s="81"/>
      <c r="S8" s="81"/>
      <c r="T8" s="81"/>
      <c r="U8" s="81"/>
      <c r="V8" s="81"/>
      <c r="W8" s="81"/>
      <c r="X8" s="81"/>
      <c r="Y8" s="81"/>
      <c r="Z8" s="81"/>
      <c r="AA8" s="81"/>
      <c r="AB8" s="81"/>
      <c r="AC8" s="81"/>
      <c r="AD8" s="81"/>
      <c r="AE8" s="81"/>
      <c r="AF8" s="81"/>
      <c r="AG8" s="81"/>
      <c r="AH8" s="149"/>
      <c r="AI8" s="81"/>
      <c r="AJ8" s="81"/>
      <c r="AK8" s="81"/>
      <c r="AL8" s="81"/>
      <c r="AM8" s="81"/>
      <c r="AN8" s="81"/>
      <c r="AO8" s="81"/>
      <c r="AP8" s="81"/>
      <c r="AQ8" s="81"/>
      <c r="AR8" s="81"/>
      <c r="AS8" s="81"/>
      <c r="AT8" s="81"/>
      <c r="AU8" s="81"/>
      <c r="AV8" s="81"/>
      <c r="AW8" s="81"/>
      <c r="AX8" s="81"/>
      <c r="AY8" s="149"/>
      <c r="AZ8" s="81"/>
      <c r="BA8" s="81"/>
      <c r="BB8" s="81"/>
      <c r="BC8" s="81"/>
      <c r="BD8" s="81"/>
      <c r="BE8" s="81"/>
      <c r="BF8" s="81"/>
      <c r="BG8" s="81"/>
      <c r="BH8" s="81"/>
      <c r="BI8" s="81"/>
      <c r="BJ8" s="81"/>
      <c r="BK8" s="81"/>
      <c r="BL8" s="81"/>
      <c r="BM8" s="81"/>
      <c r="BN8" s="81"/>
      <c r="BO8" s="81"/>
      <c r="BP8" s="149"/>
    </row>
    <row r="9" spans="1:68">
      <c r="A9" s="224"/>
      <c r="B9" s="158" t="s">
        <v>345</v>
      </c>
      <c r="C9" s="174"/>
      <c r="D9" s="174"/>
      <c r="E9" s="174"/>
      <c r="F9" s="174"/>
      <c r="G9" s="174"/>
      <c r="H9" s="414"/>
      <c r="I9" s="174"/>
      <c r="J9" s="174"/>
      <c r="K9" s="174"/>
      <c r="L9" s="415"/>
      <c r="M9" s="416"/>
      <c r="N9" s="174"/>
      <c r="O9" s="174"/>
      <c r="P9" s="174"/>
      <c r="Q9" s="199"/>
      <c r="R9" s="81"/>
      <c r="S9" s="81"/>
      <c r="T9" s="81"/>
      <c r="U9" s="81"/>
      <c r="V9" s="81"/>
      <c r="W9" s="81"/>
      <c r="X9" s="81"/>
      <c r="Y9" s="81"/>
      <c r="Z9" s="81"/>
      <c r="AA9" s="81"/>
      <c r="AB9" s="81"/>
      <c r="AC9" s="81"/>
      <c r="AD9" s="81"/>
      <c r="AE9" s="81"/>
      <c r="AF9" s="81"/>
      <c r="AG9" s="81"/>
      <c r="AH9" s="149"/>
      <c r="AI9" s="81"/>
      <c r="AJ9" s="81"/>
      <c r="AK9" s="81"/>
      <c r="AL9" s="81"/>
      <c r="AM9" s="81"/>
      <c r="AN9" s="81"/>
      <c r="AO9" s="81"/>
      <c r="AP9" s="81"/>
      <c r="AQ9" s="81"/>
      <c r="AR9" s="81"/>
      <c r="AS9" s="81"/>
      <c r="AT9" s="81"/>
      <c r="AU9" s="81"/>
      <c r="AV9" s="81"/>
      <c r="AW9" s="81"/>
      <c r="AX9" s="81"/>
      <c r="AY9" s="149"/>
      <c r="AZ9" s="81"/>
      <c r="BA9" s="81"/>
      <c r="BB9" s="81"/>
      <c r="BC9" s="81"/>
      <c r="BD9" s="81"/>
      <c r="BE9" s="81"/>
      <c r="BF9" s="81"/>
      <c r="BG9" s="81"/>
      <c r="BH9" s="81"/>
      <c r="BI9" s="81"/>
      <c r="BJ9" s="81"/>
      <c r="BK9" s="81"/>
      <c r="BL9" s="81"/>
      <c r="BM9" s="81"/>
      <c r="BN9" s="81"/>
      <c r="BO9" s="81"/>
      <c r="BP9" s="149"/>
    </row>
    <row r="10" spans="1:68">
      <c r="A10" s="375"/>
      <c r="B10" s="376" t="s">
        <v>346</v>
      </c>
      <c r="C10" s="413"/>
      <c r="D10" s="413"/>
      <c r="E10" s="413"/>
      <c r="F10" s="413"/>
      <c r="G10" s="413"/>
      <c r="H10" s="413"/>
      <c r="I10" s="413"/>
      <c r="J10" s="413"/>
      <c r="K10" s="413"/>
      <c r="L10" s="413"/>
      <c r="M10" s="168" t="s">
        <v>77</v>
      </c>
      <c r="N10" s="417"/>
      <c r="O10" s="417"/>
      <c r="P10" s="417"/>
      <c r="Q10" s="377"/>
      <c r="R10" s="81"/>
      <c r="S10" s="81"/>
      <c r="T10" s="81"/>
      <c r="U10" s="81"/>
      <c r="V10" s="81"/>
      <c r="W10" s="81"/>
      <c r="X10" s="81"/>
      <c r="Y10" s="81"/>
      <c r="Z10" s="81"/>
      <c r="AA10" s="81"/>
      <c r="AB10" s="81"/>
      <c r="AC10" s="81"/>
      <c r="AD10" s="81"/>
      <c r="AE10" s="81"/>
      <c r="AF10" s="81"/>
      <c r="AG10" s="81"/>
      <c r="AH10" s="149"/>
      <c r="AI10" s="81"/>
      <c r="AJ10" s="81"/>
      <c r="AK10" s="81"/>
      <c r="AL10" s="81"/>
      <c r="AM10" s="81"/>
      <c r="AN10" s="81"/>
      <c r="AO10" s="81"/>
      <c r="AP10" s="81"/>
      <c r="AQ10" s="81"/>
      <c r="AR10" s="81"/>
      <c r="AS10" s="81"/>
      <c r="AT10" s="81"/>
      <c r="AU10" s="81"/>
      <c r="AV10" s="81"/>
      <c r="AW10" s="81"/>
      <c r="AX10" s="81"/>
      <c r="AY10" s="149"/>
      <c r="AZ10" s="81"/>
      <c r="BA10" s="81"/>
      <c r="BB10" s="81"/>
      <c r="BC10" s="81"/>
      <c r="BD10" s="81"/>
      <c r="BE10" s="81"/>
      <c r="BF10" s="81"/>
      <c r="BG10" s="81"/>
      <c r="BH10" s="81"/>
      <c r="BI10" s="81"/>
      <c r="BJ10" s="81"/>
      <c r="BK10" s="81"/>
      <c r="BL10" s="81"/>
      <c r="BM10" s="81"/>
      <c r="BN10" s="81"/>
      <c r="BO10" s="81"/>
      <c r="BP10" s="149"/>
    </row>
    <row r="11" spans="1:68">
      <c r="A11" s="378"/>
      <c r="B11" s="379"/>
      <c r="C11" s="379"/>
      <c r="D11" s="379"/>
      <c r="E11" s="379"/>
      <c r="F11" s="379"/>
      <c r="G11" s="379"/>
      <c r="H11" s="379"/>
      <c r="I11" s="379"/>
      <c r="J11" s="379"/>
      <c r="K11" s="379"/>
      <c r="L11" s="379"/>
      <c r="M11" s="380"/>
      <c r="N11" s="380"/>
      <c r="O11" s="379"/>
      <c r="P11" s="193"/>
      <c r="Q11" s="369"/>
      <c r="R11" s="81"/>
      <c r="S11" s="81"/>
      <c r="T11" s="81"/>
      <c r="U11" s="81"/>
      <c r="V11" s="81"/>
      <c r="W11" s="81"/>
      <c r="X11" s="81"/>
      <c r="Y11" s="81"/>
      <c r="Z11" s="81"/>
      <c r="AA11" s="81"/>
      <c r="AB11" s="81"/>
      <c r="AC11" s="81"/>
      <c r="AD11" s="81"/>
      <c r="AE11" s="81"/>
      <c r="AF11" s="81"/>
      <c r="AG11" s="81"/>
      <c r="AH11" s="149"/>
      <c r="AI11" s="81"/>
      <c r="AJ11" s="81"/>
      <c r="AK11" s="81"/>
      <c r="AL11" s="81"/>
      <c r="AM11" s="81"/>
      <c r="AN11" s="81"/>
      <c r="AO11" s="81"/>
      <c r="AP11" s="81"/>
      <c r="AQ11" s="81"/>
      <c r="AR11" s="81"/>
      <c r="AS11" s="81"/>
      <c r="AT11" s="81"/>
      <c r="AU11" s="81"/>
      <c r="AV11" s="81"/>
      <c r="AW11" s="81"/>
      <c r="AX11" s="81"/>
      <c r="AY11" s="149"/>
      <c r="AZ11" s="81"/>
      <c r="BA11" s="81"/>
      <c r="BB11" s="81"/>
      <c r="BC11" s="81"/>
      <c r="BD11" s="81"/>
      <c r="BE11" s="81"/>
      <c r="BF11" s="81"/>
      <c r="BG11" s="81"/>
      <c r="BH11" s="81"/>
      <c r="BI11" s="81"/>
      <c r="BJ11" s="81"/>
      <c r="BK11" s="81"/>
      <c r="BL11" s="81"/>
      <c r="BM11" s="81"/>
      <c r="BN11" s="81"/>
      <c r="BO11" s="81"/>
      <c r="BP11" s="149"/>
    </row>
    <row r="12" spans="1:68">
      <c r="A12" s="383" t="s">
        <v>395</v>
      </c>
      <c r="B12" s="193"/>
      <c r="C12" s="193"/>
      <c r="D12" s="193"/>
      <c r="E12" s="193"/>
      <c r="F12" s="193"/>
      <c r="G12" s="193"/>
      <c r="H12" s="193"/>
      <c r="I12" s="193"/>
      <c r="J12" s="193"/>
      <c r="K12" s="193"/>
      <c r="L12" s="193"/>
      <c r="M12" s="797" t="s">
        <v>421</v>
      </c>
      <c r="N12" s="798"/>
      <c r="O12" s="798"/>
      <c r="P12" s="798"/>
      <c r="Q12" s="799"/>
      <c r="R12" s="147"/>
      <c r="S12" s="81"/>
      <c r="T12" s="81"/>
      <c r="U12" s="81"/>
      <c r="V12" s="81"/>
      <c r="W12" s="81"/>
      <c r="X12" s="81"/>
      <c r="Y12" s="81"/>
      <c r="Z12" s="81"/>
      <c r="AA12" s="81"/>
      <c r="AB12" s="81"/>
      <c r="AC12" s="81"/>
      <c r="AD12" s="81"/>
      <c r="AE12" s="81"/>
      <c r="AF12" s="81"/>
      <c r="AG12" s="81"/>
      <c r="AH12" s="149"/>
      <c r="AI12" s="147"/>
      <c r="AJ12" s="81"/>
      <c r="AK12" s="81"/>
      <c r="AL12" s="81"/>
      <c r="AM12" s="81"/>
      <c r="AN12" s="81"/>
      <c r="AO12" s="81"/>
      <c r="AP12" s="81"/>
      <c r="AQ12" s="81"/>
      <c r="AR12" s="81"/>
      <c r="AS12" s="81"/>
      <c r="AT12" s="81"/>
      <c r="AU12" s="81"/>
      <c r="AV12" s="81"/>
      <c r="AW12" s="81"/>
      <c r="AX12" s="81"/>
      <c r="AY12" s="149"/>
      <c r="AZ12" s="147"/>
      <c r="BA12" s="81"/>
      <c r="BB12" s="81"/>
      <c r="BC12" s="81"/>
      <c r="BD12" s="81"/>
      <c r="BE12" s="81"/>
      <c r="BF12" s="81"/>
      <c r="BG12" s="81"/>
      <c r="BH12" s="81"/>
      <c r="BI12" s="81"/>
      <c r="BJ12" s="81"/>
      <c r="BK12" s="81"/>
      <c r="BL12" s="81"/>
      <c r="BM12" s="81"/>
      <c r="BN12" s="81"/>
      <c r="BO12" s="81"/>
      <c r="BP12" s="149"/>
    </row>
    <row r="13" spans="1:68">
      <c r="A13" s="366" t="s">
        <v>394</v>
      </c>
      <c r="B13" s="367"/>
      <c r="C13" s="367"/>
      <c r="D13" s="367"/>
      <c r="E13" s="367"/>
      <c r="F13" s="367"/>
      <c r="G13" s="367"/>
      <c r="H13" s="367"/>
      <c r="I13" s="367"/>
      <c r="J13" s="367"/>
      <c r="K13" s="367"/>
      <c r="L13" s="367"/>
      <c r="M13" s="784" t="s">
        <v>428</v>
      </c>
      <c r="N13" s="785"/>
      <c r="O13" s="785"/>
      <c r="P13" s="785"/>
      <c r="Q13" s="786"/>
      <c r="R13" s="147"/>
      <c r="S13" s="81"/>
      <c r="T13" s="81"/>
      <c r="U13" s="81"/>
      <c r="V13" s="81"/>
      <c r="W13" s="81"/>
      <c r="X13" s="81"/>
      <c r="Y13" s="81"/>
      <c r="Z13" s="81"/>
      <c r="AA13" s="81"/>
      <c r="AB13" s="81"/>
      <c r="AC13" s="81"/>
      <c r="AD13" s="81"/>
      <c r="AE13" s="81"/>
      <c r="AF13" s="81"/>
      <c r="AG13" s="81"/>
      <c r="AH13" s="149"/>
      <c r="AI13" s="147"/>
      <c r="AJ13" s="81"/>
      <c r="AK13" s="81"/>
      <c r="AL13" s="81"/>
      <c r="AM13" s="81"/>
      <c r="AN13" s="81"/>
      <c r="AO13" s="81"/>
      <c r="AP13" s="81"/>
      <c r="AQ13" s="81"/>
      <c r="AR13" s="81"/>
      <c r="AS13" s="81"/>
      <c r="AT13" s="81"/>
      <c r="AU13" s="81"/>
      <c r="AV13" s="81"/>
      <c r="AW13" s="81"/>
      <c r="AX13" s="81"/>
      <c r="AY13" s="149"/>
      <c r="AZ13" s="147"/>
      <c r="BA13" s="81"/>
      <c r="BB13" s="81"/>
      <c r="BC13" s="81"/>
      <c r="BD13" s="81"/>
      <c r="BE13" s="81"/>
      <c r="BF13" s="81"/>
      <c r="BG13" s="81"/>
      <c r="BH13" s="81"/>
      <c r="BI13" s="81"/>
      <c r="BJ13" s="81"/>
      <c r="BK13" s="81"/>
      <c r="BL13" s="81"/>
      <c r="BM13" s="81"/>
      <c r="BN13" s="81"/>
      <c r="BO13" s="81"/>
      <c r="BP13" s="149"/>
    </row>
    <row r="14" spans="1:68">
      <c r="A14" s="381" t="s">
        <v>244</v>
      </c>
      <c r="B14" s="364"/>
      <c r="C14" s="364"/>
      <c r="D14" s="364"/>
      <c r="E14" s="364"/>
      <c r="F14" s="364"/>
      <c r="G14" s="364"/>
      <c r="H14" s="364"/>
      <c r="I14" s="364"/>
      <c r="J14" s="364"/>
      <c r="K14" s="364"/>
      <c r="L14" s="364"/>
      <c r="M14" s="787"/>
      <c r="N14" s="788"/>
      <c r="O14" s="788"/>
      <c r="P14" s="788"/>
      <c r="Q14" s="78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c r="AZ14" s="147"/>
      <c r="BA14" s="81"/>
      <c r="BB14" s="81"/>
      <c r="BC14" s="81"/>
      <c r="BD14" s="81"/>
      <c r="BE14" s="81"/>
      <c r="BF14" s="81"/>
      <c r="BG14" s="81"/>
      <c r="BH14" s="81"/>
      <c r="BI14" s="81"/>
      <c r="BJ14" s="81"/>
      <c r="BK14" s="81"/>
      <c r="BL14" s="81"/>
      <c r="BM14" s="81"/>
      <c r="BN14" s="81"/>
      <c r="BO14" s="81"/>
      <c r="BP14" s="149"/>
    </row>
    <row r="15" spans="1:68">
      <c r="A15" s="381" t="s">
        <v>406</v>
      </c>
      <c r="B15" s="364"/>
      <c r="C15" s="364"/>
      <c r="D15" s="364"/>
      <c r="E15" s="364"/>
      <c r="F15" s="364"/>
      <c r="G15" s="364"/>
      <c r="H15" s="364"/>
      <c r="I15" s="364"/>
      <c r="J15" s="364"/>
      <c r="K15" s="364"/>
      <c r="L15" s="364"/>
      <c r="M15" s="784"/>
      <c r="N15" s="785"/>
      <c r="O15" s="785"/>
      <c r="P15" s="785"/>
      <c r="Q15" s="786"/>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c r="AZ15" s="147"/>
      <c r="BA15" s="81"/>
      <c r="BB15" s="81"/>
      <c r="BC15" s="81"/>
      <c r="BD15" s="81"/>
      <c r="BE15" s="81"/>
      <c r="BF15" s="81"/>
      <c r="BG15" s="81"/>
      <c r="BH15" s="81"/>
      <c r="BI15" s="81"/>
      <c r="BJ15" s="81"/>
      <c r="BK15" s="81"/>
      <c r="BL15" s="81"/>
      <c r="BM15" s="81"/>
      <c r="BN15" s="81"/>
      <c r="BO15" s="81"/>
      <c r="BP15" s="149"/>
    </row>
    <row r="16" spans="1:68">
      <c r="A16" s="381" t="s">
        <v>404</v>
      </c>
      <c r="B16" s="364"/>
      <c r="C16" s="364"/>
      <c r="D16" s="364"/>
      <c r="E16" s="364"/>
      <c r="F16" s="364"/>
      <c r="G16" s="364"/>
      <c r="H16" s="364"/>
      <c r="I16" s="364"/>
      <c r="J16" s="364"/>
      <c r="K16" s="364"/>
      <c r="L16" s="364"/>
      <c r="M16" s="784"/>
      <c r="N16" s="785"/>
      <c r="O16" s="785"/>
      <c r="P16" s="785"/>
      <c r="Q16" s="786"/>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c r="AZ16" s="147"/>
      <c r="BA16" s="81"/>
      <c r="BB16" s="81"/>
      <c r="BC16" s="81"/>
      <c r="BD16" s="81"/>
      <c r="BE16" s="81"/>
      <c r="BF16" s="81"/>
      <c r="BG16" s="81"/>
      <c r="BH16" s="81"/>
      <c r="BI16" s="81"/>
      <c r="BJ16" s="81"/>
      <c r="BK16" s="81"/>
      <c r="BL16" s="81"/>
      <c r="BM16" s="81"/>
      <c r="BN16" s="81"/>
      <c r="BO16" s="81"/>
      <c r="BP16" s="149"/>
    </row>
    <row r="17" spans="1:68">
      <c r="A17" s="381" t="s">
        <v>405</v>
      </c>
      <c r="B17" s="364"/>
      <c r="C17" s="364"/>
      <c r="D17" s="364"/>
      <c r="E17" s="364"/>
      <c r="F17" s="364"/>
      <c r="G17" s="364"/>
      <c r="H17" s="364"/>
      <c r="I17" s="364"/>
      <c r="J17" s="364"/>
      <c r="K17" s="364"/>
      <c r="L17" s="364"/>
      <c r="M17" s="784"/>
      <c r="N17" s="785"/>
      <c r="O17" s="785"/>
      <c r="P17" s="785"/>
      <c r="Q17" s="786"/>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c r="AZ17" s="147"/>
      <c r="BA17" s="81"/>
      <c r="BB17" s="81"/>
      <c r="BC17" s="81"/>
      <c r="BD17" s="81"/>
      <c r="BE17" s="81"/>
      <c r="BF17" s="81"/>
      <c r="BG17" s="81"/>
      <c r="BH17" s="81"/>
      <c r="BI17" s="81"/>
      <c r="BJ17" s="81"/>
      <c r="BK17" s="81"/>
      <c r="BL17" s="81"/>
      <c r="BM17" s="81"/>
      <c r="BN17" s="81"/>
      <c r="BO17" s="81"/>
      <c r="BP17" s="149"/>
    </row>
    <row r="18" spans="1:68">
      <c r="A18" s="381" t="s">
        <v>407</v>
      </c>
      <c r="B18" s="364"/>
      <c r="C18" s="364"/>
      <c r="D18" s="364"/>
      <c r="E18" s="364"/>
      <c r="F18" s="364"/>
      <c r="G18" s="364"/>
      <c r="H18" s="364"/>
      <c r="I18" s="364"/>
      <c r="J18" s="893"/>
      <c r="K18" s="364"/>
      <c r="L18" s="364"/>
      <c r="M18" s="894">
        <f>M16*M17</f>
        <v>0</v>
      </c>
      <c r="N18" s="895"/>
      <c r="O18" s="895"/>
      <c r="P18" s="895"/>
      <c r="Q18" s="896"/>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c r="AZ18" s="147"/>
      <c r="BA18" s="81"/>
      <c r="BB18" s="81"/>
      <c r="BC18" s="81"/>
      <c r="BD18" s="81"/>
      <c r="BE18" s="81"/>
      <c r="BF18" s="81"/>
      <c r="BG18" s="81"/>
      <c r="BH18" s="81"/>
      <c r="BI18" s="81"/>
      <c r="BJ18" s="81"/>
      <c r="BK18" s="81"/>
      <c r="BL18" s="81"/>
      <c r="BM18" s="81"/>
      <c r="BN18" s="81"/>
      <c r="BO18" s="81"/>
      <c r="BP18" s="149"/>
    </row>
    <row r="19" spans="1:68">
      <c r="A19" s="381" t="s">
        <v>408</v>
      </c>
      <c r="B19" s="364"/>
      <c r="C19" s="364"/>
      <c r="D19" s="364"/>
      <c r="E19" s="364"/>
      <c r="F19" s="364"/>
      <c r="G19" s="364"/>
      <c r="H19" s="364"/>
      <c r="I19" s="364"/>
      <c r="J19" s="364"/>
      <c r="K19" s="364"/>
      <c r="L19" s="364"/>
      <c r="M19" s="894">
        <f>M18*0.8</f>
        <v>0</v>
      </c>
      <c r="N19" s="895"/>
      <c r="O19" s="895"/>
      <c r="P19" s="895"/>
      <c r="Q19" s="896"/>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c r="AZ19" s="147"/>
      <c r="BA19" s="81"/>
      <c r="BB19" s="81"/>
      <c r="BC19" s="81"/>
      <c r="BD19" s="81"/>
      <c r="BE19" s="81"/>
      <c r="BF19" s="81"/>
      <c r="BG19" s="81"/>
      <c r="BH19" s="81"/>
      <c r="BI19" s="81"/>
      <c r="BJ19" s="81"/>
      <c r="BK19" s="81"/>
      <c r="BL19" s="81"/>
      <c r="BM19" s="81"/>
      <c r="BN19" s="81"/>
      <c r="BO19" s="81"/>
      <c r="BP19" s="149"/>
    </row>
    <row r="20" spans="1:68">
      <c r="A20" s="381" t="s">
        <v>420</v>
      </c>
      <c r="B20" s="364"/>
      <c r="C20" s="364"/>
      <c r="D20" s="364"/>
      <c r="E20" s="364"/>
      <c r="F20" s="364"/>
      <c r="G20" s="364"/>
      <c r="H20" s="364"/>
      <c r="I20" s="364"/>
      <c r="J20" s="364"/>
      <c r="K20" s="364"/>
      <c r="L20" s="364"/>
      <c r="M20" s="784"/>
      <c r="N20" s="785"/>
      <c r="O20" s="785"/>
      <c r="P20" s="785"/>
      <c r="Q20" s="786"/>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c r="AZ20" s="147"/>
      <c r="BA20" s="81"/>
      <c r="BB20" s="81"/>
      <c r="BC20" s="81"/>
      <c r="BD20" s="81"/>
      <c r="BE20" s="81"/>
      <c r="BF20" s="81"/>
      <c r="BG20" s="81"/>
      <c r="BH20" s="81"/>
      <c r="BI20" s="81"/>
      <c r="BJ20" s="81"/>
      <c r="BK20" s="81"/>
      <c r="BL20" s="81"/>
      <c r="BM20" s="81"/>
      <c r="BN20" s="81"/>
      <c r="BO20" s="81"/>
      <c r="BP20" s="149"/>
    </row>
    <row r="21" spans="1:68">
      <c r="A21" s="381" t="s">
        <v>423</v>
      </c>
      <c r="B21" s="364"/>
      <c r="C21" s="364"/>
      <c r="D21" s="364"/>
      <c r="E21" s="364"/>
      <c r="F21" s="364"/>
      <c r="G21" s="364"/>
      <c r="H21" s="364"/>
      <c r="I21" s="364"/>
      <c r="J21" s="364"/>
      <c r="K21" s="364"/>
      <c r="L21" s="364"/>
      <c r="M21" s="897" t="e">
        <f>M15/1000*40*9.81*M20/M19</f>
        <v>#DIV/0!</v>
      </c>
      <c r="N21" s="898"/>
      <c r="O21" s="898"/>
      <c r="P21" s="898"/>
      <c r="Q21" s="89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c r="AZ21" s="147"/>
      <c r="BA21" s="81"/>
      <c r="BB21" s="81"/>
      <c r="BC21" s="81"/>
      <c r="BD21" s="81"/>
      <c r="BE21" s="81"/>
      <c r="BF21" s="81"/>
      <c r="BG21" s="81"/>
      <c r="BH21" s="81"/>
      <c r="BI21" s="81"/>
      <c r="BJ21" s="81"/>
      <c r="BK21" s="81"/>
      <c r="BL21" s="81"/>
      <c r="BM21" s="81"/>
      <c r="BN21" s="81"/>
      <c r="BO21" s="81"/>
      <c r="BP21" s="149"/>
    </row>
    <row r="22" spans="1:68">
      <c r="A22" s="381" t="s">
        <v>422</v>
      </c>
      <c r="B22" s="364"/>
      <c r="C22" s="364"/>
      <c r="D22" s="364"/>
      <c r="E22" s="364"/>
      <c r="F22" s="364"/>
      <c r="G22" s="364"/>
      <c r="H22" s="364"/>
      <c r="I22" s="364"/>
      <c r="J22" s="364"/>
      <c r="K22" s="364"/>
      <c r="L22" s="364"/>
      <c r="M22" s="784"/>
      <c r="N22" s="785"/>
      <c r="O22" s="785"/>
      <c r="P22" s="785"/>
      <c r="Q22" s="786"/>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c r="AZ22" s="147"/>
      <c r="BA22" s="81"/>
      <c r="BB22" s="81"/>
      <c r="BC22" s="81"/>
      <c r="BD22" s="81"/>
      <c r="BE22" s="81"/>
      <c r="BF22" s="81"/>
      <c r="BG22" s="81"/>
      <c r="BH22" s="81"/>
      <c r="BI22" s="81"/>
      <c r="BJ22" s="81"/>
      <c r="BK22" s="81"/>
      <c r="BL22" s="81"/>
      <c r="BM22" s="81"/>
      <c r="BN22" s="81"/>
      <c r="BO22" s="81"/>
      <c r="BP22" s="149"/>
    </row>
    <row r="23" spans="1:68">
      <c r="A23" s="381" t="s">
        <v>424</v>
      </c>
      <c r="B23" s="364"/>
      <c r="C23" s="364"/>
      <c r="D23" s="364"/>
      <c r="E23" s="364"/>
      <c r="F23" s="364"/>
      <c r="G23" s="364"/>
      <c r="H23" s="364"/>
      <c r="I23" s="364"/>
      <c r="J23" s="364"/>
      <c r="K23" s="364"/>
      <c r="L23" s="364"/>
      <c r="M23" s="897" t="e">
        <f>M22/M19</f>
        <v>#DIV/0!</v>
      </c>
      <c r="N23" s="898"/>
      <c r="O23" s="898"/>
      <c r="P23" s="898"/>
      <c r="Q23" s="89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c r="AZ23" s="147"/>
      <c r="BA23" s="81"/>
      <c r="BB23" s="81"/>
      <c r="BC23" s="81"/>
      <c r="BD23" s="81"/>
      <c r="BE23" s="81"/>
      <c r="BF23" s="81"/>
      <c r="BG23" s="81"/>
      <c r="BH23" s="81"/>
      <c r="BI23" s="81"/>
      <c r="BJ23" s="81"/>
      <c r="BK23" s="81"/>
      <c r="BL23" s="81"/>
      <c r="BM23" s="81"/>
      <c r="BN23" s="81"/>
      <c r="BO23" s="81"/>
      <c r="BP23" s="149"/>
    </row>
    <row r="24" spans="1:68" ht="12.75" customHeight="1">
      <c r="A24" s="381" t="s">
        <v>429</v>
      </c>
      <c r="B24" s="364"/>
      <c r="C24" s="364"/>
      <c r="D24" s="364"/>
      <c r="E24" s="364"/>
      <c r="F24" s="364"/>
      <c r="G24" s="364"/>
      <c r="H24" s="364"/>
      <c r="I24" s="364"/>
      <c r="J24" s="364"/>
      <c r="K24" s="364"/>
      <c r="L24" s="364"/>
      <c r="M24" s="900" t="e">
        <f>IF(M12&lt;&gt;"Pouch","N/A",IF(AND(M21&lt;=0.05,M23&lt;=1),"PASS",IF(M20&lt;=6,"EXCEPTION","FAIL")))</f>
        <v>#DIV/0!</v>
      </c>
      <c r="N24" s="901"/>
      <c r="O24" s="901"/>
      <c r="P24" s="901"/>
      <c r="Q24" s="902"/>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c r="AZ24" s="147"/>
      <c r="BA24" s="81"/>
      <c r="BB24" s="81"/>
      <c r="BC24" s="81"/>
      <c r="BD24" s="81"/>
      <c r="BE24" s="81"/>
      <c r="BF24" s="81"/>
      <c r="BG24" s="81"/>
      <c r="BH24" s="81"/>
      <c r="BI24" s="81"/>
      <c r="BJ24" s="81"/>
      <c r="BK24" s="81"/>
      <c r="BL24" s="81"/>
      <c r="BM24" s="81"/>
      <c r="BN24" s="81"/>
      <c r="BO24" s="81"/>
      <c r="BP24" s="149"/>
    </row>
    <row r="25" spans="1:68">
      <c r="A25" s="381" t="s">
        <v>425</v>
      </c>
      <c r="B25" s="364"/>
      <c r="C25" s="364"/>
      <c r="D25" s="364"/>
      <c r="E25" s="364"/>
      <c r="F25" s="364"/>
      <c r="G25" s="364"/>
      <c r="H25" s="364"/>
      <c r="I25" s="364"/>
      <c r="J25" s="364"/>
      <c r="K25" s="364"/>
      <c r="L25" s="364"/>
      <c r="M25" s="800"/>
      <c r="N25" s="801"/>
      <c r="O25" s="801"/>
      <c r="P25" s="801"/>
      <c r="Q25" s="802"/>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c r="AZ25" s="147"/>
      <c r="BA25" s="81"/>
      <c r="BB25" s="81"/>
      <c r="BC25" s="81"/>
      <c r="BD25" s="81"/>
      <c r="BE25" s="81"/>
      <c r="BF25" s="81"/>
      <c r="BG25" s="81"/>
      <c r="BH25" s="81"/>
      <c r="BI25" s="81"/>
      <c r="BJ25" s="81"/>
      <c r="BK25" s="81"/>
      <c r="BL25" s="81"/>
      <c r="BM25" s="81"/>
      <c r="BN25" s="81"/>
      <c r="BO25" s="81"/>
      <c r="BP25" s="149"/>
    </row>
    <row r="26" spans="1:68">
      <c r="A26" s="381" t="s">
        <v>426</v>
      </c>
      <c r="B26" s="364"/>
      <c r="C26" s="364"/>
      <c r="D26" s="364"/>
      <c r="E26" s="364"/>
      <c r="F26" s="364"/>
      <c r="G26" s="364"/>
      <c r="H26" s="364"/>
      <c r="I26" s="364"/>
      <c r="J26" s="364"/>
      <c r="K26" s="364"/>
      <c r="L26" s="364"/>
      <c r="M26" s="894">
        <f>M22*M25</f>
        <v>0</v>
      </c>
      <c r="N26" s="895"/>
      <c r="O26" s="895"/>
      <c r="P26" s="895"/>
      <c r="Q26" s="896"/>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c r="AZ26" s="147"/>
      <c r="BA26" s="81"/>
      <c r="BB26" s="81"/>
      <c r="BC26" s="81"/>
      <c r="BD26" s="81"/>
      <c r="BE26" s="81"/>
      <c r="BF26" s="81"/>
      <c r="BG26" s="81"/>
      <c r="BH26" s="81"/>
      <c r="BI26" s="81"/>
      <c r="BJ26" s="81"/>
      <c r="BK26" s="81"/>
      <c r="BL26" s="81"/>
      <c r="BM26" s="81"/>
      <c r="BN26" s="81"/>
      <c r="BO26" s="81"/>
      <c r="BP26" s="149"/>
    </row>
    <row r="27" spans="1:68">
      <c r="A27" s="381" t="s">
        <v>427</v>
      </c>
      <c r="B27" s="364"/>
      <c r="C27" s="364"/>
      <c r="D27" s="364"/>
      <c r="E27" s="364"/>
      <c r="F27" s="364"/>
      <c r="G27" s="364"/>
      <c r="H27" s="364"/>
      <c r="I27" s="364"/>
      <c r="J27" s="364"/>
      <c r="K27" s="364"/>
      <c r="L27" s="364"/>
      <c r="M27" s="903" t="str">
        <f>IF(M13&lt;&gt;"Friction based","N/A",IF(M26&gt;M15*M20/1000*40*9.81,"PASS","FAIL"))</f>
        <v>FAIL</v>
      </c>
      <c r="N27" s="904"/>
      <c r="O27" s="904"/>
      <c r="P27" s="904"/>
      <c r="Q27" s="905"/>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c r="AZ27" s="147"/>
      <c r="BA27" s="81"/>
      <c r="BB27" s="81"/>
      <c r="BC27" s="81"/>
      <c r="BD27" s="81"/>
      <c r="BE27" s="81"/>
      <c r="BF27" s="81"/>
      <c r="BG27" s="81"/>
      <c r="BH27" s="81"/>
      <c r="BI27" s="81"/>
      <c r="BJ27" s="81"/>
      <c r="BK27" s="81"/>
      <c r="BL27" s="81"/>
      <c r="BM27" s="81"/>
      <c r="BN27" s="81"/>
      <c r="BO27" s="81"/>
      <c r="BP27" s="149"/>
    </row>
    <row r="28" spans="1:68">
      <c r="A28" s="471" t="s">
        <v>438</v>
      </c>
      <c r="B28" s="472"/>
      <c r="C28" s="472"/>
      <c r="D28" s="472"/>
      <c r="E28" s="472"/>
      <c r="F28" s="472"/>
      <c r="G28" s="472"/>
      <c r="H28" s="472"/>
      <c r="I28" s="472"/>
      <c r="J28" s="472"/>
      <c r="K28" s="472"/>
      <c r="L28" s="472"/>
      <c r="M28" s="906" t="s">
        <v>37</v>
      </c>
      <c r="N28" s="907"/>
      <c r="O28" s="907"/>
      <c r="P28" s="907"/>
      <c r="Q28" s="908"/>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c r="AZ28" s="147"/>
      <c r="BA28" s="81"/>
      <c r="BB28" s="81"/>
      <c r="BC28" s="81"/>
      <c r="BD28" s="81"/>
      <c r="BE28" s="81"/>
      <c r="BF28" s="81"/>
      <c r="BG28" s="81"/>
      <c r="BH28" s="81"/>
      <c r="BI28" s="81"/>
      <c r="BJ28" s="81"/>
      <c r="BK28" s="81"/>
      <c r="BL28" s="81"/>
      <c r="BM28" s="81"/>
      <c r="BN28" s="81"/>
      <c r="BO28" s="81"/>
      <c r="BP28" s="149"/>
    </row>
    <row r="29" spans="1:68">
      <c r="A29" s="790" t="str">
        <f>IF(M28="Yes","-&gt; Explain how EV4.5.12 is fulfilled.",IF(AND(M12="Pouch",M28="N/A"),"-&gt; Above selection cannot be 'N/A' if cell type is 'Pouch'.",""))</f>
        <v/>
      </c>
      <c r="B29" s="791"/>
      <c r="C29" s="791"/>
      <c r="D29" s="791"/>
      <c r="E29" s="791"/>
      <c r="F29" s="791"/>
      <c r="G29" s="791"/>
      <c r="H29" s="791"/>
      <c r="I29" s="791"/>
      <c r="J29" s="791"/>
      <c r="K29" s="791"/>
      <c r="L29" s="791"/>
      <c r="M29" s="791"/>
      <c r="N29" s="791"/>
      <c r="O29" s="791"/>
      <c r="P29" s="791"/>
      <c r="Q29" s="792"/>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c r="AZ29" s="147"/>
      <c r="BA29" s="81"/>
      <c r="BB29" s="81"/>
      <c r="BC29" s="81"/>
      <c r="BD29" s="81"/>
      <c r="BE29" s="81"/>
      <c r="BF29" s="81"/>
      <c r="BG29" s="81"/>
      <c r="BH29" s="81"/>
      <c r="BI29" s="81"/>
      <c r="BJ29" s="81"/>
      <c r="BK29" s="81"/>
      <c r="BL29" s="81"/>
      <c r="BM29" s="81"/>
      <c r="BN29" s="81"/>
      <c r="BO29" s="81"/>
      <c r="BP29" s="149"/>
    </row>
    <row r="30" spans="1:68">
      <c r="A30" s="146"/>
      <c r="B30" s="108"/>
      <c r="C30" s="108"/>
      <c r="D30" s="108"/>
      <c r="E30" s="108"/>
      <c r="F30" s="108"/>
      <c r="G30" s="108"/>
      <c r="H30" s="108"/>
      <c r="I30" s="108"/>
      <c r="J30" s="108"/>
      <c r="K30" s="108"/>
      <c r="L30" s="108"/>
      <c r="M30" s="108"/>
      <c r="N30" s="108"/>
      <c r="O30" s="108"/>
      <c r="P30" s="108"/>
      <c r="Q30" s="35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c r="AZ30" s="147"/>
      <c r="BA30" s="81"/>
      <c r="BB30" s="81"/>
      <c r="BC30" s="81"/>
      <c r="BD30" s="81"/>
      <c r="BE30" s="81"/>
      <c r="BF30" s="81"/>
      <c r="BG30" s="81"/>
      <c r="BH30" s="81"/>
      <c r="BI30" s="81"/>
      <c r="BJ30" s="81"/>
      <c r="BK30" s="81"/>
      <c r="BL30" s="81"/>
      <c r="BM30" s="81"/>
      <c r="BN30" s="81"/>
      <c r="BO30" s="81"/>
      <c r="BP30" s="149"/>
    </row>
    <row r="31" spans="1:68">
      <c r="A31" s="147"/>
      <c r="B31" s="418" t="s">
        <v>350</v>
      </c>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c r="AZ31" s="147"/>
      <c r="BA31" s="81"/>
      <c r="BB31" s="81"/>
      <c r="BC31" s="81"/>
      <c r="BD31" s="81"/>
      <c r="BE31" s="81"/>
      <c r="BF31" s="81"/>
      <c r="BG31" s="81"/>
      <c r="BH31" s="81"/>
      <c r="BI31" s="81"/>
      <c r="BJ31" s="81"/>
      <c r="BK31" s="81"/>
      <c r="BL31" s="81"/>
      <c r="BM31" s="81"/>
      <c r="BN31" s="81"/>
      <c r="BO31" s="81"/>
      <c r="BP31" s="149"/>
    </row>
    <row r="32" spans="1:68">
      <c r="A32" s="147"/>
      <c r="B32" s="101" t="s">
        <v>348</v>
      </c>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c r="AZ32" s="147"/>
      <c r="BA32" s="81"/>
      <c r="BB32" s="81"/>
      <c r="BC32" s="81"/>
      <c r="BD32" s="81"/>
      <c r="BE32" s="81"/>
      <c r="BF32" s="81"/>
      <c r="BG32" s="81"/>
      <c r="BH32" s="81"/>
      <c r="BI32" s="81"/>
      <c r="BJ32" s="81"/>
      <c r="BK32" s="81"/>
      <c r="BL32" s="81"/>
      <c r="BM32" s="81"/>
      <c r="BN32" s="81"/>
      <c r="BO32" s="81"/>
      <c r="BP32" s="149"/>
    </row>
    <row r="33" spans="1:68">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c r="AZ33" s="147"/>
      <c r="BA33" s="81"/>
      <c r="BB33" s="81"/>
      <c r="BC33" s="81"/>
      <c r="BD33" s="81"/>
      <c r="BE33" s="81"/>
      <c r="BF33" s="81"/>
      <c r="BG33" s="81"/>
      <c r="BH33" s="81"/>
      <c r="BI33" s="81"/>
      <c r="BJ33" s="81"/>
      <c r="BK33" s="81"/>
      <c r="BL33" s="81"/>
      <c r="BM33" s="81"/>
      <c r="BN33" s="81"/>
      <c r="BO33" s="81"/>
      <c r="BP33" s="149"/>
    </row>
    <row r="34" spans="1:68">
      <c r="A34" s="147"/>
      <c r="B34" s="81" t="s">
        <v>249</v>
      </c>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c r="AZ34" s="147"/>
      <c r="BA34" s="81"/>
      <c r="BB34" s="81"/>
      <c r="BC34" s="81"/>
      <c r="BD34" s="81"/>
      <c r="BE34" s="81"/>
      <c r="BF34" s="81"/>
      <c r="BG34" s="81"/>
      <c r="BH34" s="81"/>
      <c r="BI34" s="81"/>
      <c r="BJ34" s="81"/>
      <c r="BK34" s="81"/>
      <c r="BL34" s="81"/>
      <c r="BM34" s="81"/>
      <c r="BN34" s="81"/>
      <c r="BO34" s="81"/>
      <c r="BP34" s="149"/>
    </row>
    <row r="35" spans="1:68">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c r="AZ35" s="147"/>
      <c r="BA35" s="81"/>
      <c r="BB35" s="81"/>
      <c r="BC35" s="81"/>
      <c r="BD35" s="81"/>
      <c r="BE35" s="81"/>
      <c r="BF35" s="81"/>
      <c r="BG35" s="81"/>
      <c r="BH35" s="81"/>
      <c r="BI35" s="81"/>
      <c r="BJ35" s="81"/>
      <c r="BK35" s="81"/>
      <c r="BL35" s="81"/>
      <c r="BM35" s="81"/>
      <c r="BN35" s="81"/>
      <c r="BO35" s="81"/>
      <c r="BP35" s="149"/>
    </row>
    <row r="36" spans="1:68">
      <c r="A36" s="147"/>
      <c r="B36" s="101" t="s">
        <v>349</v>
      </c>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c r="AZ36" s="147"/>
      <c r="BA36" s="81"/>
      <c r="BB36" s="81"/>
      <c r="BC36" s="81"/>
      <c r="BD36" s="81"/>
      <c r="BE36" s="81"/>
      <c r="BF36" s="81"/>
      <c r="BG36" s="81"/>
      <c r="BH36" s="81"/>
      <c r="BI36" s="81"/>
      <c r="BJ36" s="81"/>
      <c r="BK36" s="81"/>
      <c r="BL36" s="81"/>
      <c r="BM36" s="81"/>
      <c r="BN36" s="81"/>
      <c r="BO36" s="81"/>
      <c r="BP36" s="149"/>
    </row>
    <row r="37" spans="1:68">
      <c r="A37" s="147"/>
      <c r="B37" s="81" t="s">
        <v>252</v>
      </c>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c r="AZ37" s="147"/>
      <c r="BA37" s="81"/>
      <c r="BB37" s="81"/>
      <c r="BC37" s="81"/>
      <c r="BD37" s="81"/>
      <c r="BE37" s="81"/>
      <c r="BF37" s="81"/>
      <c r="BG37" s="81"/>
      <c r="BH37" s="81"/>
      <c r="BI37" s="81"/>
      <c r="BJ37" s="81"/>
      <c r="BK37" s="81"/>
      <c r="BL37" s="81"/>
      <c r="BM37" s="81"/>
      <c r="BN37" s="81"/>
      <c r="BO37" s="81"/>
      <c r="BP37" s="149"/>
    </row>
    <row r="38" spans="1:68">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c r="AZ38" s="147"/>
      <c r="BA38" s="81"/>
      <c r="BB38" s="81"/>
      <c r="BC38" s="81"/>
      <c r="BD38" s="81"/>
      <c r="BE38" s="81"/>
      <c r="BF38" s="81"/>
      <c r="BG38" s="81"/>
      <c r="BH38" s="81"/>
      <c r="BI38" s="81"/>
      <c r="BJ38" s="81"/>
      <c r="BK38" s="81"/>
      <c r="BL38" s="81"/>
      <c r="BM38" s="81"/>
      <c r="BN38" s="81"/>
      <c r="BO38" s="81"/>
      <c r="BP38" s="149"/>
    </row>
    <row r="39" spans="1:68">
      <c r="A39" s="147"/>
      <c r="B39" s="418" t="s">
        <v>446</v>
      </c>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c r="AZ39" s="147"/>
      <c r="BA39" s="81"/>
      <c r="BB39" s="81"/>
      <c r="BC39" s="81"/>
      <c r="BD39" s="81"/>
      <c r="BE39" s="81"/>
      <c r="BF39" s="81"/>
      <c r="BG39" s="81"/>
      <c r="BH39" s="81"/>
      <c r="BI39" s="81"/>
      <c r="BJ39" s="81"/>
      <c r="BK39" s="81"/>
      <c r="BL39" s="81"/>
      <c r="BM39" s="81"/>
      <c r="BN39" s="81"/>
      <c r="BO39" s="81"/>
      <c r="BP39" s="149"/>
    </row>
    <row r="40" spans="1:68">
      <c r="A40" s="147"/>
      <c r="B40" s="418" t="s">
        <v>396</v>
      </c>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c r="AZ40" s="147"/>
      <c r="BA40" s="81"/>
      <c r="BB40" s="81"/>
      <c r="BC40" s="81"/>
      <c r="BD40" s="81"/>
      <c r="BE40" s="81"/>
      <c r="BF40" s="81"/>
      <c r="BG40" s="81"/>
      <c r="BH40" s="81"/>
      <c r="BI40" s="81"/>
      <c r="BJ40" s="81"/>
      <c r="BK40" s="81"/>
      <c r="BL40" s="81"/>
      <c r="BM40" s="81"/>
      <c r="BN40" s="81"/>
      <c r="BO40" s="81"/>
      <c r="BP40" s="149"/>
    </row>
    <row r="41" spans="1:68">
      <c r="A41" s="147"/>
      <c r="B41" s="81"/>
      <c r="C41" s="81"/>
      <c r="D41" s="81"/>
      <c r="E41" s="81"/>
      <c r="F41" s="81"/>
      <c r="G41" s="81"/>
      <c r="H41" s="81"/>
      <c r="I41" s="10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c r="AZ41" s="147"/>
      <c r="BA41" s="81"/>
      <c r="BB41" s="81"/>
      <c r="BC41" s="81"/>
      <c r="BD41" s="81"/>
      <c r="BE41" s="81"/>
      <c r="BF41" s="81"/>
      <c r="BG41" s="81"/>
      <c r="BH41" s="81"/>
      <c r="BI41" s="81"/>
      <c r="BJ41" s="81"/>
      <c r="BK41" s="81"/>
      <c r="BL41" s="81"/>
      <c r="BM41" s="81"/>
      <c r="BN41" s="81"/>
      <c r="BO41" s="81"/>
      <c r="BP41" s="149"/>
    </row>
    <row r="42" spans="1:68">
      <c r="A42" s="147"/>
      <c r="B42" s="101" t="s">
        <v>343</v>
      </c>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c r="AZ42" s="147"/>
      <c r="BA42" s="81"/>
      <c r="BB42" s="81"/>
      <c r="BC42" s="81"/>
      <c r="BD42" s="81"/>
      <c r="BE42" s="81"/>
      <c r="BF42" s="81"/>
      <c r="BG42" s="81"/>
      <c r="BH42" s="81"/>
      <c r="BI42" s="81"/>
      <c r="BJ42" s="81"/>
      <c r="BK42" s="81"/>
      <c r="BL42" s="81"/>
      <c r="BM42" s="81"/>
      <c r="BN42" s="81"/>
      <c r="BO42" s="81"/>
      <c r="BP42" s="149"/>
    </row>
    <row r="43" spans="1:68">
      <c r="A43" s="147"/>
      <c r="B43" s="101" t="s">
        <v>344</v>
      </c>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c r="AZ43" s="147"/>
      <c r="BA43" s="81"/>
      <c r="BB43" s="81"/>
      <c r="BC43" s="81"/>
      <c r="BD43" s="81"/>
      <c r="BE43" s="81"/>
      <c r="BF43" s="81"/>
      <c r="BG43" s="81"/>
      <c r="BH43" s="81"/>
      <c r="BI43" s="81"/>
      <c r="BJ43" s="81"/>
      <c r="BK43" s="81"/>
      <c r="BL43" s="81"/>
      <c r="BM43" s="81"/>
      <c r="BN43" s="81"/>
      <c r="BO43" s="81"/>
      <c r="BP43" s="149"/>
    </row>
    <row r="44" spans="1:68">
      <c r="A44" s="147"/>
      <c r="B44" s="137" t="s">
        <v>397</v>
      </c>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c r="AZ44" s="147"/>
      <c r="BA44" s="81"/>
      <c r="BB44" s="81"/>
      <c r="BC44" s="81"/>
      <c r="BD44" s="81"/>
      <c r="BE44" s="81"/>
      <c r="BF44" s="81"/>
      <c r="BG44" s="81"/>
      <c r="BH44" s="81"/>
      <c r="BI44" s="81"/>
      <c r="BJ44" s="81"/>
      <c r="BK44" s="81"/>
      <c r="BL44" s="81"/>
      <c r="BM44" s="81"/>
      <c r="BN44" s="81"/>
      <c r="BO44" s="81"/>
      <c r="BP44" s="149"/>
    </row>
    <row r="45" spans="1:68">
      <c r="A45" s="147"/>
      <c r="B45" s="137" t="s">
        <v>347</v>
      </c>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c r="AZ45" s="147"/>
      <c r="BA45" s="81"/>
      <c r="BB45" s="81"/>
      <c r="BC45" s="81"/>
      <c r="BD45" s="81"/>
      <c r="BE45" s="81"/>
      <c r="BF45" s="81"/>
      <c r="BG45" s="81"/>
      <c r="BH45" s="81"/>
      <c r="BI45" s="81"/>
      <c r="BJ45" s="81"/>
      <c r="BK45" s="81"/>
      <c r="BL45" s="81"/>
      <c r="BM45" s="81"/>
      <c r="BN45" s="81"/>
      <c r="BO45" s="81"/>
      <c r="BP45" s="149"/>
    </row>
    <row r="46" spans="1:68">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c r="AZ46" s="147"/>
      <c r="BA46" s="81"/>
      <c r="BB46" s="81"/>
      <c r="BC46" s="81"/>
      <c r="BD46" s="81"/>
      <c r="BE46" s="81"/>
      <c r="BF46" s="81"/>
      <c r="BG46" s="81"/>
      <c r="BH46" s="81"/>
      <c r="BI46" s="81"/>
      <c r="BJ46" s="81"/>
      <c r="BK46" s="81"/>
      <c r="BL46" s="81"/>
      <c r="BM46" s="81"/>
      <c r="BN46" s="81"/>
      <c r="BO46" s="81"/>
      <c r="BP46" s="149"/>
    </row>
    <row r="47" spans="1:68">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c r="AZ47" s="147"/>
      <c r="BA47" s="81"/>
      <c r="BB47" s="81"/>
      <c r="BC47" s="81"/>
      <c r="BD47" s="81"/>
      <c r="BE47" s="81"/>
      <c r="BF47" s="81"/>
      <c r="BG47" s="81"/>
      <c r="BH47" s="81"/>
      <c r="BI47" s="81"/>
      <c r="BJ47" s="81"/>
      <c r="BK47" s="81"/>
      <c r="BL47" s="81"/>
      <c r="BM47" s="81"/>
      <c r="BN47" s="81"/>
      <c r="BO47" s="81"/>
      <c r="BP47" s="149"/>
    </row>
    <row r="48" spans="1:68">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c r="AZ48" s="147"/>
      <c r="BA48" s="81"/>
      <c r="BB48" s="81"/>
      <c r="BC48" s="81"/>
      <c r="BD48" s="81"/>
      <c r="BE48" s="81"/>
      <c r="BF48" s="81"/>
      <c r="BG48" s="81"/>
      <c r="BH48" s="81"/>
      <c r="BI48" s="81"/>
      <c r="BJ48" s="81"/>
      <c r="BK48" s="81"/>
      <c r="BL48" s="81"/>
      <c r="BM48" s="81"/>
      <c r="BN48" s="81"/>
      <c r="BO48" s="81"/>
      <c r="BP48" s="149"/>
    </row>
    <row r="49" spans="1:68">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c r="AZ49" s="147"/>
      <c r="BA49" s="81"/>
      <c r="BB49" s="81"/>
      <c r="BC49" s="81"/>
      <c r="BD49" s="81"/>
      <c r="BE49" s="81"/>
      <c r="BF49" s="81"/>
      <c r="BG49" s="81"/>
      <c r="BH49" s="81"/>
      <c r="BI49" s="81"/>
      <c r="BJ49" s="81"/>
      <c r="BK49" s="81"/>
      <c r="BL49" s="81"/>
      <c r="BM49" s="81"/>
      <c r="BN49" s="81"/>
      <c r="BO49" s="81"/>
      <c r="BP49" s="149"/>
    </row>
    <row r="50" spans="1:68">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c r="AZ50" s="147"/>
      <c r="BA50" s="81"/>
      <c r="BB50" s="81"/>
      <c r="BC50" s="81"/>
      <c r="BD50" s="81"/>
      <c r="BE50" s="81"/>
      <c r="BF50" s="81"/>
      <c r="BG50" s="81"/>
      <c r="BH50" s="81"/>
      <c r="BI50" s="81"/>
      <c r="BJ50" s="81"/>
      <c r="BK50" s="81"/>
      <c r="BL50" s="81"/>
      <c r="BM50" s="81"/>
      <c r="BN50" s="81"/>
      <c r="BO50" s="81"/>
      <c r="BP50" s="149"/>
    </row>
    <row r="51" spans="1:68">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c r="AZ51" s="147"/>
      <c r="BA51" s="81"/>
      <c r="BB51" s="81"/>
      <c r="BC51" s="81"/>
      <c r="BD51" s="81"/>
      <c r="BE51" s="81"/>
      <c r="BF51" s="81"/>
      <c r="BG51" s="81"/>
      <c r="BH51" s="81"/>
      <c r="BI51" s="81"/>
      <c r="BJ51" s="81"/>
      <c r="BK51" s="81"/>
      <c r="BL51" s="81"/>
      <c r="BM51" s="81"/>
      <c r="BN51" s="81"/>
      <c r="BO51" s="81"/>
      <c r="BP51" s="149"/>
    </row>
    <row r="52" spans="1:68">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c r="AZ52" s="147"/>
      <c r="BA52" s="81"/>
      <c r="BB52" s="81"/>
      <c r="BC52" s="81"/>
      <c r="BD52" s="81"/>
      <c r="BE52" s="81"/>
      <c r="BF52" s="81"/>
      <c r="BG52" s="81"/>
      <c r="BH52" s="81"/>
      <c r="BI52" s="81"/>
      <c r="BJ52" s="81"/>
      <c r="BK52" s="81"/>
      <c r="BL52" s="81"/>
      <c r="BM52" s="81"/>
      <c r="BN52" s="81"/>
      <c r="BO52" s="81"/>
      <c r="BP52" s="149"/>
    </row>
    <row r="53" spans="1:68">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c r="AZ53" s="147"/>
      <c r="BA53" s="81"/>
      <c r="BB53" s="81"/>
      <c r="BC53" s="81"/>
      <c r="BD53" s="81"/>
      <c r="BE53" s="81"/>
      <c r="BF53" s="81"/>
      <c r="BG53" s="81"/>
      <c r="BH53" s="81"/>
      <c r="BI53" s="81"/>
      <c r="BJ53" s="81"/>
      <c r="BK53" s="81"/>
      <c r="BL53" s="81"/>
      <c r="BM53" s="81"/>
      <c r="BN53" s="81"/>
      <c r="BO53" s="81"/>
      <c r="BP53" s="149"/>
    </row>
    <row r="54" spans="1:68">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c r="AZ54" s="147"/>
      <c r="BA54" s="81"/>
      <c r="BB54" s="81"/>
      <c r="BC54" s="81"/>
      <c r="BD54" s="81"/>
      <c r="BE54" s="81"/>
      <c r="BF54" s="81"/>
      <c r="BG54" s="81"/>
      <c r="BH54" s="81"/>
      <c r="BI54" s="81"/>
      <c r="BJ54" s="81"/>
      <c r="BK54" s="81"/>
      <c r="BL54" s="81"/>
      <c r="BM54" s="81"/>
      <c r="BN54" s="81"/>
      <c r="BO54" s="81"/>
      <c r="BP54" s="149"/>
    </row>
    <row r="55" spans="1:68">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c r="AZ55" s="147"/>
      <c r="BA55" s="81"/>
      <c r="BB55" s="81"/>
      <c r="BC55" s="81"/>
      <c r="BD55" s="81"/>
      <c r="BE55" s="81"/>
      <c r="BF55" s="81"/>
      <c r="BG55" s="81"/>
      <c r="BH55" s="81"/>
      <c r="BI55" s="81"/>
      <c r="BJ55" s="81"/>
      <c r="BK55" s="81"/>
      <c r="BL55" s="81"/>
      <c r="BM55" s="81"/>
      <c r="BN55" s="81"/>
      <c r="BO55" s="81"/>
      <c r="BP55" s="149"/>
    </row>
    <row r="56" spans="1:68">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c r="AZ56" s="147"/>
      <c r="BA56" s="81"/>
      <c r="BB56" s="81"/>
      <c r="BC56" s="81"/>
      <c r="BD56" s="81"/>
      <c r="BE56" s="81"/>
      <c r="BF56" s="81"/>
      <c r="BG56" s="81"/>
      <c r="BH56" s="81"/>
      <c r="BI56" s="81"/>
      <c r="BJ56" s="81"/>
      <c r="BK56" s="81"/>
      <c r="BL56" s="81"/>
      <c r="BM56" s="81"/>
      <c r="BN56" s="81"/>
      <c r="BO56" s="81"/>
      <c r="BP56" s="149"/>
    </row>
    <row r="57" spans="1:68">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c r="AZ57" s="147"/>
      <c r="BA57" s="81"/>
      <c r="BB57" s="81"/>
      <c r="BC57" s="81"/>
      <c r="BD57" s="81"/>
      <c r="BE57" s="81"/>
      <c r="BF57" s="81"/>
      <c r="BG57" s="81"/>
      <c r="BH57" s="81"/>
      <c r="BI57" s="81"/>
      <c r="BJ57" s="81"/>
      <c r="BK57" s="81"/>
      <c r="BL57" s="81"/>
      <c r="BM57" s="81"/>
      <c r="BN57" s="81"/>
      <c r="BO57" s="81"/>
      <c r="BP57" s="149"/>
    </row>
    <row r="58" spans="1:68">
      <c r="A58" s="147"/>
      <c r="B58" s="81"/>
      <c r="C58" s="81"/>
      <c r="D58" s="81"/>
      <c r="E58" s="81"/>
      <c r="F58" s="81"/>
      <c r="G58" s="81"/>
      <c r="H58" s="81"/>
      <c r="I58" s="81"/>
      <c r="J58" s="81"/>
      <c r="K58" s="81"/>
      <c r="L58" s="81"/>
      <c r="M58" s="81"/>
      <c r="N58" s="81"/>
      <c r="O58" s="81"/>
      <c r="P58" s="81"/>
      <c r="Q58" s="149"/>
      <c r="R58" s="147"/>
      <c r="S58" s="81"/>
      <c r="T58" s="81"/>
      <c r="U58" s="81"/>
      <c r="V58" s="81"/>
      <c r="W58" s="81"/>
      <c r="X58" s="81"/>
      <c r="Y58" s="81"/>
      <c r="Z58" s="81"/>
      <c r="AA58" s="81"/>
      <c r="AB58" s="81"/>
      <c r="AC58" s="81"/>
      <c r="AD58" s="81"/>
      <c r="AE58" s="81"/>
      <c r="AF58" s="81"/>
      <c r="AG58" s="81"/>
      <c r="AH58" s="149"/>
      <c r="AI58" s="147"/>
      <c r="AJ58" s="81"/>
      <c r="AK58" s="81"/>
      <c r="AL58" s="81"/>
      <c r="AM58" s="81"/>
      <c r="AN58" s="81"/>
      <c r="AO58" s="81"/>
      <c r="AP58" s="81"/>
      <c r="AQ58" s="81"/>
      <c r="AR58" s="81"/>
      <c r="AS58" s="81"/>
      <c r="AT58" s="81"/>
      <c r="AU58" s="81"/>
      <c r="AV58" s="81"/>
      <c r="AW58" s="81"/>
      <c r="AX58" s="81"/>
      <c r="AY58" s="149"/>
      <c r="AZ58" s="147"/>
      <c r="BA58" s="81"/>
      <c r="BB58" s="81"/>
      <c r="BC58" s="81"/>
      <c r="BD58" s="81"/>
      <c r="BE58" s="81"/>
      <c r="BF58" s="81"/>
      <c r="BG58" s="81"/>
      <c r="BH58" s="81"/>
      <c r="BI58" s="81"/>
      <c r="BJ58" s="81"/>
      <c r="BK58" s="81"/>
      <c r="BL58" s="81"/>
      <c r="BM58" s="81"/>
      <c r="BN58" s="81"/>
      <c r="BO58" s="81"/>
      <c r="BP58" s="149"/>
    </row>
    <row r="59" spans="1:68">
      <c r="A59" s="360"/>
      <c r="B59" s="361"/>
      <c r="C59" s="361"/>
      <c r="D59" s="361"/>
      <c r="E59" s="361"/>
      <c r="F59" s="361"/>
      <c r="G59" s="361"/>
      <c r="H59" s="361"/>
      <c r="I59" s="361"/>
      <c r="J59" s="361"/>
      <c r="K59" s="361"/>
      <c r="L59" s="361"/>
      <c r="M59" s="361"/>
      <c r="N59" s="361"/>
      <c r="O59" s="361"/>
      <c r="P59" s="361"/>
      <c r="Q59" s="362"/>
      <c r="R59" s="360"/>
      <c r="S59" s="361"/>
      <c r="T59" s="361"/>
      <c r="U59" s="361"/>
      <c r="V59" s="361"/>
      <c r="W59" s="361"/>
      <c r="X59" s="361"/>
      <c r="Y59" s="361"/>
      <c r="Z59" s="361"/>
      <c r="AA59" s="361"/>
      <c r="AB59" s="361"/>
      <c r="AC59" s="361"/>
      <c r="AD59" s="361"/>
      <c r="AE59" s="361"/>
      <c r="AF59" s="361"/>
      <c r="AG59" s="361"/>
      <c r="AH59" s="362"/>
      <c r="AI59" s="360"/>
      <c r="AJ59" s="361"/>
      <c r="AK59" s="361"/>
      <c r="AL59" s="361"/>
      <c r="AM59" s="361"/>
      <c r="AN59" s="361"/>
      <c r="AO59" s="361"/>
      <c r="AP59" s="361"/>
      <c r="AQ59" s="361"/>
      <c r="AR59" s="361"/>
      <c r="AS59" s="361"/>
      <c r="AT59" s="361"/>
      <c r="AU59" s="361"/>
      <c r="AV59" s="361"/>
      <c r="AW59" s="361"/>
      <c r="AX59" s="361"/>
      <c r="AY59" s="362"/>
      <c r="AZ59" s="360"/>
      <c r="BA59" s="361"/>
      <c r="BB59" s="361"/>
      <c r="BC59" s="361"/>
      <c r="BD59" s="361"/>
      <c r="BE59" s="361"/>
      <c r="BF59" s="361"/>
      <c r="BG59" s="361"/>
      <c r="BH59" s="361"/>
      <c r="BI59" s="361"/>
      <c r="BJ59" s="361"/>
      <c r="BK59" s="361"/>
      <c r="BL59" s="361"/>
      <c r="BM59" s="361"/>
      <c r="BN59" s="361"/>
      <c r="BO59" s="361"/>
      <c r="BP59" s="362"/>
    </row>
    <row r="60" spans="1:68">
      <c r="A60" s="399"/>
      <c r="B60" s="399"/>
      <c r="C60" s="399"/>
      <c r="D60" s="399"/>
      <c r="E60" s="399"/>
      <c r="F60" s="399"/>
      <c r="G60" s="399"/>
      <c r="H60" s="399"/>
      <c r="I60" s="399"/>
      <c r="J60" s="399"/>
      <c r="K60" s="399"/>
      <c r="L60" s="399"/>
      <c r="M60" s="399"/>
      <c r="N60" s="399"/>
      <c r="O60" s="399"/>
      <c r="P60" s="399"/>
      <c r="Q60" s="399"/>
    </row>
  </sheetData>
  <sheetProtection algorithmName="SHA-512" hashValue="8QX/AISuLDiOimYirpXnKjBfBLgQKM51XgBqyBjUWEsJRvG2rCTNH5vGXk7Jyj0sUflBynSA/gzjVlmkfTrR6Q==" saltValue="SI3fDyJJb2mHivf58i5k9A==" spinCount="100000" sheet="1" scenarios="1"/>
  <protectedRanges>
    <protectedRange sqref="M12:M17 M20 M22 M25 M28" name="Range1"/>
    <protectedRange sqref="A30:Q59 R1:BP59" name="Range2"/>
  </protectedRanges>
  <mergeCells count="22">
    <mergeCell ref="A28:L28"/>
    <mergeCell ref="M28:Q28"/>
    <mergeCell ref="A29:Q29"/>
    <mergeCell ref="A1:Q1"/>
    <mergeCell ref="D3:I3"/>
    <mergeCell ref="N3:Q3"/>
    <mergeCell ref="M12:Q12"/>
    <mergeCell ref="M13:Q13"/>
    <mergeCell ref="M25:Q25"/>
    <mergeCell ref="M26:Q26"/>
    <mergeCell ref="M24:Q24"/>
    <mergeCell ref="M27:Q27"/>
    <mergeCell ref="M14:Q14"/>
    <mergeCell ref="M15:Q15"/>
    <mergeCell ref="M16:Q16"/>
    <mergeCell ref="M17:Q17"/>
    <mergeCell ref="M23:Q23"/>
    <mergeCell ref="M20:Q20"/>
    <mergeCell ref="M18:Q18"/>
    <mergeCell ref="M19:Q19"/>
    <mergeCell ref="M21:Q21"/>
    <mergeCell ref="M22:Q22"/>
  </mergeCells>
  <conditionalFormatting sqref="M28">
    <cfRule type="cellIs" dxfId="63" priority="1" operator="equal">
      <formula>"N/A"</formula>
    </cfRule>
    <cfRule type="cellIs" dxfId="62" priority="2" operator="equal">
      <formula>"No"</formula>
    </cfRule>
    <cfRule type="cellIs" dxfId="61" priority="3" operator="equal">
      <formula>"yes"</formula>
    </cfRule>
  </conditionalFormatting>
  <conditionalFormatting sqref="M14:Q14">
    <cfRule type="expression" dxfId="60" priority="13">
      <formula>$M$13="Other"</formula>
    </cfRule>
  </conditionalFormatting>
  <conditionalFormatting sqref="M16:Q17 M20:Q21">
    <cfRule type="expression" dxfId="59" priority="8">
      <formula>$M$12&lt;&gt;"Pouch"</formula>
    </cfRule>
  </conditionalFormatting>
  <conditionalFormatting sqref="M21:Q21">
    <cfRule type="cellIs" dxfId="58" priority="14" operator="lessThanOrEqual">
      <formula>0.05</formula>
    </cfRule>
    <cfRule type="cellIs" dxfId="57" priority="15" operator="greaterThan">
      <formula>0.05</formula>
    </cfRule>
  </conditionalFormatting>
  <conditionalFormatting sqref="M22:Q23 M25:Q25">
    <cfRule type="expression" dxfId="56" priority="7">
      <formula>$M$13&lt;&gt;"Friction based"</formula>
    </cfRule>
  </conditionalFormatting>
  <conditionalFormatting sqref="M23:Q23">
    <cfRule type="cellIs" dxfId="55" priority="11" operator="lessThanOrEqual">
      <formula>1</formula>
    </cfRule>
    <cfRule type="cellIs" dxfId="54" priority="12" operator="greaterThan">
      <formula>1</formula>
    </cfRule>
  </conditionalFormatting>
  <conditionalFormatting sqref="M24:Q24">
    <cfRule type="expression" dxfId="53" priority="4">
      <formula>$M$24="FAIL"</formula>
    </cfRule>
    <cfRule type="expression" dxfId="52" priority="5">
      <formula>$M$24="PASS"</formula>
    </cfRule>
    <cfRule type="expression" dxfId="51" priority="6">
      <formula>$M$24="EXCEPTION"</formula>
    </cfRule>
  </conditionalFormatting>
  <conditionalFormatting sqref="M27:Q27">
    <cfRule type="containsText" dxfId="50" priority="9" operator="containsText" text="FAIL">
      <formula>NOT(ISERROR(SEARCH("FAIL",M27)))</formula>
    </cfRule>
    <cfRule type="containsText" dxfId="49" priority="10" operator="containsText" text="PASS">
      <formula>NOT(ISERROR(SEARCH("PASS",M27)))</formula>
    </cfRule>
  </conditionalFormatting>
  <dataValidations count="3">
    <dataValidation type="list" allowBlank="1" showInputMessage="1" showErrorMessage="1" sqref="M12" xr:uid="{4DB5E6CA-299D-49E2-BA23-641B4D40E7B8}">
      <formula1>"Pouch, Cylindrical, Prismatic"</formula1>
    </dataValidation>
    <dataValidation type="list" allowBlank="1" showInputMessage="1" showErrorMessage="1" sqref="M13:Q13" xr:uid="{2F5C9FDB-5D71-414A-972D-04ADB8B7632E}">
      <formula1>"Adhesive,Friction based,Other"</formula1>
    </dataValidation>
    <dataValidation type="list" allowBlank="1" showInputMessage="1" showErrorMessage="1" sqref="M28" xr:uid="{54CE830F-07AB-4648-AC59-EF9F30A642FE}">
      <formula1>"No,Yes, N/A"</formula1>
    </dataValidation>
  </dataValidations>
  <hyperlinks>
    <hyperlink ref="M10" location="'Cover Sheet'!A1" display="BACK to COVER SHEET" xr:uid="{43AEC58D-57A3-493B-94CE-0683B3E7C7BF}"/>
    <hyperlink ref="B9" location="'EV5.5.10-11 Guidance Notes'!A1" display="Guidance notes: Pouch cell fixation" xr:uid="{C79F9788-99CB-4DC5-8103-4E9DF04833B2}"/>
    <hyperlink ref="B10" location="'EV5.5.12 Guidance Notes'!A1" display="Guidance notes: Friction based cell fixation" xr:uid="{A41ED26A-7BDB-48CF-BFBF-00DA82615E5E}"/>
    <hyperlink ref="B8" location="'EV5.5.9 Guidance Notes'!A1" display="Guidance notes: Cell fixation general" xr:uid="{C475AA64-DCF7-4D0A-8F8B-C0C4AAA4D77C}"/>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4DF81-19E6-4E8D-9873-D125B2991BE7}">
  <sheetPr codeName="Sheet10">
    <tabColor rgb="FFFFFF66"/>
  </sheetPr>
  <dimension ref="A1:AY116"/>
  <sheetViews>
    <sheetView view="pageBreakPreview" zoomScaleNormal="100" zoomScaleSheetLayoutView="100" workbookViewId="0">
      <selection sqref="A1:Q1"/>
    </sheetView>
  </sheetViews>
  <sheetFormatPr defaultColWidth="5" defaultRowHeight="12.75"/>
  <sheetData>
    <row r="1" spans="1:51">
      <c r="A1" s="561" t="str">
        <f>CONCATENATE(Read_Me!A1," FS ASES ",Read_Me!B1," - EV5.5.9 Segment")</f>
        <v>2026 FS ASES V1.0 - EV5.5.9 Segment</v>
      </c>
      <c r="B1" s="561"/>
      <c r="C1" s="561"/>
      <c r="D1" s="561"/>
      <c r="E1" s="561"/>
      <c r="F1" s="561"/>
      <c r="G1" s="561"/>
      <c r="H1" s="561"/>
      <c r="I1" s="561"/>
      <c r="J1" s="561"/>
      <c r="K1" s="561"/>
      <c r="L1" s="561"/>
      <c r="M1" s="561"/>
      <c r="N1" s="561"/>
      <c r="O1" s="561"/>
      <c r="P1" s="561"/>
      <c r="Q1" s="56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08" t="s">
        <v>236</v>
      </c>
      <c r="T2" s="809"/>
      <c r="U2" s="809"/>
      <c r="V2" s="809"/>
      <c r="W2" s="809"/>
      <c r="X2" s="809"/>
      <c r="Y2" s="809"/>
      <c r="Z2" s="809"/>
      <c r="AA2" s="809"/>
      <c r="AB2" s="809"/>
      <c r="AC2" s="809"/>
      <c r="AD2" s="809"/>
      <c r="AE2" s="810"/>
      <c r="AF2" s="806"/>
      <c r="AG2" s="807"/>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562"/>
      <c r="R3" s="224"/>
      <c r="S3" s="811"/>
      <c r="T3" s="812"/>
      <c r="U3" s="812"/>
      <c r="V3" s="812"/>
      <c r="W3" s="812"/>
      <c r="X3" s="812"/>
      <c r="Y3" s="812"/>
      <c r="Z3" s="812"/>
      <c r="AA3" s="812"/>
      <c r="AB3" s="812"/>
      <c r="AC3" s="812"/>
      <c r="AD3" s="812"/>
      <c r="AE3" s="813"/>
      <c r="AF3" s="174"/>
      <c r="AG3" s="174"/>
      <c r="AH3" s="199"/>
      <c r="AI3" s="224"/>
      <c r="AJ3" s="174"/>
      <c r="AK3" s="174"/>
      <c r="AL3" s="174"/>
      <c r="AM3" s="174"/>
      <c r="AN3" s="174"/>
      <c r="AO3" s="174"/>
      <c r="AP3" s="174"/>
      <c r="AQ3" s="174"/>
      <c r="AR3" s="174"/>
      <c r="AS3" s="174"/>
      <c r="AT3" s="174"/>
      <c r="AU3" s="174"/>
      <c r="AV3" s="174"/>
      <c r="AW3" s="174"/>
      <c r="AX3" s="174"/>
      <c r="AY3" s="199"/>
    </row>
    <row r="4" spans="1:51">
      <c r="A4" s="224"/>
      <c r="B4" s="174"/>
      <c r="C4" s="174"/>
      <c r="D4" s="174"/>
      <c r="E4" s="174"/>
      <c r="F4" s="174"/>
      <c r="G4" s="174"/>
      <c r="H4" s="174"/>
      <c r="I4" s="174"/>
      <c r="J4" s="174"/>
      <c r="K4" s="174"/>
      <c r="L4" s="174"/>
      <c r="M4" s="174"/>
      <c r="N4" s="174"/>
      <c r="O4" s="174"/>
      <c r="P4" s="174"/>
      <c r="Q4" s="174"/>
      <c r="R4" s="224"/>
      <c r="S4" s="814" t="str">
        <f>IF(AF2="Yes","--&gt; Show mechanical properties at 60 °C in the materials section!","")</f>
        <v/>
      </c>
      <c r="T4" s="814"/>
      <c r="U4" s="814"/>
      <c r="V4" s="814"/>
      <c r="W4" s="814"/>
      <c r="X4" s="814"/>
      <c r="Y4" s="814"/>
      <c r="Z4" s="814"/>
      <c r="AA4" s="814"/>
      <c r="AB4" s="814"/>
      <c r="AC4" s="814"/>
      <c r="AD4" s="814"/>
      <c r="AE4" s="814"/>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237</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15"/>
      <c r="AG6" s="807"/>
      <c r="AH6" s="199"/>
      <c r="AI6" s="224"/>
      <c r="AJ6" s="174"/>
      <c r="AK6" s="174"/>
      <c r="AL6" s="174"/>
      <c r="AM6" s="174"/>
      <c r="AN6" s="174"/>
      <c r="AO6" s="174"/>
      <c r="AP6" s="174"/>
      <c r="AQ6" s="174"/>
      <c r="AR6" s="174"/>
      <c r="AS6" s="174"/>
      <c r="AT6" s="174"/>
      <c r="AU6" s="174"/>
      <c r="AV6" s="174"/>
      <c r="AW6" s="174"/>
      <c r="AX6" s="174"/>
      <c r="AY6" s="199"/>
    </row>
    <row r="7" spans="1:51">
      <c r="A7" s="224"/>
      <c r="B7" s="195" t="s">
        <v>451</v>
      </c>
      <c r="C7" s="174"/>
      <c r="D7" s="174"/>
      <c r="E7" s="174"/>
      <c r="F7" s="174"/>
      <c r="G7" s="174"/>
      <c r="H7" s="174"/>
      <c r="I7" s="174"/>
      <c r="J7" s="174"/>
      <c r="K7" s="174"/>
      <c r="L7" s="174"/>
      <c r="M7" s="174"/>
      <c r="N7" s="174"/>
      <c r="O7" s="174"/>
      <c r="P7" s="174"/>
      <c r="Q7" s="199"/>
      <c r="R7" s="174"/>
      <c r="S7" s="816" t="str">
        <f>IF(AF6="Yes","--&gt; Show mechanical properties at 60 °C in the material overview and apply T3.2.8!","")</f>
        <v/>
      </c>
      <c r="T7" s="816"/>
      <c r="U7" s="816"/>
      <c r="V7" s="816"/>
      <c r="W7" s="816"/>
      <c r="X7" s="816"/>
      <c r="Y7" s="816"/>
      <c r="Z7" s="816"/>
      <c r="AA7" s="816"/>
      <c r="AB7" s="816"/>
      <c r="AC7" s="816"/>
      <c r="AD7" s="816"/>
      <c r="AE7" s="816"/>
      <c r="AF7" s="174"/>
      <c r="AG7" s="174"/>
      <c r="AH7" s="199"/>
      <c r="AI7" s="224"/>
      <c r="AJ7" s="174"/>
      <c r="AK7" s="174"/>
      <c r="AL7" s="174"/>
      <c r="AM7" s="174"/>
      <c r="AN7" s="174"/>
      <c r="AO7" s="174"/>
      <c r="AP7" s="174"/>
      <c r="AQ7" s="174"/>
      <c r="AR7" s="174"/>
      <c r="AS7" s="174"/>
      <c r="AT7" s="174"/>
      <c r="AU7" s="174"/>
      <c r="AV7" s="174"/>
      <c r="AW7" s="174"/>
      <c r="AX7" s="174"/>
      <c r="AY7" s="199"/>
    </row>
    <row r="8" spans="1:51">
      <c r="A8" s="224"/>
      <c r="C8" s="174"/>
      <c r="D8" s="174"/>
      <c r="E8" s="174"/>
      <c r="F8" s="174"/>
      <c r="G8" s="174"/>
      <c r="H8" s="174"/>
      <c r="I8" s="174"/>
      <c r="J8" s="174"/>
      <c r="K8" s="174"/>
      <c r="L8" s="174"/>
      <c r="M8" s="174"/>
      <c r="N8" s="174"/>
      <c r="O8" s="174"/>
      <c r="P8" s="174"/>
      <c r="Q8" s="199"/>
      <c r="R8" s="174"/>
      <c r="S8" s="817"/>
      <c r="T8" s="817"/>
      <c r="U8" s="817"/>
      <c r="V8" s="817"/>
      <c r="W8" s="817"/>
      <c r="X8" s="817"/>
      <c r="Y8" s="817"/>
      <c r="Z8" s="817"/>
      <c r="AA8" s="817"/>
      <c r="AB8" s="817"/>
      <c r="AC8" s="817"/>
      <c r="AD8" s="817"/>
      <c r="AE8" s="817"/>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95" t="s">
        <v>239</v>
      </c>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74"/>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c r="A12" s="818" t="s">
        <v>240</v>
      </c>
      <c r="B12" s="819"/>
      <c r="C12" s="819"/>
      <c r="D12" s="819"/>
      <c r="E12" s="819"/>
      <c r="F12" s="819"/>
      <c r="G12" s="819"/>
      <c r="H12" s="819"/>
      <c r="I12" s="819"/>
      <c r="J12" s="819"/>
      <c r="K12" s="819"/>
      <c r="L12" s="819"/>
      <c r="M12" s="819"/>
      <c r="N12" s="819"/>
      <c r="O12" s="819"/>
      <c r="P12" s="819"/>
      <c r="Q12" s="820"/>
      <c r="R12" s="803" t="s">
        <v>241</v>
      </c>
      <c r="S12" s="804"/>
      <c r="T12" s="804"/>
      <c r="U12" s="804"/>
      <c r="V12" s="804"/>
      <c r="W12" s="804"/>
      <c r="X12" s="804"/>
      <c r="Y12" s="804"/>
      <c r="Z12" s="804"/>
      <c r="AA12" s="804"/>
      <c r="AB12" s="804"/>
      <c r="AC12" s="804"/>
      <c r="AD12" s="804"/>
      <c r="AE12" s="804"/>
      <c r="AF12" s="804"/>
      <c r="AG12" s="804"/>
      <c r="AH12" s="805"/>
      <c r="AI12" s="803" t="s">
        <v>242</v>
      </c>
      <c r="AJ12" s="804"/>
      <c r="AK12" s="804"/>
      <c r="AL12" s="804"/>
      <c r="AM12" s="804"/>
      <c r="AN12" s="804"/>
      <c r="AO12" s="804"/>
      <c r="AP12" s="804"/>
      <c r="AQ12" s="804"/>
      <c r="AR12" s="804"/>
      <c r="AS12" s="804"/>
      <c r="AT12" s="804"/>
      <c r="AU12" s="804"/>
      <c r="AV12" s="804"/>
      <c r="AW12" s="804"/>
      <c r="AX12" s="804"/>
      <c r="AY12" s="805"/>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jzsk3jxUq6W42HITRXVhi5kl3aAus/QEPtwKxGqJ0LbzJwuIj/EM/2tMDKfvuXobMSqNKlS6smhDd4KsySUWHA==" saltValue="6P/0In8rbHmQY3W7luM7ww==" spinCount="100000" sheet="1" scenarios="1"/>
  <mergeCells count="11">
    <mergeCell ref="AI12:AY12"/>
    <mergeCell ref="AF2:AG2"/>
    <mergeCell ref="S2:AE3"/>
    <mergeCell ref="A1:Q1"/>
    <mergeCell ref="N3:Q3"/>
    <mergeCell ref="D3:I3"/>
    <mergeCell ref="S4:AE4"/>
    <mergeCell ref="AF6:AG6"/>
    <mergeCell ref="S7:AE8"/>
    <mergeCell ref="A12:Q12"/>
    <mergeCell ref="R12:AH12"/>
  </mergeCells>
  <dataValidations count="1">
    <dataValidation type="list" allowBlank="1" showInputMessage="1" showErrorMessage="1" sqref="AF2:AG2 AF6" xr:uid="{247D81A2-F7B9-4814-86E4-BFD6884D6FAA}">
      <formula1>"Yes,No"</formula1>
    </dataValidation>
  </dataValidations>
  <hyperlinks>
    <hyperlink ref="M10" location="'Cover Sheet'!A1" display="BACK to COVER SHEET" xr:uid="{07CEE8FA-D848-462C-AB7D-660F39618C92}"/>
    <hyperlink ref="M9" location="'EV5.5.9 Guidance Notes'!A1" display="Link to guidance notes" xr:uid="{7D317069-A9AB-4193-A8D8-2125F373E978}"/>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F67C7-969C-4BEA-92E2-2FEB7693CB85}">
  <sheetPr codeName="Sheet11">
    <tabColor rgb="FFFFFF66"/>
  </sheetPr>
  <dimension ref="A1:AY116"/>
  <sheetViews>
    <sheetView view="pageBreakPreview" zoomScaleNormal="100" zoomScaleSheetLayoutView="100" workbookViewId="0">
      <selection sqref="A1:Q1"/>
    </sheetView>
  </sheetViews>
  <sheetFormatPr defaultColWidth="5" defaultRowHeight="12.75"/>
  <sheetData>
    <row r="1" spans="1:51">
      <c r="A1" s="561" t="str">
        <f>CONCATENATE(Read_Me!A1," FS ASES ",Read_Me!B1," - EV5.5.9 TSAC")</f>
        <v>2026 FS ASES V1.0 - EV5.5.9 TSAC</v>
      </c>
      <c r="B1" s="561"/>
      <c r="C1" s="561"/>
      <c r="D1" s="561"/>
      <c r="E1" s="561"/>
      <c r="F1" s="561"/>
      <c r="G1" s="561"/>
      <c r="H1" s="561"/>
      <c r="I1" s="561"/>
      <c r="J1" s="561"/>
      <c r="K1" s="561"/>
      <c r="L1" s="561"/>
      <c r="M1" s="561"/>
      <c r="N1" s="561"/>
      <c r="O1" s="561"/>
      <c r="P1" s="561"/>
      <c r="Q1" s="56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08" t="s">
        <v>236</v>
      </c>
      <c r="T2" s="809"/>
      <c r="U2" s="809"/>
      <c r="V2" s="809"/>
      <c r="W2" s="809"/>
      <c r="X2" s="809"/>
      <c r="Y2" s="809"/>
      <c r="Z2" s="809"/>
      <c r="AA2" s="809"/>
      <c r="AB2" s="809"/>
      <c r="AC2" s="809"/>
      <c r="AD2" s="809"/>
      <c r="AE2" s="810"/>
      <c r="AF2" s="806"/>
      <c r="AG2" s="807"/>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562"/>
      <c r="R3" s="224"/>
      <c r="S3" s="811"/>
      <c r="T3" s="812"/>
      <c r="U3" s="812"/>
      <c r="V3" s="812"/>
      <c r="W3" s="812"/>
      <c r="X3" s="812"/>
      <c r="Y3" s="812"/>
      <c r="Z3" s="812"/>
      <c r="AA3" s="812"/>
      <c r="AB3" s="812"/>
      <c r="AC3" s="812"/>
      <c r="AD3" s="812"/>
      <c r="AE3" s="813"/>
      <c r="AF3" s="174"/>
      <c r="AG3" s="174"/>
      <c r="AH3" s="199"/>
      <c r="AI3" s="224"/>
      <c r="AJ3" s="174"/>
      <c r="AK3" s="174"/>
      <c r="AL3" s="174"/>
      <c r="AM3" s="174"/>
      <c r="AN3" s="174"/>
      <c r="AO3" s="174"/>
      <c r="AP3" s="174"/>
      <c r="AQ3" s="174"/>
      <c r="AR3" s="174"/>
      <c r="AS3" s="174"/>
      <c r="AT3" s="174"/>
      <c r="AU3" s="174"/>
      <c r="AV3" s="174"/>
      <c r="AW3" s="174"/>
      <c r="AX3" s="174"/>
      <c r="AY3" s="199"/>
    </row>
    <row r="4" spans="1:51">
      <c r="A4" s="224"/>
      <c r="B4" s="174"/>
      <c r="C4" s="174"/>
      <c r="D4" s="174"/>
      <c r="E4" s="174"/>
      <c r="F4" s="174"/>
      <c r="G4" s="174"/>
      <c r="H4" s="174"/>
      <c r="I4" s="174"/>
      <c r="J4" s="174"/>
      <c r="K4" s="174"/>
      <c r="L4" s="174"/>
      <c r="M4" s="174"/>
      <c r="N4" s="174"/>
      <c r="O4" s="174"/>
      <c r="P4" s="174"/>
      <c r="Q4" s="174"/>
      <c r="R4" s="224"/>
      <c r="S4" s="814" t="str">
        <f>IF(AF2="Yes","--&gt; Show mechanical properties at 60 °C in the materials section!","")</f>
        <v/>
      </c>
      <c r="T4" s="814"/>
      <c r="U4" s="814"/>
      <c r="V4" s="814"/>
      <c r="W4" s="814"/>
      <c r="X4" s="814"/>
      <c r="Y4" s="814"/>
      <c r="Z4" s="814"/>
      <c r="AA4" s="814"/>
      <c r="AB4" s="814"/>
      <c r="AC4" s="814"/>
      <c r="AD4" s="814"/>
      <c r="AE4" s="814"/>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450</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15"/>
      <c r="AG6" s="807"/>
      <c r="AH6" s="199"/>
      <c r="AI6" s="224"/>
      <c r="AJ6" s="174"/>
      <c r="AK6" s="174"/>
      <c r="AL6" s="174"/>
      <c r="AM6" s="174"/>
      <c r="AN6" s="174"/>
      <c r="AO6" s="174"/>
      <c r="AP6" s="174"/>
      <c r="AQ6" s="174"/>
      <c r="AR6" s="174"/>
      <c r="AS6" s="174"/>
      <c r="AT6" s="174"/>
      <c r="AU6" s="174"/>
      <c r="AV6" s="174"/>
      <c r="AW6" s="174"/>
      <c r="AX6" s="174"/>
      <c r="AY6" s="199"/>
    </row>
    <row r="7" spans="1:51">
      <c r="A7" s="224"/>
      <c r="B7" s="195"/>
      <c r="C7" s="174"/>
      <c r="D7" s="174"/>
      <c r="E7" s="174"/>
      <c r="F7" s="174"/>
      <c r="G7" s="174"/>
      <c r="H7" s="174"/>
      <c r="I7" s="174"/>
      <c r="J7" s="174"/>
      <c r="K7" s="174"/>
      <c r="L7" s="174"/>
      <c r="M7" s="174"/>
      <c r="N7" s="174"/>
      <c r="O7" s="174"/>
      <c r="P7" s="174"/>
      <c r="Q7" s="199"/>
      <c r="R7" s="174"/>
      <c r="S7" s="816" t="str">
        <f>IF(AF6="Yes","--&gt; Show mechanical properties at 60 °C in the materials section and apply T3.2.8!","")</f>
        <v/>
      </c>
      <c r="T7" s="816"/>
      <c r="U7" s="816"/>
      <c r="V7" s="816"/>
      <c r="W7" s="816"/>
      <c r="X7" s="816"/>
      <c r="Y7" s="816"/>
      <c r="Z7" s="816"/>
      <c r="AA7" s="816"/>
      <c r="AB7" s="816"/>
      <c r="AC7" s="816"/>
      <c r="AD7" s="816"/>
      <c r="AE7" s="816"/>
      <c r="AF7" s="174"/>
      <c r="AG7" s="174"/>
      <c r="AH7" s="199"/>
      <c r="AI7" s="224"/>
      <c r="AJ7" s="174"/>
      <c r="AK7" s="174"/>
      <c r="AL7" s="174"/>
      <c r="AM7" s="174"/>
      <c r="AN7" s="174"/>
      <c r="AO7" s="174"/>
      <c r="AP7" s="174"/>
      <c r="AQ7" s="174"/>
      <c r="AR7" s="174"/>
      <c r="AS7" s="174"/>
      <c r="AT7" s="174"/>
      <c r="AU7" s="174"/>
      <c r="AV7" s="174"/>
      <c r="AW7" s="174"/>
      <c r="AX7" s="174"/>
      <c r="AY7" s="199"/>
    </row>
    <row r="8" spans="1:51">
      <c r="A8" s="224"/>
      <c r="B8" s="195" t="s">
        <v>239</v>
      </c>
      <c r="C8" s="174"/>
      <c r="D8" s="174"/>
      <c r="E8" s="174"/>
      <c r="F8" s="174"/>
      <c r="G8" s="174"/>
      <c r="H8" s="174"/>
      <c r="I8" s="174"/>
      <c r="J8" s="174"/>
      <c r="K8" s="174"/>
      <c r="L8" s="174"/>
      <c r="M8" s="174"/>
      <c r="N8" s="174"/>
      <c r="O8" s="174"/>
      <c r="P8" s="174"/>
      <c r="Q8" s="199"/>
      <c r="R8" s="174"/>
      <c r="S8" s="817"/>
      <c r="T8" s="817"/>
      <c r="U8" s="817"/>
      <c r="V8" s="817"/>
      <c r="W8" s="817"/>
      <c r="X8" s="817"/>
      <c r="Y8" s="817"/>
      <c r="Z8" s="817"/>
      <c r="AA8" s="817"/>
      <c r="AB8" s="817"/>
      <c r="AC8" s="817"/>
      <c r="AD8" s="817"/>
      <c r="AE8" s="817"/>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74"/>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74"/>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c r="A12" s="818" t="s">
        <v>240</v>
      </c>
      <c r="B12" s="819"/>
      <c r="C12" s="819"/>
      <c r="D12" s="819"/>
      <c r="E12" s="819"/>
      <c r="F12" s="819"/>
      <c r="G12" s="819"/>
      <c r="H12" s="819"/>
      <c r="I12" s="819"/>
      <c r="J12" s="819"/>
      <c r="K12" s="819"/>
      <c r="L12" s="819"/>
      <c r="M12" s="819"/>
      <c r="N12" s="819"/>
      <c r="O12" s="819"/>
      <c r="P12" s="819"/>
      <c r="Q12" s="820"/>
      <c r="R12" s="803" t="s">
        <v>241</v>
      </c>
      <c r="S12" s="804"/>
      <c r="T12" s="804"/>
      <c r="U12" s="804"/>
      <c r="V12" s="804"/>
      <c r="W12" s="804"/>
      <c r="X12" s="804"/>
      <c r="Y12" s="804"/>
      <c r="Z12" s="804"/>
      <c r="AA12" s="804"/>
      <c r="AB12" s="804"/>
      <c r="AC12" s="804"/>
      <c r="AD12" s="804"/>
      <c r="AE12" s="804"/>
      <c r="AF12" s="804"/>
      <c r="AG12" s="804"/>
      <c r="AH12" s="805"/>
      <c r="AI12" s="803" t="s">
        <v>242</v>
      </c>
      <c r="AJ12" s="804"/>
      <c r="AK12" s="804"/>
      <c r="AL12" s="804"/>
      <c r="AM12" s="804"/>
      <c r="AN12" s="804"/>
      <c r="AO12" s="804"/>
      <c r="AP12" s="804"/>
      <c r="AQ12" s="804"/>
      <c r="AR12" s="804"/>
      <c r="AS12" s="804"/>
      <c r="AT12" s="804"/>
      <c r="AU12" s="804"/>
      <c r="AV12" s="804"/>
      <c r="AW12" s="804"/>
      <c r="AX12" s="804"/>
      <c r="AY12" s="805"/>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zcjRUzK6JX2ExNQz+a0JC7lMc7XRSJT5VJJ1Tb2thjPsdG+Jn4J1+P3Q3p2E2ACxRB2vaYOIZs2GnVDgnpAzVw==" saltValue="WOXrCsnHWnfNOOHEgHDazw==" spinCount="100000" sheet="1" scenarios="1"/>
  <mergeCells count="11">
    <mergeCell ref="A12:Q12"/>
    <mergeCell ref="R12:AH12"/>
    <mergeCell ref="AI12:AY12"/>
    <mergeCell ref="S2:AE3"/>
    <mergeCell ref="AF6:AG6"/>
    <mergeCell ref="S7:AE8"/>
    <mergeCell ref="A1:Q1"/>
    <mergeCell ref="AF2:AG2"/>
    <mergeCell ref="D3:I3"/>
    <mergeCell ref="N3:Q3"/>
    <mergeCell ref="S4:AE4"/>
  </mergeCells>
  <dataValidations count="1">
    <dataValidation type="list" allowBlank="1" showInputMessage="1" showErrorMessage="1" sqref="AF2:AG2 AF6" xr:uid="{A4CBEB39-3B70-4571-9175-15EA7843F7EB}">
      <formula1>"Yes,No"</formula1>
    </dataValidation>
  </dataValidations>
  <hyperlinks>
    <hyperlink ref="M10" location="'Cover Sheet'!A1" display="BACK to COVER SHEET" xr:uid="{2CAEFFC2-B44D-4CEC-9595-9CDBB41EDF20}"/>
    <hyperlink ref="M9" location="'EV5.5.9 Guidance Notes'!A1" display="Link to guidance notes" xr:uid="{826F4080-1C2A-4D11-873C-E5783ADC27FA}"/>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58CE8-AD4B-4A25-95A4-E9DB1248684C}">
  <sheetPr codeName="Sheet12">
    <tabColor rgb="FFFFFF66"/>
  </sheetPr>
  <dimension ref="A1:AY116"/>
  <sheetViews>
    <sheetView view="pageBreakPreview" zoomScaleNormal="100" zoomScaleSheetLayoutView="100" workbookViewId="0">
      <selection sqref="A1:Q1"/>
    </sheetView>
  </sheetViews>
  <sheetFormatPr defaultColWidth="5" defaultRowHeight="12.75"/>
  <sheetData>
    <row r="1" spans="1:51">
      <c r="A1" s="561" t="str">
        <f>CONCATENATE(Read_Me!A1," FS ASES ",Read_Me!B1," - EV5.5.9 TSAC attachments")</f>
        <v>2026 FS ASES V1.0 - EV5.5.9 TSAC attachments</v>
      </c>
      <c r="B1" s="561"/>
      <c r="C1" s="561"/>
      <c r="D1" s="561"/>
      <c r="E1" s="561"/>
      <c r="F1" s="561"/>
      <c r="G1" s="561"/>
      <c r="H1" s="561"/>
      <c r="I1" s="561"/>
      <c r="J1" s="561"/>
      <c r="K1" s="561"/>
      <c r="L1" s="561"/>
      <c r="M1" s="561"/>
      <c r="N1" s="561"/>
      <c r="O1" s="561"/>
      <c r="P1" s="561"/>
      <c r="Q1" s="561"/>
      <c r="R1" s="363"/>
      <c r="S1" s="364"/>
      <c r="T1" s="364"/>
      <c r="U1" s="364"/>
      <c r="V1" s="364"/>
      <c r="W1" s="364"/>
      <c r="X1" s="364"/>
      <c r="Y1" s="364"/>
      <c r="Z1" s="364"/>
      <c r="AA1" s="364"/>
      <c r="AB1" s="364"/>
      <c r="AC1" s="364"/>
      <c r="AD1" s="364"/>
      <c r="AE1" s="364"/>
      <c r="AF1" s="364"/>
      <c r="AG1" s="364"/>
      <c r="AH1" s="365"/>
      <c r="AI1" s="363"/>
      <c r="AJ1" s="364"/>
      <c r="AK1" s="364"/>
      <c r="AL1" s="364"/>
      <c r="AM1" s="364"/>
      <c r="AN1" s="364"/>
      <c r="AO1" s="364"/>
      <c r="AP1" s="364"/>
      <c r="AQ1" s="364"/>
      <c r="AR1" s="364"/>
      <c r="AS1" s="364"/>
      <c r="AT1" s="364"/>
      <c r="AU1" s="364"/>
      <c r="AV1" s="364"/>
      <c r="AW1" s="364"/>
      <c r="AX1" s="364"/>
      <c r="AY1" s="365"/>
    </row>
    <row r="2" spans="1:51">
      <c r="A2" s="224"/>
      <c r="B2" s="174"/>
      <c r="C2" s="174"/>
      <c r="D2" s="174"/>
      <c r="E2" s="174"/>
      <c r="F2" s="174"/>
      <c r="G2" s="174"/>
      <c r="H2" s="174"/>
      <c r="I2" s="174"/>
      <c r="J2" s="174"/>
      <c r="K2" s="174"/>
      <c r="L2" s="174"/>
      <c r="M2" s="174"/>
      <c r="N2" s="174"/>
      <c r="O2" s="174"/>
      <c r="P2" s="174"/>
      <c r="Q2" s="174"/>
      <c r="R2" s="224"/>
      <c r="S2" s="808" t="s">
        <v>236</v>
      </c>
      <c r="T2" s="809"/>
      <c r="U2" s="809"/>
      <c r="V2" s="809"/>
      <c r="W2" s="809"/>
      <c r="X2" s="809"/>
      <c r="Y2" s="809"/>
      <c r="Z2" s="809"/>
      <c r="AA2" s="809"/>
      <c r="AB2" s="809"/>
      <c r="AC2" s="809"/>
      <c r="AD2" s="809"/>
      <c r="AE2" s="810"/>
      <c r="AF2" s="806"/>
      <c r="AG2" s="807"/>
      <c r="AH2" s="199"/>
      <c r="AI2" s="224"/>
      <c r="AJ2" s="174"/>
      <c r="AK2" s="174"/>
      <c r="AL2" s="174"/>
      <c r="AM2" s="174"/>
      <c r="AN2" s="174"/>
      <c r="AO2" s="174"/>
      <c r="AP2" s="174"/>
      <c r="AQ2" s="174"/>
      <c r="AR2" s="174"/>
      <c r="AS2" s="174"/>
      <c r="AT2" s="174"/>
      <c r="AU2" s="174"/>
      <c r="AV2" s="174"/>
      <c r="AW2" s="174"/>
      <c r="AX2" s="174"/>
      <c r="AY2" s="199"/>
    </row>
    <row r="3" spans="1:51">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562"/>
      <c r="R3" s="224"/>
      <c r="S3" s="811"/>
      <c r="T3" s="812"/>
      <c r="U3" s="812"/>
      <c r="V3" s="812"/>
      <c r="W3" s="812"/>
      <c r="X3" s="812"/>
      <c r="Y3" s="812"/>
      <c r="Z3" s="812"/>
      <c r="AA3" s="812"/>
      <c r="AB3" s="812"/>
      <c r="AC3" s="812"/>
      <c r="AD3" s="812"/>
      <c r="AE3" s="813"/>
      <c r="AF3" s="174"/>
      <c r="AG3" s="174"/>
      <c r="AH3" s="199"/>
      <c r="AI3" s="224"/>
      <c r="AJ3" s="174"/>
      <c r="AK3" s="174"/>
      <c r="AL3" s="174"/>
      <c r="AM3" s="174"/>
      <c r="AN3" s="174"/>
      <c r="AO3" s="174"/>
      <c r="AP3" s="174"/>
      <c r="AQ3" s="174"/>
      <c r="AR3" s="174"/>
      <c r="AS3" s="174"/>
      <c r="AT3" s="174"/>
      <c r="AU3" s="174"/>
      <c r="AV3" s="174"/>
      <c r="AW3" s="174"/>
      <c r="AX3" s="174"/>
      <c r="AY3" s="199"/>
    </row>
    <row r="4" spans="1:51">
      <c r="A4" s="224"/>
      <c r="B4" s="174"/>
      <c r="C4" s="174"/>
      <c r="D4" s="174"/>
      <c r="E4" s="174"/>
      <c r="F4" s="174"/>
      <c r="G4" s="174"/>
      <c r="H4" s="174"/>
      <c r="I4" s="174"/>
      <c r="J4" s="174"/>
      <c r="K4" s="174"/>
      <c r="L4" s="174"/>
      <c r="M4" s="174"/>
      <c r="N4" s="174"/>
      <c r="O4" s="174"/>
      <c r="P4" s="174"/>
      <c r="Q4" s="174"/>
      <c r="R4" s="224"/>
      <c r="S4" s="814" t="str">
        <f>IF(AF2="Yes","--&gt; Show mechanical properties at 60 °C in the materials section!","")</f>
        <v/>
      </c>
      <c r="T4" s="814"/>
      <c r="U4" s="814"/>
      <c r="V4" s="814"/>
      <c r="W4" s="814"/>
      <c r="X4" s="814"/>
      <c r="Y4" s="814"/>
      <c r="Z4" s="814"/>
      <c r="AA4" s="814"/>
      <c r="AB4" s="814"/>
      <c r="AC4" s="814"/>
      <c r="AD4" s="814"/>
      <c r="AE4" s="814"/>
      <c r="AF4" s="174"/>
      <c r="AG4" s="174"/>
      <c r="AH4" s="199"/>
      <c r="AI4" s="224"/>
      <c r="AJ4" s="174"/>
      <c r="AK4" s="174"/>
      <c r="AL4" s="174"/>
      <c r="AM4" s="174"/>
      <c r="AN4" s="174"/>
      <c r="AO4" s="174"/>
      <c r="AP4" s="174"/>
      <c r="AQ4" s="174"/>
      <c r="AR4" s="174"/>
      <c r="AS4" s="174"/>
      <c r="AT4" s="174"/>
      <c r="AU4" s="174"/>
      <c r="AV4" s="174"/>
      <c r="AW4" s="174"/>
      <c r="AX4" s="174"/>
      <c r="AY4" s="199"/>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99"/>
      <c r="AI5" s="224"/>
      <c r="AJ5" s="174"/>
      <c r="AK5" s="174"/>
      <c r="AL5" s="174"/>
      <c r="AM5" s="174"/>
      <c r="AN5" s="174"/>
      <c r="AO5" s="174"/>
      <c r="AP5" s="174"/>
      <c r="AQ5" s="174"/>
      <c r="AR5" s="174"/>
      <c r="AS5" s="174"/>
      <c r="AT5" s="174"/>
      <c r="AU5" s="174"/>
      <c r="AV5" s="174"/>
      <c r="AW5" s="174"/>
      <c r="AX5" s="174"/>
      <c r="AY5" s="199"/>
    </row>
    <row r="6" spans="1:51">
      <c r="A6" s="224"/>
      <c r="B6" s="195" t="s">
        <v>449</v>
      </c>
      <c r="C6" s="174"/>
      <c r="D6" s="174"/>
      <c r="E6" s="174"/>
      <c r="F6" s="174"/>
      <c r="G6" s="174"/>
      <c r="H6" s="174"/>
      <c r="I6" s="174"/>
      <c r="J6" s="174"/>
      <c r="K6" s="174"/>
      <c r="L6" s="174"/>
      <c r="M6" s="174"/>
      <c r="N6" s="174"/>
      <c r="O6" s="174"/>
      <c r="P6" s="174"/>
      <c r="Q6" s="199"/>
      <c r="R6" s="174"/>
      <c r="S6" s="366" t="s">
        <v>238</v>
      </c>
      <c r="T6" s="367"/>
      <c r="U6" s="367"/>
      <c r="V6" s="367"/>
      <c r="W6" s="367"/>
      <c r="X6" s="367"/>
      <c r="Y6" s="367"/>
      <c r="Z6" s="367"/>
      <c r="AA6" s="367"/>
      <c r="AB6" s="367"/>
      <c r="AC6" s="367"/>
      <c r="AD6" s="367"/>
      <c r="AE6" s="368"/>
      <c r="AF6" s="815"/>
      <c r="AG6" s="807"/>
      <c r="AH6" s="199"/>
      <c r="AI6" s="224"/>
      <c r="AJ6" s="174"/>
      <c r="AK6" s="174"/>
      <c r="AL6" s="174"/>
      <c r="AM6" s="174"/>
      <c r="AN6" s="174"/>
      <c r="AO6" s="174"/>
      <c r="AP6" s="174"/>
      <c r="AQ6" s="174"/>
      <c r="AR6" s="174"/>
      <c r="AS6" s="174"/>
      <c r="AT6" s="174"/>
      <c r="AU6" s="174"/>
      <c r="AV6" s="174"/>
      <c r="AW6" s="174"/>
      <c r="AX6" s="174"/>
      <c r="AY6" s="199"/>
    </row>
    <row r="7" spans="1:51">
      <c r="A7" s="224"/>
      <c r="B7" s="195" t="s">
        <v>392</v>
      </c>
      <c r="C7" s="174"/>
      <c r="D7" s="174"/>
      <c r="E7" s="174"/>
      <c r="F7" s="174"/>
      <c r="G7" s="174"/>
      <c r="H7" s="174"/>
      <c r="I7" s="174"/>
      <c r="J7" s="174"/>
      <c r="K7" s="174"/>
      <c r="L7" s="174"/>
      <c r="M7" s="174"/>
      <c r="N7" s="174"/>
      <c r="O7" s="174"/>
      <c r="P7" s="174"/>
      <c r="Q7" s="199"/>
      <c r="R7" s="174"/>
      <c r="S7" s="816" t="str">
        <f>IF(AF6="Yes","--&gt; Show mechanical properties at 60 °C in the materials section and apply T3.2.8!","")</f>
        <v/>
      </c>
      <c r="T7" s="816"/>
      <c r="U7" s="816"/>
      <c r="V7" s="816"/>
      <c r="W7" s="816"/>
      <c r="X7" s="816"/>
      <c r="Y7" s="816"/>
      <c r="Z7" s="816"/>
      <c r="AA7" s="816"/>
      <c r="AB7" s="816"/>
      <c r="AC7" s="816"/>
      <c r="AD7" s="816"/>
      <c r="AE7" s="816"/>
      <c r="AF7" s="174"/>
      <c r="AG7" s="174"/>
      <c r="AH7" s="199"/>
      <c r="AI7" s="224"/>
      <c r="AJ7" s="174"/>
      <c r="AK7" s="174"/>
      <c r="AL7" s="174"/>
      <c r="AM7" s="174"/>
      <c r="AN7" s="174"/>
      <c r="AO7" s="174"/>
      <c r="AP7" s="174"/>
      <c r="AQ7" s="174"/>
      <c r="AR7" s="174"/>
      <c r="AS7" s="174"/>
      <c r="AT7" s="174"/>
      <c r="AU7" s="174"/>
      <c r="AV7" s="174"/>
      <c r="AW7" s="174"/>
      <c r="AX7" s="174"/>
      <c r="AY7" s="199"/>
    </row>
    <row r="8" spans="1:51">
      <c r="A8" s="224"/>
      <c r="B8" s="195" t="s">
        <v>393</v>
      </c>
      <c r="C8" s="174"/>
      <c r="D8" s="174"/>
      <c r="E8" s="174"/>
      <c r="F8" s="174"/>
      <c r="G8" s="174"/>
      <c r="H8" s="174"/>
      <c r="I8" s="174"/>
      <c r="J8" s="174"/>
      <c r="K8" s="174"/>
      <c r="L8" s="174"/>
      <c r="M8" s="174"/>
      <c r="N8" s="174"/>
      <c r="O8" s="174"/>
      <c r="P8" s="174"/>
      <c r="Q8" s="199"/>
      <c r="R8" s="174"/>
      <c r="S8" s="817"/>
      <c r="T8" s="817"/>
      <c r="U8" s="817"/>
      <c r="V8" s="817"/>
      <c r="W8" s="817"/>
      <c r="X8" s="817"/>
      <c r="Y8" s="817"/>
      <c r="Z8" s="817"/>
      <c r="AA8" s="817"/>
      <c r="AB8" s="817"/>
      <c r="AC8" s="817"/>
      <c r="AD8" s="817"/>
      <c r="AE8" s="817"/>
      <c r="AF8" s="174"/>
      <c r="AG8" s="174"/>
      <c r="AH8" s="199"/>
      <c r="AI8" s="224"/>
      <c r="AJ8" s="174"/>
      <c r="AK8" s="174"/>
      <c r="AL8" s="174"/>
      <c r="AM8" s="174"/>
      <c r="AN8" s="174"/>
      <c r="AO8" s="174"/>
      <c r="AP8" s="174"/>
      <c r="AQ8" s="174"/>
      <c r="AR8" s="174"/>
      <c r="AS8" s="174"/>
      <c r="AT8" s="174"/>
      <c r="AU8" s="174"/>
      <c r="AV8" s="174"/>
      <c r="AW8" s="174"/>
      <c r="AX8" s="174"/>
      <c r="AY8" s="199"/>
    </row>
    <row r="9" spans="1:51">
      <c r="A9" s="224"/>
      <c r="B9" s="174"/>
      <c r="C9" s="174"/>
      <c r="D9" s="174"/>
      <c r="E9" s="174"/>
      <c r="F9" s="174"/>
      <c r="G9" s="174"/>
      <c r="H9" s="174"/>
      <c r="I9" s="174"/>
      <c r="J9" s="174"/>
      <c r="K9" s="174"/>
      <c r="L9" s="174"/>
      <c r="M9" s="350" t="s">
        <v>375</v>
      </c>
      <c r="N9" s="174"/>
      <c r="O9" s="174"/>
      <c r="P9" s="174"/>
      <c r="Q9" s="199"/>
      <c r="R9" s="174"/>
      <c r="S9" s="174"/>
      <c r="T9" s="174"/>
      <c r="U9" s="174"/>
      <c r="V9" s="174"/>
      <c r="W9" s="174"/>
      <c r="X9" s="174"/>
      <c r="Y9" s="174"/>
      <c r="Z9" s="174"/>
      <c r="AA9" s="174"/>
      <c r="AB9" s="174"/>
      <c r="AC9" s="174"/>
      <c r="AD9" s="174"/>
      <c r="AE9" s="174"/>
      <c r="AF9" s="174"/>
      <c r="AG9" s="174"/>
      <c r="AH9" s="199"/>
      <c r="AI9" s="224"/>
      <c r="AJ9" s="174"/>
      <c r="AK9" s="174"/>
      <c r="AL9" s="174"/>
      <c r="AM9" s="174"/>
      <c r="AN9" s="174"/>
      <c r="AO9" s="174"/>
      <c r="AP9" s="174"/>
      <c r="AQ9" s="174"/>
      <c r="AR9" s="174"/>
      <c r="AS9" s="174"/>
      <c r="AT9" s="174"/>
      <c r="AU9" s="174"/>
      <c r="AV9" s="174"/>
      <c r="AW9" s="174"/>
      <c r="AX9" s="174"/>
      <c r="AY9" s="199"/>
    </row>
    <row r="10" spans="1:51">
      <c r="A10" s="224"/>
      <c r="B10" s="195" t="s">
        <v>239</v>
      </c>
      <c r="C10" s="174"/>
      <c r="D10" s="174"/>
      <c r="E10" s="174"/>
      <c r="F10" s="174"/>
      <c r="G10" s="174"/>
      <c r="H10" s="174"/>
      <c r="I10" s="174"/>
      <c r="J10" s="174"/>
      <c r="K10" s="174"/>
      <c r="L10" s="174"/>
      <c r="M10" s="58" t="s">
        <v>77</v>
      </c>
      <c r="N10" s="174"/>
      <c r="O10" s="174"/>
      <c r="P10" s="174"/>
      <c r="Q10" s="199"/>
      <c r="R10" s="174"/>
      <c r="S10" s="174"/>
      <c r="T10" s="174"/>
      <c r="U10" s="174"/>
      <c r="V10" s="174"/>
      <c r="W10" s="174"/>
      <c r="X10" s="174"/>
      <c r="Y10" s="174"/>
      <c r="Z10" s="174"/>
      <c r="AA10" s="174"/>
      <c r="AB10" s="174"/>
      <c r="AC10" s="174"/>
      <c r="AD10" s="174"/>
      <c r="AE10" s="174"/>
      <c r="AF10" s="174"/>
      <c r="AG10" s="174"/>
      <c r="AH10" s="199"/>
      <c r="AI10" s="224"/>
      <c r="AJ10" s="174"/>
      <c r="AK10" s="174"/>
      <c r="AL10" s="174"/>
      <c r="AM10" s="174"/>
      <c r="AN10" s="174"/>
      <c r="AO10" s="174"/>
      <c r="AP10" s="174"/>
      <c r="AQ10" s="174"/>
      <c r="AR10" s="174"/>
      <c r="AS10" s="174"/>
      <c r="AT10" s="174"/>
      <c r="AU10" s="174"/>
      <c r="AV10" s="174"/>
      <c r="AW10" s="174"/>
      <c r="AX10" s="174"/>
      <c r="AY10" s="199"/>
    </row>
    <row r="11" spans="1:51">
      <c r="A11" s="198"/>
      <c r="B11" s="193"/>
      <c r="C11" s="193"/>
      <c r="D11" s="193"/>
      <c r="E11" s="193"/>
      <c r="F11" s="193"/>
      <c r="G11" s="193"/>
      <c r="H11" s="193"/>
      <c r="I11" s="193"/>
      <c r="J11" s="193"/>
      <c r="K11" s="193"/>
      <c r="L11" s="193"/>
      <c r="M11" s="193"/>
      <c r="N11" s="193"/>
      <c r="O11" s="193"/>
      <c r="P11" s="193"/>
      <c r="Q11" s="369"/>
      <c r="R11" s="193"/>
      <c r="S11" s="193"/>
      <c r="T11" s="193"/>
      <c r="U11" s="193"/>
      <c r="V11" s="193"/>
      <c r="W11" s="193"/>
      <c r="X11" s="193"/>
      <c r="Y11" s="193"/>
      <c r="Z11" s="193"/>
      <c r="AA11" s="193"/>
      <c r="AB11" s="193"/>
      <c r="AC11" s="193"/>
      <c r="AD11" s="193"/>
      <c r="AE11" s="193"/>
      <c r="AF11" s="193"/>
      <c r="AG11" s="193"/>
      <c r="AH11" s="369"/>
      <c r="AI11" s="198"/>
      <c r="AJ11" s="193"/>
      <c r="AK11" s="193"/>
      <c r="AL11" s="193"/>
      <c r="AM11" s="193"/>
      <c r="AN11" s="193"/>
      <c r="AO11" s="193"/>
      <c r="AP11" s="193"/>
      <c r="AQ11" s="193"/>
      <c r="AR11" s="193"/>
      <c r="AS11" s="193"/>
      <c r="AT11" s="193"/>
      <c r="AU11" s="193"/>
      <c r="AV11" s="193"/>
      <c r="AW11" s="193"/>
      <c r="AX11" s="193"/>
      <c r="AY11" s="369"/>
    </row>
    <row r="12" spans="1:51">
      <c r="A12" s="818" t="s">
        <v>240</v>
      </c>
      <c r="B12" s="819"/>
      <c r="C12" s="819"/>
      <c r="D12" s="819"/>
      <c r="E12" s="819"/>
      <c r="F12" s="819"/>
      <c r="G12" s="819"/>
      <c r="H12" s="819"/>
      <c r="I12" s="819"/>
      <c r="J12" s="819"/>
      <c r="K12" s="819"/>
      <c r="L12" s="819"/>
      <c r="M12" s="819"/>
      <c r="N12" s="819"/>
      <c r="O12" s="819"/>
      <c r="P12" s="819"/>
      <c r="Q12" s="820"/>
      <c r="R12" s="803" t="s">
        <v>241</v>
      </c>
      <c r="S12" s="804"/>
      <c r="T12" s="804"/>
      <c r="U12" s="804"/>
      <c r="V12" s="804"/>
      <c r="W12" s="804"/>
      <c r="X12" s="804"/>
      <c r="Y12" s="804"/>
      <c r="Z12" s="804"/>
      <c r="AA12" s="804"/>
      <c r="AB12" s="804"/>
      <c r="AC12" s="804"/>
      <c r="AD12" s="804"/>
      <c r="AE12" s="804"/>
      <c r="AF12" s="804"/>
      <c r="AG12" s="804"/>
      <c r="AH12" s="805"/>
      <c r="AI12" s="803" t="s">
        <v>242</v>
      </c>
      <c r="AJ12" s="804"/>
      <c r="AK12" s="804"/>
      <c r="AL12" s="804"/>
      <c r="AM12" s="804"/>
      <c r="AN12" s="804"/>
      <c r="AO12" s="804"/>
      <c r="AP12" s="804"/>
      <c r="AQ12" s="804"/>
      <c r="AR12" s="804"/>
      <c r="AS12" s="804"/>
      <c r="AT12" s="804"/>
      <c r="AU12" s="804"/>
      <c r="AV12" s="804"/>
      <c r="AW12" s="804"/>
      <c r="AX12" s="804"/>
      <c r="AY12" s="805"/>
    </row>
    <row r="13" spans="1:51">
      <c r="A13" s="146"/>
      <c r="B13" s="108"/>
      <c r="C13" s="108"/>
      <c r="D13" s="108"/>
      <c r="E13" s="108"/>
      <c r="F13" s="108"/>
      <c r="G13" s="108"/>
      <c r="H13" s="108"/>
      <c r="I13" s="108"/>
      <c r="J13" s="108"/>
      <c r="K13" s="108"/>
      <c r="L13" s="108"/>
      <c r="M13" s="108"/>
      <c r="N13" s="108"/>
      <c r="O13" s="108"/>
      <c r="P13" s="108"/>
      <c r="Q13" s="359"/>
      <c r="R13" s="146"/>
      <c r="S13" s="108"/>
      <c r="T13" s="108"/>
      <c r="U13" s="108"/>
      <c r="V13" s="108"/>
      <c r="W13" s="108"/>
      <c r="X13" s="108"/>
      <c r="Y13" s="108"/>
      <c r="Z13" s="108"/>
      <c r="AA13" s="108"/>
      <c r="AB13" s="108"/>
      <c r="AC13" s="108"/>
      <c r="AD13" s="108"/>
      <c r="AE13" s="108"/>
      <c r="AF13" s="108"/>
      <c r="AG13" s="108"/>
      <c r="AH13" s="359"/>
      <c r="AI13" s="146"/>
      <c r="AJ13" s="108"/>
      <c r="AK13" s="108"/>
      <c r="AL13" s="108"/>
      <c r="AM13" s="108"/>
      <c r="AN13" s="108"/>
      <c r="AO13" s="108"/>
      <c r="AP13" s="108"/>
      <c r="AQ13" s="108"/>
      <c r="AR13" s="108"/>
      <c r="AS13" s="108"/>
      <c r="AT13" s="108"/>
      <c r="AU13" s="108"/>
      <c r="AV13" s="108"/>
      <c r="AW13" s="108"/>
      <c r="AX13" s="108"/>
      <c r="AY13" s="359"/>
    </row>
    <row r="14" spans="1:51">
      <c r="A14" s="147"/>
      <c r="B14" s="81"/>
      <c r="C14" s="81"/>
      <c r="D14" s="81"/>
      <c r="E14" s="81"/>
      <c r="F14" s="81"/>
      <c r="G14" s="81"/>
      <c r="H14" s="81"/>
      <c r="I14" s="81"/>
      <c r="J14" s="81"/>
      <c r="K14" s="81"/>
      <c r="L14" s="81"/>
      <c r="M14" s="81"/>
      <c r="N14" s="81"/>
      <c r="O14" s="81"/>
      <c r="P14" s="81"/>
      <c r="Q14" s="149"/>
      <c r="R14" s="147"/>
      <c r="S14" s="81"/>
      <c r="T14" s="81"/>
      <c r="U14" s="81"/>
      <c r="V14" s="81"/>
      <c r="W14" s="81"/>
      <c r="X14" s="81"/>
      <c r="Y14" s="81"/>
      <c r="Z14" s="81"/>
      <c r="AA14" s="81"/>
      <c r="AB14" s="81"/>
      <c r="AC14" s="81"/>
      <c r="AD14" s="81"/>
      <c r="AE14" s="81"/>
      <c r="AF14" s="81"/>
      <c r="AG14" s="81"/>
      <c r="AH14" s="149"/>
      <c r="AI14" s="147"/>
      <c r="AJ14" s="81"/>
      <c r="AK14" s="81"/>
      <c r="AL14" s="81"/>
      <c r="AM14" s="81"/>
      <c r="AN14" s="81"/>
      <c r="AO14" s="81"/>
      <c r="AP14" s="81"/>
      <c r="AQ14" s="81"/>
      <c r="AR14" s="81"/>
      <c r="AS14" s="81"/>
      <c r="AT14" s="81"/>
      <c r="AU14" s="81"/>
      <c r="AV14" s="81"/>
      <c r="AW14" s="81"/>
      <c r="AX14" s="81"/>
      <c r="AY14" s="149"/>
    </row>
    <row r="15" spans="1:51">
      <c r="A15" s="147"/>
      <c r="B15" s="81"/>
      <c r="C15" s="81"/>
      <c r="D15" s="81"/>
      <c r="E15" s="81"/>
      <c r="F15" s="81"/>
      <c r="G15" s="81"/>
      <c r="H15" s="81"/>
      <c r="I15" s="81"/>
      <c r="J15" s="81"/>
      <c r="K15" s="81"/>
      <c r="L15" s="81"/>
      <c r="M15" s="81"/>
      <c r="N15" s="81"/>
      <c r="O15" s="81"/>
      <c r="P15" s="81"/>
      <c r="Q15" s="149"/>
      <c r="R15" s="147"/>
      <c r="S15" s="81"/>
      <c r="T15" s="81"/>
      <c r="U15" s="81"/>
      <c r="V15" s="81"/>
      <c r="W15" s="81"/>
      <c r="X15" s="81"/>
      <c r="Y15" s="81"/>
      <c r="Z15" s="81"/>
      <c r="AA15" s="81"/>
      <c r="AB15" s="81"/>
      <c r="AC15" s="81"/>
      <c r="AD15" s="81"/>
      <c r="AE15" s="81"/>
      <c r="AF15" s="81"/>
      <c r="AG15" s="81"/>
      <c r="AH15" s="149"/>
      <c r="AI15" s="147"/>
      <c r="AJ15" s="81"/>
      <c r="AK15" s="81"/>
      <c r="AL15" s="81"/>
      <c r="AM15" s="81"/>
      <c r="AN15" s="81"/>
      <c r="AO15" s="81"/>
      <c r="AP15" s="81"/>
      <c r="AQ15" s="81"/>
      <c r="AR15" s="81"/>
      <c r="AS15" s="81"/>
      <c r="AT15" s="81"/>
      <c r="AU15" s="81"/>
      <c r="AV15" s="81"/>
      <c r="AW15" s="81"/>
      <c r="AX15" s="81"/>
      <c r="AY15" s="149"/>
    </row>
    <row r="16" spans="1:51">
      <c r="A16" s="147"/>
      <c r="B16" s="81"/>
      <c r="C16" s="81"/>
      <c r="D16" s="81"/>
      <c r="E16" s="81"/>
      <c r="F16" s="81"/>
      <c r="G16" s="81"/>
      <c r="H16" s="81"/>
      <c r="I16" s="81"/>
      <c r="J16" s="81"/>
      <c r="K16" s="81"/>
      <c r="L16" s="81"/>
      <c r="M16" s="81"/>
      <c r="N16" s="81"/>
      <c r="O16" s="81"/>
      <c r="P16" s="81"/>
      <c r="Q16" s="149"/>
      <c r="R16" s="147"/>
      <c r="S16" s="81"/>
      <c r="T16" s="81"/>
      <c r="U16" s="81"/>
      <c r="V16" s="81"/>
      <c r="W16" s="81"/>
      <c r="X16" s="81"/>
      <c r="Y16" s="81"/>
      <c r="Z16" s="81"/>
      <c r="AA16" s="81"/>
      <c r="AB16" s="81"/>
      <c r="AC16" s="81"/>
      <c r="AD16" s="81"/>
      <c r="AE16" s="81"/>
      <c r="AF16" s="81"/>
      <c r="AG16" s="81"/>
      <c r="AH16" s="149"/>
      <c r="AI16" s="147"/>
      <c r="AJ16" s="81"/>
      <c r="AK16" s="81"/>
      <c r="AL16" s="81"/>
      <c r="AM16" s="81"/>
      <c r="AN16" s="81"/>
      <c r="AO16" s="81"/>
      <c r="AP16" s="81"/>
      <c r="AQ16" s="81"/>
      <c r="AR16" s="81"/>
      <c r="AS16" s="81"/>
      <c r="AT16" s="81"/>
      <c r="AU16" s="81"/>
      <c r="AV16" s="81"/>
      <c r="AW16" s="81"/>
      <c r="AX16" s="81"/>
      <c r="AY16" s="149"/>
    </row>
    <row r="17" spans="1:51">
      <c r="A17" s="147"/>
      <c r="B17" s="81"/>
      <c r="C17" s="81"/>
      <c r="D17" s="81"/>
      <c r="E17" s="81"/>
      <c r="F17" s="81"/>
      <c r="G17" s="81"/>
      <c r="H17" s="81"/>
      <c r="I17" s="81"/>
      <c r="J17" s="81"/>
      <c r="K17" s="81"/>
      <c r="L17" s="81"/>
      <c r="M17" s="81"/>
      <c r="N17" s="81"/>
      <c r="O17" s="81"/>
      <c r="P17" s="81"/>
      <c r="Q17" s="149"/>
      <c r="R17" s="147"/>
      <c r="S17" s="81"/>
      <c r="T17" s="81"/>
      <c r="U17" s="81"/>
      <c r="V17" s="81"/>
      <c r="W17" s="81"/>
      <c r="X17" s="81"/>
      <c r="Y17" s="81"/>
      <c r="Z17" s="81"/>
      <c r="AA17" s="81"/>
      <c r="AB17" s="81"/>
      <c r="AC17" s="81"/>
      <c r="AD17" s="81"/>
      <c r="AE17" s="81"/>
      <c r="AF17" s="81"/>
      <c r="AG17" s="81"/>
      <c r="AH17" s="149"/>
      <c r="AI17" s="147"/>
      <c r="AJ17" s="81"/>
      <c r="AK17" s="81"/>
      <c r="AL17" s="81"/>
      <c r="AM17" s="81"/>
      <c r="AN17" s="81"/>
      <c r="AO17" s="81"/>
      <c r="AP17" s="81"/>
      <c r="AQ17" s="81"/>
      <c r="AR17" s="81"/>
      <c r="AS17" s="81"/>
      <c r="AT17" s="81"/>
      <c r="AU17" s="81"/>
      <c r="AV17" s="81"/>
      <c r="AW17" s="81"/>
      <c r="AX17" s="81"/>
      <c r="AY17" s="149"/>
    </row>
    <row r="18" spans="1:51">
      <c r="A18" s="147"/>
      <c r="B18" s="81"/>
      <c r="C18" s="81"/>
      <c r="D18" s="81"/>
      <c r="E18" s="81"/>
      <c r="F18" s="81"/>
      <c r="G18" s="81"/>
      <c r="H18" s="81"/>
      <c r="I18" s="81"/>
      <c r="J18" s="81"/>
      <c r="K18" s="81"/>
      <c r="L18" s="81"/>
      <c r="M18" s="81"/>
      <c r="N18" s="81"/>
      <c r="O18" s="81"/>
      <c r="P18" s="81"/>
      <c r="Q18" s="149"/>
      <c r="R18" s="147"/>
      <c r="S18" s="81"/>
      <c r="T18" s="81"/>
      <c r="U18" s="81"/>
      <c r="V18" s="81"/>
      <c r="W18" s="81"/>
      <c r="X18" s="81"/>
      <c r="Y18" s="81"/>
      <c r="Z18" s="81"/>
      <c r="AA18" s="81"/>
      <c r="AB18" s="81"/>
      <c r="AC18" s="81"/>
      <c r="AD18" s="81"/>
      <c r="AE18" s="81"/>
      <c r="AF18" s="81"/>
      <c r="AG18" s="81"/>
      <c r="AH18" s="149"/>
      <c r="AI18" s="147"/>
      <c r="AJ18" s="81"/>
      <c r="AK18" s="81"/>
      <c r="AL18" s="81"/>
      <c r="AM18" s="81"/>
      <c r="AN18" s="81"/>
      <c r="AO18" s="81"/>
      <c r="AP18" s="81"/>
      <c r="AQ18" s="81"/>
      <c r="AR18" s="81"/>
      <c r="AS18" s="81"/>
      <c r="AT18" s="81"/>
      <c r="AU18" s="81"/>
      <c r="AV18" s="81"/>
      <c r="AW18" s="81"/>
      <c r="AX18" s="81"/>
      <c r="AY18" s="149"/>
    </row>
    <row r="19" spans="1:51">
      <c r="A19" s="147"/>
      <c r="B19" s="81"/>
      <c r="C19" s="81"/>
      <c r="D19" s="81"/>
      <c r="E19" s="81"/>
      <c r="F19" s="81"/>
      <c r="G19" s="81"/>
      <c r="H19" s="81"/>
      <c r="I19" s="81"/>
      <c r="J19" s="81"/>
      <c r="K19" s="81"/>
      <c r="L19" s="81"/>
      <c r="M19" s="81"/>
      <c r="N19" s="81"/>
      <c r="O19" s="81"/>
      <c r="P19" s="81"/>
      <c r="Q19" s="149"/>
      <c r="R19" s="147"/>
      <c r="S19" s="81"/>
      <c r="T19" s="81"/>
      <c r="U19" s="81"/>
      <c r="V19" s="81"/>
      <c r="W19" s="81"/>
      <c r="X19" s="81"/>
      <c r="Y19" s="81"/>
      <c r="Z19" s="81"/>
      <c r="AA19" s="81"/>
      <c r="AB19" s="81"/>
      <c r="AC19" s="81"/>
      <c r="AD19" s="81"/>
      <c r="AE19" s="81"/>
      <c r="AF19" s="81"/>
      <c r="AG19" s="81"/>
      <c r="AH19" s="149"/>
      <c r="AI19" s="147"/>
      <c r="AJ19" s="81"/>
      <c r="AK19" s="81"/>
      <c r="AL19" s="81"/>
      <c r="AM19" s="81"/>
      <c r="AN19" s="81"/>
      <c r="AO19" s="81"/>
      <c r="AP19" s="81"/>
      <c r="AQ19" s="81"/>
      <c r="AR19" s="81"/>
      <c r="AS19" s="81"/>
      <c r="AT19" s="81"/>
      <c r="AU19" s="81"/>
      <c r="AV19" s="81"/>
      <c r="AW19" s="81"/>
      <c r="AX19" s="81"/>
      <c r="AY19" s="149"/>
    </row>
    <row r="20" spans="1:51">
      <c r="A20" s="147"/>
      <c r="B20" s="81"/>
      <c r="C20" s="81"/>
      <c r="D20" s="81"/>
      <c r="E20" s="81"/>
      <c r="F20" s="81"/>
      <c r="G20" s="81"/>
      <c r="H20" s="81"/>
      <c r="I20" s="81"/>
      <c r="J20" s="81"/>
      <c r="K20" s="81"/>
      <c r="L20" s="81"/>
      <c r="M20" s="81"/>
      <c r="N20" s="81"/>
      <c r="O20" s="81"/>
      <c r="P20" s="81"/>
      <c r="Q20" s="149"/>
      <c r="R20" s="147"/>
      <c r="S20" s="81"/>
      <c r="T20" s="81"/>
      <c r="U20" s="81"/>
      <c r="V20" s="81"/>
      <c r="W20" s="81"/>
      <c r="X20" s="81"/>
      <c r="Y20" s="81"/>
      <c r="Z20" s="81"/>
      <c r="AA20" s="81"/>
      <c r="AB20" s="81"/>
      <c r="AC20" s="81"/>
      <c r="AD20" s="81"/>
      <c r="AE20" s="81"/>
      <c r="AF20" s="81"/>
      <c r="AG20" s="81"/>
      <c r="AH20" s="149"/>
      <c r="AI20" s="147"/>
      <c r="AJ20" s="81"/>
      <c r="AK20" s="81"/>
      <c r="AL20" s="81"/>
      <c r="AM20" s="81"/>
      <c r="AN20" s="81"/>
      <c r="AO20" s="81"/>
      <c r="AP20" s="81"/>
      <c r="AQ20" s="81"/>
      <c r="AR20" s="81"/>
      <c r="AS20" s="81"/>
      <c r="AT20" s="81"/>
      <c r="AU20" s="81"/>
      <c r="AV20" s="81"/>
      <c r="AW20" s="81"/>
      <c r="AX20" s="81"/>
      <c r="AY20" s="149"/>
    </row>
    <row r="21" spans="1:51">
      <c r="A21" s="147"/>
      <c r="B21" s="81"/>
      <c r="C21" s="81"/>
      <c r="D21" s="81"/>
      <c r="E21" s="81"/>
      <c r="F21" s="81"/>
      <c r="G21" s="81"/>
      <c r="H21" s="81"/>
      <c r="I21" s="81"/>
      <c r="J21" s="81"/>
      <c r="K21" s="81"/>
      <c r="L21" s="81"/>
      <c r="M21" s="81"/>
      <c r="N21" s="81"/>
      <c r="O21" s="81"/>
      <c r="P21" s="81"/>
      <c r="Q21" s="149"/>
      <c r="R21" s="147"/>
      <c r="S21" s="81"/>
      <c r="T21" s="81"/>
      <c r="U21" s="81"/>
      <c r="V21" s="81"/>
      <c r="W21" s="81"/>
      <c r="X21" s="81"/>
      <c r="Y21" s="81"/>
      <c r="Z21" s="81"/>
      <c r="AA21" s="81"/>
      <c r="AB21" s="81"/>
      <c r="AC21" s="81"/>
      <c r="AD21" s="81"/>
      <c r="AE21" s="81"/>
      <c r="AF21" s="81"/>
      <c r="AG21" s="81"/>
      <c r="AH21" s="149"/>
      <c r="AI21" s="147"/>
      <c r="AJ21" s="81"/>
      <c r="AK21" s="81"/>
      <c r="AL21" s="81"/>
      <c r="AM21" s="81"/>
      <c r="AN21" s="81"/>
      <c r="AO21" s="81"/>
      <c r="AP21" s="81"/>
      <c r="AQ21" s="81"/>
      <c r="AR21" s="81"/>
      <c r="AS21" s="81"/>
      <c r="AT21" s="81"/>
      <c r="AU21" s="81"/>
      <c r="AV21" s="81"/>
      <c r="AW21" s="81"/>
      <c r="AX21" s="81"/>
      <c r="AY21" s="149"/>
    </row>
    <row r="22" spans="1:51">
      <c r="A22" s="147"/>
      <c r="B22" s="81"/>
      <c r="C22" s="81"/>
      <c r="D22" s="81"/>
      <c r="E22" s="81"/>
      <c r="F22" s="81"/>
      <c r="G22" s="81"/>
      <c r="H22" s="81"/>
      <c r="I22" s="81"/>
      <c r="J22" s="81"/>
      <c r="K22" s="81"/>
      <c r="L22" s="81"/>
      <c r="M22" s="81"/>
      <c r="N22" s="81"/>
      <c r="O22" s="81"/>
      <c r="P22" s="81"/>
      <c r="Q22" s="149"/>
      <c r="R22" s="147"/>
      <c r="S22" s="81"/>
      <c r="T22" s="81"/>
      <c r="U22" s="81"/>
      <c r="V22" s="81"/>
      <c r="W22" s="81"/>
      <c r="X22" s="81"/>
      <c r="Y22" s="81"/>
      <c r="Z22" s="81"/>
      <c r="AA22" s="81"/>
      <c r="AB22" s="81"/>
      <c r="AC22" s="81"/>
      <c r="AD22" s="81"/>
      <c r="AE22" s="81"/>
      <c r="AF22" s="81"/>
      <c r="AG22" s="81"/>
      <c r="AH22" s="149"/>
      <c r="AI22" s="147"/>
      <c r="AJ22" s="81"/>
      <c r="AK22" s="81"/>
      <c r="AL22" s="81"/>
      <c r="AM22" s="81"/>
      <c r="AN22" s="81"/>
      <c r="AO22" s="81"/>
      <c r="AP22" s="81"/>
      <c r="AQ22" s="81"/>
      <c r="AR22" s="81"/>
      <c r="AS22" s="81"/>
      <c r="AT22" s="81"/>
      <c r="AU22" s="81"/>
      <c r="AV22" s="81"/>
      <c r="AW22" s="81"/>
      <c r="AX22" s="81"/>
      <c r="AY22" s="149"/>
    </row>
    <row r="23" spans="1:51">
      <c r="A23" s="147"/>
      <c r="B23" s="81"/>
      <c r="C23" s="81"/>
      <c r="D23" s="81"/>
      <c r="E23" s="81"/>
      <c r="F23" s="81"/>
      <c r="G23" s="81"/>
      <c r="H23" s="81"/>
      <c r="I23" s="81"/>
      <c r="J23" s="81"/>
      <c r="K23" s="81"/>
      <c r="L23" s="81"/>
      <c r="M23" s="81"/>
      <c r="N23" s="81"/>
      <c r="O23" s="81"/>
      <c r="P23" s="81"/>
      <c r="Q23" s="149"/>
      <c r="R23" s="147"/>
      <c r="S23" s="81"/>
      <c r="T23" s="81"/>
      <c r="U23" s="81"/>
      <c r="V23" s="81"/>
      <c r="W23" s="81"/>
      <c r="X23" s="81"/>
      <c r="Y23" s="81"/>
      <c r="Z23" s="81"/>
      <c r="AA23" s="81"/>
      <c r="AB23" s="81"/>
      <c r="AC23" s="81"/>
      <c r="AD23" s="81"/>
      <c r="AE23" s="81"/>
      <c r="AF23" s="81"/>
      <c r="AG23" s="81"/>
      <c r="AH23" s="149"/>
      <c r="AI23" s="147"/>
      <c r="AJ23" s="81"/>
      <c r="AK23" s="81"/>
      <c r="AL23" s="81"/>
      <c r="AM23" s="81"/>
      <c r="AN23" s="81"/>
      <c r="AO23" s="81"/>
      <c r="AP23" s="81"/>
      <c r="AQ23" s="81"/>
      <c r="AR23" s="81"/>
      <c r="AS23" s="81"/>
      <c r="AT23" s="81"/>
      <c r="AU23" s="81"/>
      <c r="AV23" s="81"/>
      <c r="AW23" s="81"/>
      <c r="AX23" s="81"/>
      <c r="AY23" s="149"/>
    </row>
    <row r="24" spans="1:51">
      <c r="A24" s="147"/>
      <c r="B24" s="81"/>
      <c r="C24" s="81"/>
      <c r="D24" s="81"/>
      <c r="E24" s="81"/>
      <c r="F24" s="81"/>
      <c r="G24" s="81"/>
      <c r="H24" s="81"/>
      <c r="I24" s="81"/>
      <c r="J24" s="81"/>
      <c r="K24" s="81"/>
      <c r="L24" s="81"/>
      <c r="M24" s="81"/>
      <c r="N24" s="81"/>
      <c r="O24" s="81"/>
      <c r="P24" s="81"/>
      <c r="Q24" s="149"/>
      <c r="R24" s="147"/>
      <c r="S24" s="81"/>
      <c r="T24" s="81"/>
      <c r="U24" s="81"/>
      <c r="V24" s="81"/>
      <c r="W24" s="81"/>
      <c r="X24" s="81"/>
      <c r="Y24" s="81"/>
      <c r="Z24" s="81"/>
      <c r="AA24" s="81"/>
      <c r="AB24" s="81"/>
      <c r="AC24" s="81"/>
      <c r="AD24" s="81"/>
      <c r="AE24" s="81"/>
      <c r="AF24" s="81"/>
      <c r="AG24" s="81"/>
      <c r="AH24" s="149"/>
      <c r="AI24" s="147"/>
      <c r="AJ24" s="81"/>
      <c r="AK24" s="81"/>
      <c r="AL24" s="81"/>
      <c r="AM24" s="81"/>
      <c r="AN24" s="81"/>
      <c r="AO24" s="81"/>
      <c r="AP24" s="81"/>
      <c r="AQ24" s="81"/>
      <c r="AR24" s="81"/>
      <c r="AS24" s="81"/>
      <c r="AT24" s="81"/>
      <c r="AU24" s="81"/>
      <c r="AV24" s="81"/>
      <c r="AW24" s="81"/>
      <c r="AX24" s="81"/>
      <c r="AY24" s="149"/>
    </row>
    <row r="25" spans="1:51">
      <c r="A25" s="147"/>
      <c r="B25" s="81"/>
      <c r="C25" s="81"/>
      <c r="D25" s="81"/>
      <c r="E25" s="81"/>
      <c r="F25" s="81"/>
      <c r="G25" s="81"/>
      <c r="H25" s="81"/>
      <c r="I25" s="81"/>
      <c r="J25" s="81"/>
      <c r="K25" s="81"/>
      <c r="L25" s="81"/>
      <c r="M25" s="81"/>
      <c r="N25" s="81"/>
      <c r="O25" s="81"/>
      <c r="P25" s="81"/>
      <c r="Q25" s="149"/>
      <c r="R25" s="147"/>
      <c r="S25" s="81"/>
      <c r="T25" s="81"/>
      <c r="U25" s="81"/>
      <c r="V25" s="81"/>
      <c r="W25" s="81"/>
      <c r="X25" s="81"/>
      <c r="Y25" s="81"/>
      <c r="Z25" s="81"/>
      <c r="AA25" s="81"/>
      <c r="AB25" s="81"/>
      <c r="AC25" s="81"/>
      <c r="AD25" s="81"/>
      <c r="AE25" s="81"/>
      <c r="AF25" s="81"/>
      <c r="AG25" s="81"/>
      <c r="AH25" s="149"/>
      <c r="AI25" s="147"/>
      <c r="AJ25" s="81"/>
      <c r="AK25" s="81"/>
      <c r="AL25" s="81"/>
      <c r="AM25" s="81"/>
      <c r="AN25" s="81"/>
      <c r="AO25" s="81"/>
      <c r="AP25" s="81"/>
      <c r="AQ25" s="81"/>
      <c r="AR25" s="81"/>
      <c r="AS25" s="81"/>
      <c r="AT25" s="81"/>
      <c r="AU25" s="81"/>
      <c r="AV25" s="81"/>
      <c r="AW25" s="81"/>
      <c r="AX25" s="81"/>
      <c r="AY25" s="149"/>
    </row>
    <row r="26" spans="1:51">
      <c r="A26" s="147"/>
      <c r="B26" s="81"/>
      <c r="C26" s="81"/>
      <c r="D26" s="81"/>
      <c r="E26" s="81"/>
      <c r="F26" s="81"/>
      <c r="G26" s="81"/>
      <c r="H26" s="81"/>
      <c r="I26" s="81"/>
      <c r="J26" s="81"/>
      <c r="K26" s="81"/>
      <c r="L26" s="81"/>
      <c r="M26" s="81"/>
      <c r="N26" s="81"/>
      <c r="O26" s="81"/>
      <c r="P26" s="81"/>
      <c r="Q26" s="149"/>
      <c r="R26" s="147"/>
      <c r="S26" s="81"/>
      <c r="T26" s="81"/>
      <c r="U26" s="81"/>
      <c r="V26" s="81"/>
      <c r="W26" s="81"/>
      <c r="X26" s="81"/>
      <c r="Y26" s="81"/>
      <c r="Z26" s="81"/>
      <c r="AA26" s="81"/>
      <c r="AB26" s="81"/>
      <c r="AC26" s="81"/>
      <c r="AD26" s="81"/>
      <c r="AE26" s="81"/>
      <c r="AF26" s="81"/>
      <c r="AG26" s="81"/>
      <c r="AH26" s="149"/>
      <c r="AI26" s="147"/>
      <c r="AJ26" s="81"/>
      <c r="AK26" s="81"/>
      <c r="AL26" s="81"/>
      <c r="AM26" s="81"/>
      <c r="AN26" s="81"/>
      <c r="AO26" s="81"/>
      <c r="AP26" s="81"/>
      <c r="AQ26" s="81"/>
      <c r="AR26" s="81"/>
      <c r="AS26" s="81"/>
      <c r="AT26" s="81"/>
      <c r="AU26" s="81"/>
      <c r="AV26" s="81"/>
      <c r="AW26" s="81"/>
      <c r="AX26" s="81"/>
      <c r="AY26" s="149"/>
    </row>
    <row r="27" spans="1:51">
      <c r="A27" s="147"/>
      <c r="B27" s="81"/>
      <c r="C27" s="81"/>
      <c r="D27" s="81"/>
      <c r="E27" s="81"/>
      <c r="F27" s="81"/>
      <c r="G27" s="81"/>
      <c r="H27" s="81"/>
      <c r="I27" s="81"/>
      <c r="J27" s="81"/>
      <c r="K27" s="81"/>
      <c r="L27" s="81"/>
      <c r="M27" s="81"/>
      <c r="N27" s="81"/>
      <c r="O27" s="81"/>
      <c r="P27" s="81"/>
      <c r="Q27" s="149"/>
      <c r="R27" s="147"/>
      <c r="S27" s="81"/>
      <c r="T27" s="81"/>
      <c r="U27" s="81"/>
      <c r="V27" s="81"/>
      <c r="W27" s="81"/>
      <c r="X27" s="81"/>
      <c r="Y27" s="81"/>
      <c r="Z27" s="81"/>
      <c r="AA27" s="81"/>
      <c r="AB27" s="81"/>
      <c r="AC27" s="81"/>
      <c r="AD27" s="81"/>
      <c r="AE27" s="81"/>
      <c r="AF27" s="81"/>
      <c r="AG27" s="81"/>
      <c r="AH27" s="149"/>
      <c r="AI27" s="147"/>
      <c r="AJ27" s="81"/>
      <c r="AK27" s="81"/>
      <c r="AL27" s="81"/>
      <c r="AM27" s="81"/>
      <c r="AN27" s="81"/>
      <c r="AO27" s="81"/>
      <c r="AP27" s="81"/>
      <c r="AQ27" s="81"/>
      <c r="AR27" s="81"/>
      <c r="AS27" s="81"/>
      <c r="AT27" s="81"/>
      <c r="AU27" s="81"/>
      <c r="AV27" s="81"/>
      <c r="AW27" s="81"/>
      <c r="AX27" s="81"/>
      <c r="AY27" s="149"/>
    </row>
    <row r="28" spans="1:51">
      <c r="A28" s="147"/>
      <c r="B28" s="81"/>
      <c r="C28" s="81"/>
      <c r="D28" s="81"/>
      <c r="E28" s="81"/>
      <c r="F28" s="81"/>
      <c r="G28" s="81"/>
      <c r="H28" s="81"/>
      <c r="I28" s="81"/>
      <c r="J28" s="81"/>
      <c r="K28" s="81"/>
      <c r="L28" s="81"/>
      <c r="M28" s="81"/>
      <c r="N28" s="81"/>
      <c r="O28" s="81"/>
      <c r="P28" s="81"/>
      <c r="Q28" s="149"/>
      <c r="R28" s="147"/>
      <c r="S28" s="81"/>
      <c r="T28" s="81"/>
      <c r="U28" s="81"/>
      <c r="V28" s="81"/>
      <c r="W28" s="81"/>
      <c r="X28" s="81"/>
      <c r="Y28" s="81"/>
      <c r="Z28" s="81"/>
      <c r="AA28" s="81"/>
      <c r="AB28" s="81"/>
      <c r="AC28" s="81"/>
      <c r="AD28" s="81"/>
      <c r="AE28" s="81"/>
      <c r="AF28" s="81"/>
      <c r="AG28" s="81"/>
      <c r="AH28" s="149"/>
      <c r="AI28" s="147"/>
      <c r="AJ28" s="81"/>
      <c r="AK28" s="81"/>
      <c r="AL28" s="81"/>
      <c r="AM28" s="81"/>
      <c r="AN28" s="81"/>
      <c r="AO28" s="81"/>
      <c r="AP28" s="81"/>
      <c r="AQ28" s="81"/>
      <c r="AR28" s="81"/>
      <c r="AS28" s="81"/>
      <c r="AT28" s="81"/>
      <c r="AU28" s="81"/>
      <c r="AV28" s="81"/>
      <c r="AW28" s="81"/>
      <c r="AX28" s="81"/>
      <c r="AY28" s="149"/>
    </row>
    <row r="29" spans="1:51">
      <c r="A29" s="147"/>
      <c r="B29" s="81"/>
      <c r="C29" s="81"/>
      <c r="D29" s="81"/>
      <c r="E29" s="81"/>
      <c r="F29" s="81"/>
      <c r="G29" s="81"/>
      <c r="H29" s="81"/>
      <c r="I29" s="81"/>
      <c r="J29" s="81"/>
      <c r="K29" s="81"/>
      <c r="L29" s="81"/>
      <c r="M29" s="81"/>
      <c r="N29" s="81"/>
      <c r="O29" s="81"/>
      <c r="P29" s="81"/>
      <c r="Q29" s="149"/>
      <c r="R29" s="147"/>
      <c r="S29" s="81"/>
      <c r="T29" s="81"/>
      <c r="U29" s="81"/>
      <c r="V29" s="81"/>
      <c r="W29" s="81"/>
      <c r="X29" s="81"/>
      <c r="Y29" s="81"/>
      <c r="Z29" s="81"/>
      <c r="AA29" s="81"/>
      <c r="AB29" s="81"/>
      <c r="AC29" s="81"/>
      <c r="AD29" s="81"/>
      <c r="AE29" s="81"/>
      <c r="AF29" s="81"/>
      <c r="AG29" s="81"/>
      <c r="AH29" s="149"/>
      <c r="AI29" s="147"/>
      <c r="AJ29" s="81"/>
      <c r="AK29" s="81"/>
      <c r="AL29" s="81"/>
      <c r="AM29" s="81"/>
      <c r="AN29" s="81"/>
      <c r="AO29" s="81"/>
      <c r="AP29" s="81"/>
      <c r="AQ29" s="81"/>
      <c r="AR29" s="81"/>
      <c r="AS29" s="81"/>
      <c r="AT29" s="81"/>
      <c r="AU29" s="81"/>
      <c r="AV29" s="81"/>
      <c r="AW29" s="81"/>
      <c r="AX29" s="81"/>
      <c r="AY29" s="149"/>
    </row>
    <row r="30" spans="1:51">
      <c r="A30" s="147"/>
      <c r="B30" s="81"/>
      <c r="C30" s="81"/>
      <c r="D30" s="81"/>
      <c r="E30" s="81"/>
      <c r="F30" s="81"/>
      <c r="G30" s="81"/>
      <c r="H30" s="81"/>
      <c r="I30" s="81"/>
      <c r="J30" s="81"/>
      <c r="K30" s="81"/>
      <c r="L30" s="81"/>
      <c r="M30" s="81"/>
      <c r="N30" s="81"/>
      <c r="O30" s="81"/>
      <c r="P30" s="81"/>
      <c r="Q30" s="149"/>
      <c r="R30" s="147"/>
      <c r="S30" s="81"/>
      <c r="T30" s="81"/>
      <c r="U30" s="81"/>
      <c r="V30" s="81"/>
      <c r="W30" s="81"/>
      <c r="X30" s="81"/>
      <c r="Y30" s="81"/>
      <c r="Z30" s="81"/>
      <c r="AA30" s="81"/>
      <c r="AB30" s="81"/>
      <c r="AC30" s="81"/>
      <c r="AD30" s="81"/>
      <c r="AE30" s="81"/>
      <c r="AF30" s="81"/>
      <c r="AG30" s="81"/>
      <c r="AH30" s="149"/>
      <c r="AI30" s="147"/>
      <c r="AJ30" s="81"/>
      <c r="AK30" s="81"/>
      <c r="AL30" s="81"/>
      <c r="AM30" s="81"/>
      <c r="AN30" s="81"/>
      <c r="AO30" s="81"/>
      <c r="AP30" s="81"/>
      <c r="AQ30" s="81"/>
      <c r="AR30" s="81"/>
      <c r="AS30" s="81"/>
      <c r="AT30" s="81"/>
      <c r="AU30" s="81"/>
      <c r="AV30" s="81"/>
      <c r="AW30" s="81"/>
      <c r="AX30" s="81"/>
      <c r="AY30" s="149"/>
    </row>
    <row r="31" spans="1:51">
      <c r="A31" s="147"/>
      <c r="B31" s="81"/>
      <c r="C31" s="81"/>
      <c r="D31" s="81"/>
      <c r="E31" s="81"/>
      <c r="F31" s="81"/>
      <c r="G31" s="81"/>
      <c r="H31" s="81"/>
      <c r="I31" s="81"/>
      <c r="J31" s="81"/>
      <c r="K31" s="81"/>
      <c r="L31" s="81"/>
      <c r="M31" s="81"/>
      <c r="N31" s="81"/>
      <c r="O31" s="81"/>
      <c r="P31" s="81"/>
      <c r="Q31" s="149"/>
      <c r="R31" s="147"/>
      <c r="S31" s="81"/>
      <c r="T31" s="81"/>
      <c r="U31" s="81"/>
      <c r="V31" s="81"/>
      <c r="W31" s="81"/>
      <c r="X31" s="81"/>
      <c r="Y31" s="81"/>
      <c r="Z31" s="81"/>
      <c r="AA31" s="81"/>
      <c r="AB31" s="81"/>
      <c r="AC31" s="81"/>
      <c r="AD31" s="81"/>
      <c r="AE31" s="81"/>
      <c r="AF31" s="81"/>
      <c r="AG31" s="81"/>
      <c r="AH31" s="149"/>
      <c r="AI31" s="147"/>
      <c r="AJ31" s="81"/>
      <c r="AK31" s="81"/>
      <c r="AL31" s="81"/>
      <c r="AM31" s="81"/>
      <c r="AN31" s="81"/>
      <c r="AO31" s="81"/>
      <c r="AP31" s="81"/>
      <c r="AQ31" s="81"/>
      <c r="AR31" s="81"/>
      <c r="AS31" s="81"/>
      <c r="AT31" s="81"/>
      <c r="AU31" s="81"/>
      <c r="AV31" s="81"/>
      <c r="AW31" s="81"/>
      <c r="AX31" s="81"/>
      <c r="AY31" s="149"/>
    </row>
    <row r="32" spans="1:51">
      <c r="A32" s="147"/>
      <c r="B32" s="81"/>
      <c r="C32" s="81"/>
      <c r="D32" s="81"/>
      <c r="E32" s="81"/>
      <c r="F32" s="81"/>
      <c r="G32" s="81"/>
      <c r="H32" s="81"/>
      <c r="I32" s="81"/>
      <c r="J32" s="81"/>
      <c r="K32" s="81"/>
      <c r="L32" s="81"/>
      <c r="M32" s="81"/>
      <c r="N32" s="81"/>
      <c r="O32" s="81"/>
      <c r="P32" s="81"/>
      <c r="Q32" s="149"/>
      <c r="R32" s="147"/>
      <c r="S32" s="81"/>
      <c r="T32" s="81"/>
      <c r="U32" s="81"/>
      <c r="V32" s="81"/>
      <c r="W32" s="81"/>
      <c r="X32" s="81"/>
      <c r="Y32" s="81"/>
      <c r="Z32" s="81"/>
      <c r="AA32" s="81"/>
      <c r="AB32" s="81"/>
      <c r="AC32" s="81"/>
      <c r="AD32" s="81"/>
      <c r="AE32" s="81"/>
      <c r="AF32" s="81"/>
      <c r="AG32" s="81"/>
      <c r="AH32" s="149"/>
      <c r="AI32" s="147"/>
      <c r="AJ32" s="81"/>
      <c r="AK32" s="81"/>
      <c r="AL32" s="81"/>
      <c r="AM32" s="81"/>
      <c r="AN32" s="81"/>
      <c r="AO32" s="81"/>
      <c r="AP32" s="81"/>
      <c r="AQ32" s="81"/>
      <c r="AR32" s="81"/>
      <c r="AS32" s="81"/>
      <c r="AT32" s="81"/>
      <c r="AU32" s="81"/>
      <c r="AV32" s="81"/>
      <c r="AW32" s="81"/>
      <c r="AX32" s="81"/>
      <c r="AY32" s="149"/>
    </row>
    <row r="33" spans="1:51">
      <c r="A33" s="147"/>
      <c r="B33" s="81"/>
      <c r="C33" s="81"/>
      <c r="D33" s="81"/>
      <c r="E33" s="81"/>
      <c r="F33" s="81"/>
      <c r="G33" s="81"/>
      <c r="H33" s="81"/>
      <c r="I33" s="81"/>
      <c r="J33" s="81"/>
      <c r="K33" s="81"/>
      <c r="L33" s="81"/>
      <c r="M33" s="81"/>
      <c r="N33" s="81"/>
      <c r="O33" s="81"/>
      <c r="P33" s="81"/>
      <c r="Q33" s="149"/>
      <c r="R33" s="147"/>
      <c r="S33" s="81"/>
      <c r="T33" s="81"/>
      <c r="U33" s="81"/>
      <c r="V33" s="81"/>
      <c r="W33" s="81"/>
      <c r="X33" s="81"/>
      <c r="Y33" s="81"/>
      <c r="Z33" s="81"/>
      <c r="AA33" s="81"/>
      <c r="AB33" s="81"/>
      <c r="AC33" s="81"/>
      <c r="AD33" s="81"/>
      <c r="AE33" s="81"/>
      <c r="AF33" s="81"/>
      <c r="AG33" s="81"/>
      <c r="AH33" s="149"/>
      <c r="AI33" s="147"/>
      <c r="AJ33" s="81"/>
      <c r="AK33" s="81"/>
      <c r="AL33" s="81"/>
      <c r="AM33" s="81"/>
      <c r="AN33" s="81"/>
      <c r="AO33" s="81"/>
      <c r="AP33" s="81"/>
      <c r="AQ33" s="81"/>
      <c r="AR33" s="81"/>
      <c r="AS33" s="81"/>
      <c r="AT33" s="81"/>
      <c r="AU33" s="81"/>
      <c r="AV33" s="81"/>
      <c r="AW33" s="81"/>
      <c r="AX33" s="81"/>
      <c r="AY33" s="149"/>
    </row>
    <row r="34" spans="1:51">
      <c r="A34" s="147"/>
      <c r="B34" s="81"/>
      <c r="C34" s="81"/>
      <c r="D34" s="81"/>
      <c r="E34" s="81"/>
      <c r="F34" s="81"/>
      <c r="G34" s="81"/>
      <c r="H34" s="81"/>
      <c r="I34" s="81"/>
      <c r="J34" s="81"/>
      <c r="K34" s="81"/>
      <c r="L34" s="81"/>
      <c r="M34" s="81"/>
      <c r="N34" s="81"/>
      <c r="O34" s="81"/>
      <c r="P34" s="81"/>
      <c r="Q34" s="149"/>
      <c r="R34" s="147"/>
      <c r="S34" s="81"/>
      <c r="T34" s="81"/>
      <c r="U34" s="81"/>
      <c r="V34" s="81"/>
      <c r="W34" s="81"/>
      <c r="X34" s="81"/>
      <c r="Y34" s="81"/>
      <c r="Z34" s="81"/>
      <c r="AA34" s="81"/>
      <c r="AB34" s="81"/>
      <c r="AC34" s="81"/>
      <c r="AD34" s="81"/>
      <c r="AE34" s="81"/>
      <c r="AF34" s="81"/>
      <c r="AG34" s="81"/>
      <c r="AH34" s="149"/>
      <c r="AI34" s="147"/>
      <c r="AJ34" s="81"/>
      <c r="AK34" s="81"/>
      <c r="AL34" s="81"/>
      <c r="AM34" s="81"/>
      <c r="AN34" s="81"/>
      <c r="AO34" s="81"/>
      <c r="AP34" s="81"/>
      <c r="AQ34" s="81"/>
      <c r="AR34" s="81"/>
      <c r="AS34" s="81"/>
      <c r="AT34" s="81"/>
      <c r="AU34" s="81"/>
      <c r="AV34" s="81"/>
      <c r="AW34" s="81"/>
      <c r="AX34" s="81"/>
      <c r="AY34" s="149"/>
    </row>
    <row r="35" spans="1:51">
      <c r="A35" s="147"/>
      <c r="B35" s="81"/>
      <c r="C35" s="81"/>
      <c r="D35" s="81"/>
      <c r="E35" s="81"/>
      <c r="F35" s="81"/>
      <c r="G35" s="81"/>
      <c r="H35" s="81"/>
      <c r="I35" s="81"/>
      <c r="J35" s="81"/>
      <c r="K35" s="81"/>
      <c r="L35" s="81"/>
      <c r="M35" s="81"/>
      <c r="N35" s="81"/>
      <c r="O35" s="81"/>
      <c r="P35" s="81"/>
      <c r="Q35" s="149"/>
      <c r="R35" s="147"/>
      <c r="S35" s="81"/>
      <c r="T35" s="81"/>
      <c r="U35" s="81"/>
      <c r="V35" s="81"/>
      <c r="W35" s="81"/>
      <c r="X35" s="81"/>
      <c r="Y35" s="81"/>
      <c r="Z35" s="81"/>
      <c r="AA35" s="81"/>
      <c r="AB35" s="81"/>
      <c r="AC35" s="81"/>
      <c r="AD35" s="81"/>
      <c r="AE35" s="81"/>
      <c r="AF35" s="81"/>
      <c r="AG35" s="81"/>
      <c r="AH35" s="149"/>
      <c r="AI35" s="147"/>
      <c r="AJ35" s="81"/>
      <c r="AK35" s="81"/>
      <c r="AL35" s="81"/>
      <c r="AM35" s="81"/>
      <c r="AN35" s="81"/>
      <c r="AO35" s="81"/>
      <c r="AP35" s="81"/>
      <c r="AQ35" s="81"/>
      <c r="AR35" s="81"/>
      <c r="AS35" s="81"/>
      <c r="AT35" s="81"/>
      <c r="AU35" s="81"/>
      <c r="AV35" s="81"/>
      <c r="AW35" s="81"/>
      <c r="AX35" s="81"/>
      <c r="AY35" s="149"/>
    </row>
    <row r="36" spans="1:51">
      <c r="A36" s="147"/>
      <c r="B36" s="81"/>
      <c r="C36" s="81"/>
      <c r="D36" s="81"/>
      <c r="E36" s="81"/>
      <c r="F36" s="81"/>
      <c r="G36" s="81"/>
      <c r="H36" s="81"/>
      <c r="I36" s="81"/>
      <c r="J36" s="81"/>
      <c r="K36" s="81"/>
      <c r="L36" s="81"/>
      <c r="M36" s="81"/>
      <c r="N36" s="81"/>
      <c r="O36" s="81"/>
      <c r="P36" s="81"/>
      <c r="Q36" s="149"/>
      <c r="R36" s="147"/>
      <c r="S36" s="81"/>
      <c r="T36" s="81"/>
      <c r="U36" s="81"/>
      <c r="V36" s="81"/>
      <c r="W36" s="81"/>
      <c r="X36" s="81"/>
      <c r="Y36" s="81"/>
      <c r="Z36" s="81"/>
      <c r="AA36" s="81"/>
      <c r="AB36" s="81"/>
      <c r="AC36" s="81"/>
      <c r="AD36" s="81"/>
      <c r="AE36" s="81"/>
      <c r="AF36" s="81"/>
      <c r="AG36" s="81"/>
      <c r="AH36" s="149"/>
      <c r="AI36" s="147"/>
      <c r="AJ36" s="81"/>
      <c r="AK36" s="81"/>
      <c r="AL36" s="81"/>
      <c r="AM36" s="81"/>
      <c r="AN36" s="81"/>
      <c r="AO36" s="81"/>
      <c r="AP36" s="81"/>
      <c r="AQ36" s="81"/>
      <c r="AR36" s="81"/>
      <c r="AS36" s="81"/>
      <c r="AT36" s="81"/>
      <c r="AU36" s="81"/>
      <c r="AV36" s="81"/>
      <c r="AW36" s="81"/>
      <c r="AX36" s="81"/>
      <c r="AY36" s="149"/>
    </row>
    <row r="37" spans="1:51">
      <c r="A37" s="147"/>
      <c r="B37" s="81"/>
      <c r="C37" s="81"/>
      <c r="D37" s="81"/>
      <c r="E37" s="81"/>
      <c r="F37" s="81"/>
      <c r="G37" s="81"/>
      <c r="H37" s="81"/>
      <c r="I37" s="81"/>
      <c r="J37" s="81"/>
      <c r="K37" s="81"/>
      <c r="L37" s="81"/>
      <c r="M37" s="81"/>
      <c r="N37" s="81"/>
      <c r="O37" s="81"/>
      <c r="P37" s="81"/>
      <c r="Q37" s="149"/>
      <c r="R37" s="147"/>
      <c r="S37" s="81"/>
      <c r="T37" s="81"/>
      <c r="U37" s="81"/>
      <c r="V37" s="81"/>
      <c r="W37" s="81"/>
      <c r="X37" s="81"/>
      <c r="Y37" s="81"/>
      <c r="Z37" s="81"/>
      <c r="AA37" s="81"/>
      <c r="AB37" s="81"/>
      <c r="AC37" s="81"/>
      <c r="AD37" s="81"/>
      <c r="AE37" s="81"/>
      <c r="AF37" s="81"/>
      <c r="AG37" s="81"/>
      <c r="AH37" s="149"/>
      <c r="AI37" s="147"/>
      <c r="AJ37" s="81"/>
      <c r="AK37" s="81"/>
      <c r="AL37" s="81"/>
      <c r="AM37" s="81"/>
      <c r="AN37" s="81"/>
      <c r="AO37" s="81"/>
      <c r="AP37" s="81"/>
      <c r="AQ37" s="81"/>
      <c r="AR37" s="81"/>
      <c r="AS37" s="81"/>
      <c r="AT37" s="81"/>
      <c r="AU37" s="81"/>
      <c r="AV37" s="81"/>
      <c r="AW37" s="81"/>
      <c r="AX37" s="81"/>
      <c r="AY37" s="149"/>
    </row>
    <row r="38" spans="1:51">
      <c r="A38" s="147"/>
      <c r="B38" s="81"/>
      <c r="C38" s="81"/>
      <c r="D38" s="81"/>
      <c r="E38" s="81"/>
      <c r="F38" s="81"/>
      <c r="G38" s="81"/>
      <c r="H38" s="81"/>
      <c r="I38" s="81"/>
      <c r="J38" s="81"/>
      <c r="K38" s="81"/>
      <c r="L38" s="81"/>
      <c r="M38" s="81"/>
      <c r="N38" s="81"/>
      <c r="O38" s="81"/>
      <c r="P38" s="81"/>
      <c r="Q38" s="149"/>
      <c r="R38" s="147"/>
      <c r="S38" s="81"/>
      <c r="T38" s="81"/>
      <c r="U38" s="81"/>
      <c r="V38" s="81"/>
      <c r="W38" s="81"/>
      <c r="X38" s="81"/>
      <c r="Y38" s="81"/>
      <c r="Z38" s="81"/>
      <c r="AA38" s="81"/>
      <c r="AB38" s="81"/>
      <c r="AC38" s="81"/>
      <c r="AD38" s="81"/>
      <c r="AE38" s="81"/>
      <c r="AF38" s="81"/>
      <c r="AG38" s="81"/>
      <c r="AH38" s="149"/>
      <c r="AI38" s="147"/>
      <c r="AJ38" s="81"/>
      <c r="AK38" s="81"/>
      <c r="AL38" s="81"/>
      <c r="AM38" s="81"/>
      <c r="AN38" s="81"/>
      <c r="AO38" s="81"/>
      <c r="AP38" s="81"/>
      <c r="AQ38" s="81"/>
      <c r="AR38" s="81"/>
      <c r="AS38" s="81"/>
      <c r="AT38" s="81"/>
      <c r="AU38" s="81"/>
      <c r="AV38" s="81"/>
      <c r="AW38" s="81"/>
      <c r="AX38" s="81"/>
      <c r="AY38" s="149"/>
    </row>
    <row r="39" spans="1:51">
      <c r="A39" s="147"/>
      <c r="B39" s="81"/>
      <c r="C39" s="81"/>
      <c r="D39" s="81"/>
      <c r="E39" s="81"/>
      <c r="F39" s="81"/>
      <c r="G39" s="81"/>
      <c r="H39" s="81"/>
      <c r="I39" s="81"/>
      <c r="J39" s="81"/>
      <c r="K39" s="81"/>
      <c r="L39" s="81"/>
      <c r="M39" s="81"/>
      <c r="N39" s="81"/>
      <c r="O39" s="81"/>
      <c r="P39" s="81"/>
      <c r="Q39" s="149"/>
      <c r="R39" s="147"/>
      <c r="S39" s="81"/>
      <c r="T39" s="81"/>
      <c r="U39" s="81"/>
      <c r="V39" s="81"/>
      <c r="W39" s="81"/>
      <c r="X39" s="81"/>
      <c r="Y39" s="81"/>
      <c r="Z39" s="81"/>
      <c r="AA39" s="81"/>
      <c r="AB39" s="81"/>
      <c r="AC39" s="81"/>
      <c r="AD39" s="81"/>
      <c r="AE39" s="81"/>
      <c r="AF39" s="81"/>
      <c r="AG39" s="81"/>
      <c r="AH39" s="149"/>
      <c r="AI39" s="147"/>
      <c r="AJ39" s="81"/>
      <c r="AK39" s="81"/>
      <c r="AL39" s="81"/>
      <c r="AM39" s="81"/>
      <c r="AN39" s="81"/>
      <c r="AO39" s="81"/>
      <c r="AP39" s="81"/>
      <c r="AQ39" s="81"/>
      <c r="AR39" s="81"/>
      <c r="AS39" s="81"/>
      <c r="AT39" s="81"/>
      <c r="AU39" s="81"/>
      <c r="AV39" s="81"/>
      <c r="AW39" s="81"/>
      <c r="AX39" s="81"/>
      <c r="AY39" s="149"/>
    </row>
    <row r="40" spans="1:51">
      <c r="A40" s="147"/>
      <c r="B40" s="81"/>
      <c r="C40" s="81"/>
      <c r="D40" s="81"/>
      <c r="E40" s="81"/>
      <c r="F40" s="81"/>
      <c r="G40" s="81"/>
      <c r="H40" s="81"/>
      <c r="I40" s="81"/>
      <c r="J40" s="81"/>
      <c r="K40" s="81"/>
      <c r="L40" s="81"/>
      <c r="M40" s="81"/>
      <c r="N40" s="81"/>
      <c r="O40" s="81"/>
      <c r="P40" s="81"/>
      <c r="Q40" s="149"/>
      <c r="R40" s="147"/>
      <c r="S40" s="81"/>
      <c r="T40" s="81"/>
      <c r="U40" s="81"/>
      <c r="V40" s="81"/>
      <c r="W40" s="81"/>
      <c r="X40" s="81"/>
      <c r="Y40" s="81"/>
      <c r="Z40" s="81"/>
      <c r="AA40" s="81"/>
      <c r="AB40" s="81"/>
      <c r="AC40" s="81"/>
      <c r="AD40" s="81"/>
      <c r="AE40" s="81"/>
      <c r="AF40" s="81"/>
      <c r="AG40" s="81"/>
      <c r="AH40" s="149"/>
      <c r="AI40" s="147"/>
      <c r="AJ40" s="81"/>
      <c r="AK40" s="81"/>
      <c r="AL40" s="81"/>
      <c r="AM40" s="81"/>
      <c r="AN40" s="81"/>
      <c r="AO40" s="81"/>
      <c r="AP40" s="81"/>
      <c r="AQ40" s="81"/>
      <c r="AR40" s="81"/>
      <c r="AS40" s="81"/>
      <c r="AT40" s="81"/>
      <c r="AU40" s="81"/>
      <c r="AV40" s="81"/>
      <c r="AW40" s="81"/>
      <c r="AX40" s="81"/>
      <c r="AY40" s="149"/>
    </row>
    <row r="41" spans="1:51">
      <c r="A41" s="147"/>
      <c r="B41" s="81"/>
      <c r="C41" s="81"/>
      <c r="D41" s="81"/>
      <c r="E41" s="81"/>
      <c r="F41" s="81"/>
      <c r="G41" s="81"/>
      <c r="H41" s="81"/>
      <c r="I41" s="81"/>
      <c r="J41" s="81"/>
      <c r="K41" s="81"/>
      <c r="L41" s="81"/>
      <c r="M41" s="81"/>
      <c r="N41" s="81"/>
      <c r="O41" s="81"/>
      <c r="P41" s="81"/>
      <c r="Q41" s="149"/>
      <c r="R41" s="147"/>
      <c r="S41" s="81"/>
      <c r="T41" s="81"/>
      <c r="U41" s="81"/>
      <c r="V41" s="81"/>
      <c r="W41" s="81"/>
      <c r="X41" s="81"/>
      <c r="Y41" s="81"/>
      <c r="Z41" s="81"/>
      <c r="AA41" s="81"/>
      <c r="AB41" s="81"/>
      <c r="AC41" s="81"/>
      <c r="AD41" s="81"/>
      <c r="AE41" s="81"/>
      <c r="AF41" s="81"/>
      <c r="AG41" s="81"/>
      <c r="AH41" s="149"/>
      <c r="AI41" s="147"/>
      <c r="AJ41" s="81"/>
      <c r="AK41" s="81"/>
      <c r="AL41" s="81"/>
      <c r="AM41" s="81"/>
      <c r="AN41" s="81"/>
      <c r="AO41" s="81"/>
      <c r="AP41" s="81"/>
      <c r="AQ41" s="81"/>
      <c r="AR41" s="81"/>
      <c r="AS41" s="81"/>
      <c r="AT41" s="81"/>
      <c r="AU41" s="81"/>
      <c r="AV41" s="81"/>
      <c r="AW41" s="81"/>
      <c r="AX41" s="81"/>
      <c r="AY41" s="149"/>
    </row>
    <row r="42" spans="1:51">
      <c r="A42" s="147"/>
      <c r="B42" s="81"/>
      <c r="C42" s="81"/>
      <c r="D42" s="81"/>
      <c r="E42" s="81"/>
      <c r="F42" s="81"/>
      <c r="G42" s="81"/>
      <c r="H42" s="81"/>
      <c r="I42" s="81"/>
      <c r="J42" s="81"/>
      <c r="K42" s="81"/>
      <c r="L42" s="81"/>
      <c r="M42" s="81"/>
      <c r="N42" s="81"/>
      <c r="O42" s="81"/>
      <c r="P42" s="81"/>
      <c r="Q42" s="149"/>
      <c r="R42" s="147"/>
      <c r="S42" s="81"/>
      <c r="T42" s="81"/>
      <c r="U42" s="81"/>
      <c r="V42" s="81"/>
      <c r="W42" s="81"/>
      <c r="X42" s="81"/>
      <c r="Y42" s="81"/>
      <c r="Z42" s="81"/>
      <c r="AA42" s="81"/>
      <c r="AB42" s="81"/>
      <c r="AC42" s="81"/>
      <c r="AD42" s="81"/>
      <c r="AE42" s="81"/>
      <c r="AF42" s="81"/>
      <c r="AG42" s="81"/>
      <c r="AH42" s="149"/>
      <c r="AI42" s="147"/>
      <c r="AJ42" s="81"/>
      <c r="AK42" s="81"/>
      <c r="AL42" s="81"/>
      <c r="AM42" s="81"/>
      <c r="AN42" s="81"/>
      <c r="AO42" s="81"/>
      <c r="AP42" s="81"/>
      <c r="AQ42" s="81"/>
      <c r="AR42" s="81"/>
      <c r="AS42" s="81"/>
      <c r="AT42" s="81"/>
      <c r="AU42" s="81"/>
      <c r="AV42" s="81"/>
      <c r="AW42" s="81"/>
      <c r="AX42" s="81"/>
      <c r="AY42" s="149"/>
    </row>
    <row r="43" spans="1:51">
      <c r="A43" s="147"/>
      <c r="B43" s="81"/>
      <c r="C43" s="81"/>
      <c r="D43" s="81"/>
      <c r="E43" s="81"/>
      <c r="F43" s="81"/>
      <c r="G43" s="81"/>
      <c r="H43" s="81"/>
      <c r="I43" s="81"/>
      <c r="J43" s="81"/>
      <c r="K43" s="81"/>
      <c r="L43" s="81"/>
      <c r="M43" s="81"/>
      <c r="N43" s="81"/>
      <c r="O43" s="81"/>
      <c r="P43" s="81"/>
      <c r="Q43" s="149"/>
      <c r="R43" s="147"/>
      <c r="S43" s="81"/>
      <c r="T43" s="81"/>
      <c r="U43" s="81"/>
      <c r="V43" s="81"/>
      <c r="W43" s="81"/>
      <c r="X43" s="81"/>
      <c r="Y43" s="81"/>
      <c r="Z43" s="81"/>
      <c r="AA43" s="81"/>
      <c r="AB43" s="81"/>
      <c r="AC43" s="81"/>
      <c r="AD43" s="81"/>
      <c r="AE43" s="81"/>
      <c r="AF43" s="81"/>
      <c r="AG43" s="81"/>
      <c r="AH43" s="149"/>
      <c r="AI43" s="147"/>
      <c r="AJ43" s="81"/>
      <c r="AK43" s="81"/>
      <c r="AL43" s="81"/>
      <c r="AM43" s="81"/>
      <c r="AN43" s="81"/>
      <c r="AO43" s="81"/>
      <c r="AP43" s="81"/>
      <c r="AQ43" s="81"/>
      <c r="AR43" s="81"/>
      <c r="AS43" s="81"/>
      <c r="AT43" s="81"/>
      <c r="AU43" s="81"/>
      <c r="AV43" s="81"/>
      <c r="AW43" s="81"/>
      <c r="AX43" s="81"/>
      <c r="AY43" s="149"/>
    </row>
    <row r="44" spans="1:51">
      <c r="A44" s="147"/>
      <c r="B44" s="81"/>
      <c r="C44" s="81"/>
      <c r="D44" s="81"/>
      <c r="E44" s="81"/>
      <c r="F44" s="81"/>
      <c r="G44" s="81"/>
      <c r="H44" s="81"/>
      <c r="I44" s="81"/>
      <c r="J44" s="81"/>
      <c r="K44" s="81"/>
      <c r="L44" s="81"/>
      <c r="M44" s="81"/>
      <c r="N44" s="81"/>
      <c r="O44" s="81"/>
      <c r="P44" s="81"/>
      <c r="Q44" s="149"/>
      <c r="R44" s="147"/>
      <c r="S44" s="81"/>
      <c r="T44" s="81"/>
      <c r="U44" s="81"/>
      <c r="V44" s="81"/>
      <c r="W44" s="81"/>
      <c r="X44" s="81"/>
      <c r="Y44" s="81"/>
      <c r="Z44" s="81"/>
      <c r="AA44" s="81"/>
      <c r="AB44" s="81"/>
      <c r="AC44" s="81"/>
      <c r="AD44" s="81"/>
      <c r="AE44" s="81"/>
      <c r="AF44" s="81"/>
      <c r="AG44" s="81"/>
      <c r="AH44" s="149"/>
      <c r="AI44" s="147"/>
      <c r="AJ44" s="81"/>
      <c r="AK44" s="81"/>
      <c r="AL44" s="81"/>
      <c r="AM44" s="81"/>
      <c r="AN44" s="81"/>
      <c r="AO44" s="81"/>
      <c r="AP44" s="81"/>
      <c r="AQ44" s="81"/>
      <c r="AR44" s="81"/>
      <c r="AS44" s="81"/>
      <c r="AT44" s="81"/>
      <c r="AU44" s="81"/>
      <c r="AV44" s="81"/>
      <c r="AW44" s="81"/>
      <c r="AX44" s="81"/>
      <c r="AY44" s="149"/>
    </row>
    <row r="45" spans="1:51">
      <c r="A45" s="147"/>
      <c r="B45" s="81"/>
      <c r="C45" s="81"/>
      <c r="D45" s="81"/>
      <c r="E45" s="81"/>
      <c r="F45" s="81"/>
      <c r="G45" s="81"/>
      <c r="H45" s="81"/>
      <c r="I45" s="81"/>
      <c r="J45" s="81"/>
      <c r="K45" s="81"/>
      <c r="L45" s="81"/>
      <c r="M45" s="81"/>
      <c r="N45" s="81"/>
      <c r="O45" s="81"/>
      <c r="P45" s="81"/>
      <c r="Q45" s="149"/>
      <c r="R45" s="147"/>
      <c r="S45" s="81"/>
      <c r="T45" s="81"/>
      <c r="U45" s="81"/>
      <c r="V45" s="81"/>
      <c r="W45" s="81"/>
      <c r="X45" s="81"/>
      <c r="Y45" s="81"/>
      <c r="Z45" s="81"/>
      <c r="AA45" s="81"/>
      <c r="AB45" s="81"/>
      <c r="AC45" s="81"/>
      <c r="AD45" s="81"/>
      <c r="AE45" s="81"/>
      <c r="AF45" s="81"/>
      <c r="AG45" s="81"/>
      <c r="AH45" s="149"/>
      <c r="AI45" s="147"/>
      <c r="AJ45" s="81"/>
      <c r="AK45" s="81"/>
      <c r="AL45" s="81"/>
      <c r="AM45" s="81"/>
      <c r="AN45" s="81"/>
      <c r="AO45" s="81"/>
      <c r="AP45" s="81"/>
      <c r="AQ45" s="81"/>
      <c r="AR45" s="81"/>
      <c r="AS45" s="81"/>
      <c r="AT45" s="81"/>
      <c r="AU45" s="81"/>
      <c r="AV45" s="81"/>
      <c r="AW45" s="81"/>
      <c r="AX45" s="81"/>
      <c r="AY45" s="149"/>
    </row>
    <row r="46" spans="1:51">
      <c r="A46" s="147"/>
      <c r="B46" s="81"/>
      <c r="C46" s="81"/>
      <c r="D46" s="81"/>
      <c r="E46" s="81"/>
      <c r="F46" s="81"/>
      <c r="G46" s="81"/>
      <c r="H46" s="81"/>
      <c r="I46" s="81"/>
      <c r="J46" s="81"/>
      <c r="K46" s="81"/>
      <c r="L46" s="81"/>
      <c r="M46" s="81"/>
      <c r="N46" s="81"/>
      <c r="O46" s="81"/>
      <c r="P46" s="81"/>
      <c r="Q46" s="149"/>
      <c r="R46" s="147"/>
      <c r="S46" s="81"/>
      <c r="T46" s="81"/>
      <c r="U46" s="81"/>
      <c r="V46" s="81"/>
      <c r="W46" s="81"/>
      <c r="X46" s="81"/>
      <c r="Y46" s="81"/>
      <c r="Z46" s="81"/>
      <c r="AA46" s="81"/>
      <c r="AB46" s="81"/>
      <c r="AC46" s="81"/>
      <c r="AD46" s="81"/>
      <c r="AE46" s="81"/>
      <c r="AF46" s="81"/>
      <c r="AG46" s="81"/>
      <c r="AH46" s="149"/>
      <c r="AI46" s="147"/>
      <c r="AJ46" s="81"/>
      <c r="AK46" s="81"/>
      <c r="AL46" s="81"/>
      <c r="AM46" s="81"/>
      <c r="AN46" s="81"/>
      <c r="AO46" s="81"/>
      <c r="AP46" s="81"/>
      <c r="AQ46" s="81"/>
      <c r="AR46" s="81"/>
      <c r="AS46" s="81"/>
      <c r="AT46" s="81"/>
      <c r="AU46" s="81"/>
      <c r="AV46" s="81"/>
      <c r="AW46" s="81"/>
      <c r="AX46" s="81"/>
      <c r="AY46" s="149"/>
    </row>
    <row r="47" spans="1:51">
      <c r="A47" s="147"/>
      <c r="B47" s="81"/>
      <c r="C47" s="81"/>
      <c r="D47" s="81"/>
      <c r="E47" s="81"/>
      <c r="F47" s="81"/>
      <c r="G47" s="81"/>
      <c r="H47" s="81"/>
      <c r="I47" s="81"/>
      <c r="J47" s="81"/>
      <c r="K47" s="81"/>
      <c r="L47" s="81"/>
      <c r="M47" s="81"/>
      <c r="N47" s="81"/>
      <c r="O47" s="81"/>
      <c r="P47" s="81"/>
      <c r="Q47" s="149"/>
      <c r="R47" s="147"/>
      <c r="S47" s="81"/>
      <c r="T47" s="81"/>
      <c r="U47" s="81"/>
      <c r="V47" s="81"/>
      <c r="W47" s="81"/>
      <c r="X47" s="81"/>
      <c r="Y47" s="81"/>
      <c r="Z47" s="81"/>
      <c r="AA47" s="81"/>
      <c r="AB47" s="81"/>
      <c r="AC47" s="81"/>
      <c r="AD47" s="81"/>
      <c r="AE47" s="81"/>
      <c r="AF47" s="81"/>
      <c r="AG47" s="81"/>
      <c r="AH47" s="149"/>
      <c r="AI47" s="147"/>
      <c r="AJ47" s="81"/>
      <c r="AK47" s="81"/>
      <c r="AL47" s="81"/>
      <c r="AM47" s="81"/>
      <c r="AN47" s="81"/>
      <c r="AO47" s="81"/>
      <c r="AP47" s="81"/>
      <c r="AQ47" s="81"/>
      <c r="AR47" s="81"/>
      <c r="AS47" s="81"/>
      <c r="AT47" s="81"/>
      <c r="AU47" s="81"/>
      <c r="AV47" s="81"/>
      <c r="AW47" s="81"/>
      <c r="AX47" s="81"/>
      <c r="AY47" s="149"/>
    </row>
    <row r="48" spans="1:51">
      <c r="A48" s="147"/>
      <c r="B48" s="81"/>
      <c r="C48" s="81"/>
      <c r="D48" s="81"/>
      <c r="E48" s="81"/>
      <c r="F48" s="81"/>
      <c r="G48" s="81"/>
      <c r="H48" s="81"/>
      <c r="I48" s="81"/>
      <c r="J48" s="81"/>
      <c r="K48" s="81"/>
      <c r="L48" s="81"/>
      <c r="M48" s="81"/>
      <c r="N48" s="81"/>
      <c r="O48" s="81"/>
      <c r="P48" s="81"/>
      <c r="Q48" s="149"/>
      <c r="R48" s="147"/>
      <c r="S48" s="81"/>
      <c r="T48" s="81"/>
      <c r="U48" s="81"/>
      <c r="V48" s="81"/>
      <c r="W48" s="81"/>
      <c r="X48" s="81"/>
      <c r="Y48" s="81"/>
      <c r="Z48" s="81"/>
      <c r="AA48" s="81"/>
      <c r="AB48" s="81"/>
      <c r="AC48" s="81"/>
      <c r="AD48" s="81"/>
      <c r="AE48" s="81"/>
      <c r="AF48" s="81"/>
      <c r="AG48" s="81"/>
      <c r="AH48" s="149"/>
      <c r="AI48" s="147"/>
      <c r="AJ48" s="81"/>
      <c r="AK48" s="81"/>
      <c r="AL48" s="81"/>
      <c r="AM48" s="81"/>
      <c r="AN48" s="81"/>
      <c r="AO48" s="81"/>
      <c r="AP48" s="81"/>
      <c r="AQ48" s="81"/>
      <c r="AR48" s="81"/>
      <c r="AS48" s="81"/>
      <c r="AT48" s="81"/>
      <c r="AU48" s="81"/>
      <c r="AV48" s="81"/>
      <c r="AW48" s="81"/>
      <c r="AX48" s="81"/>
      <c r="AY48" s="149"/>
    </row>
    <row r="49" spans="1:51">
      <c r="A49" s="147"/>
      <c r="B49" s="81"/>
      <c r="C49" s="81"/>
      <c r="D49" s="81"/>
      <c r="E49" s="81"/>
      <c r="F49" s="81"/>
      <c r="G49" s="81"/>
      <c r="H49" s="81"/>
      <c r="I49" s="81"/>
      <c r="J49" s="81"/>
      <c r="K49" s="81"/>
      <c r="L49" s="81"/>
      <c r="M49" s="81"/>
      <c r="N49" s="81"/>
      <c r="O49" s="81"/>
      <c r="P49" s="81"/>
      <c r="Q49" s="149"/>
      <c r="R49" s="147"/>
      <c r="S49" s="81"/>
      <c r="T49" s="81"/>
      <c r="U49" s="81"/>
      <c r="V49" s="81"/>
      <c r="W49" s="81"/>
      <c r="X49" s="81"/>
      <c r="Y49" s="81"/>
      <c r="Z49" s="81"/>
      <c r="AA49" s="81"/>
      <c r="AB49" s="81"/>
      <c r="AC49" s="81"/>
      <c r="AD49" s="81"/>
      <c r="AE49" s="81"/>
      <c r="AF49" s="81"/>
      <c r="AG49" s="81"/>
      <c r="AH49" s="149"/>
      <c r="AI49" s="147"/>
      <c r="AJ49" s="81"/>
      <c r="AK49" s="81"/>
      <c r="AL49" s="81"/>
      <c r="AM49" s="81"/>
      <c r="AN49" s="81"/>
      <c r="AO49" s="81"/>
      <c r="AP49" s="81"/>
      <c r="AQ49" s="81"/>
      <c r="AR49" s="81"/>
      <c r="AS49" s="81"/>
      <c r="AT49" s="81"/>
      <c r="AU49" s="81"/>
      <c r="AV49" s="81"/>
      <c r="AW49" s="81"/>
      <c r="AX49" s="81"/>
      <c r="AY49" s="149"/>
    </row>
    <row r="50" spans="1:51">
      <c r="A50" s="147"/>
      <c r="B50" s="81"/>
      <c r="C50" s="81"/>
      <c r="D50" s="81"/>
      <c r="E50" s="81"/>
      <c r="F50" s="81"/>
      <c r="G50" s="81"/>
      <c r="H50" s="81"/>
      <c r="I50" s="81"/>
      <c r="J50" s="81"/>
      <c r="K50" s="81"/>
      <c r="L50" s="81"/>
      <c r="M50" s="81"/>
      <c r="N50" s="81"/>
      <c r="O50" s="81"/>
      <c r="P50" s="81"/>
      <c r="Q50" s="149"/>
      <c r="R50" s="147"/>
      <c r="S50" s="81"/>
      <c r="T50" s="81"/>
      <c r="U50" s="81"/>
      <c r="V50" s="81"/>
      <c r="W50" s="81"/>
      <c r="X50" s="81"/>
      <c r="Y50" s="81"/>
      <c r="Z50" s="81"/>
      <c r="AA50" s="81"/>
      <c r="AB50" s="81"/>
      <c r="AC50" s="81"/>
      <c r="AD50" s="81"/>
      <c r="AE50" s="81"/>
      <c r="AF50" s="81"/>
      <c r="AG50" s="81"/>
      <c r="AH50" s="149"/>
      <c r="AI50" s="147"/>
      <c r="AJ50" s="81"/>
      <c r="AK50" s="81"/>
      <c r="AL50" s="81"/>
      <c r="AM50" s="81"/>
      <c r="AN50" s="81"/>
      <c r="AO50" s="81"/>
      <c r="AP50" s="81"/>
      <c r="AQ50" s="81"/>
      <c r="AR50" s="81"/>
      <c r="AS50" s="81"/>
      <c r="AT50" s="81"/>
      <c r="AU50" s="81"/>
      <c r="AV50" s="81"/>
      <c r="AW50" s="81"/>
      <c r="AX50" s="81"/>
      <c r="AY50" s="149"/>
    </row>
    <row r="51" spans="1:51">
      <c r="A51" s="147"/>
      <c r="B51" s="81"/>
      <c r="C51" s="81"/>
      <c r="D51" s="81"/>
      <c r="E51" s="81"/>
      <c r="F51" s="81"/>
      <c r="G51" s="81"/>
      <c r="H51" s="81"/>
      <c r="I51" s="81"/>
      <c r="J51" s="81"/>
      <c r="K51" s="81"/>
      <c r="L51" s="81"/>
      <c r="M51" s="81"/>
      <c r="N51" s="81"/>
      <c r="O51" s="81"/>
      <c r="P51" s="81"/>
      <c r="Q51" s="149"/>
      <c r="R51" s="147"/>
      <c r="S51" s="81"/>
      <c r="T51" s="81"/>
      <c r="U51" s="81"/>
      <c r="V51" s="81"/>
      <c r="W51" s="81"/>
      <c r="X51" s="81"/>
      <c r="Y51" s="81"/>
      <c r="Z51" s="81"/>
      <c r="AA51" s="81"/>
      <c r="AB51" s="81"/>
      <c r="AC51" s="81"/>
      <c r="AD51" s="81"/>
      <c r="AE51" s="81"/>
      <c r="AF51" s="81"/>
      <c r="AG51" s="81"/>
      <c r="AH51" s="149"/>
      <c r="AI51" s="147"/>
      <c r="AJ51" s="81"/>
      <c r="AK51" s="81"/>
      <c r="AL51" s="81"/>
      <c r="AM51" s="81"/>
      <c r="AN51" s="81"/>
      <c r="AO51" s="81"/>
      <c r="AP51" s="81"/>
      <c r="AQ51" s="81"/>
      <c r="AR51" s="81"/>
      <c r="AS51" s="81"/>
      <c r="AT51" s="81"/>
      <c r="AU51" s="81"/>
      <c r="AV51" s="81"/>
      <c r="AW51" s="81"/>
      <c r="AX51" s="81"/>
      <c r="AY51" s="149"/>
    </row>
    <row r="52" spans="1:51">
      <c r="A52" s="147"/>
      <c r="B52" s="81"/>
      <c r="C52" s="81"/>
      <c r="D52" s="81"/>
      <c r="E52" s="81"/>
      <c r="F52" s="81"/>
      <c r="G52" s="81"/>
      <c r="H52" s="81"/>
      <c r="I52" s="81"/>
      <c r="J52" s="81"/>
      <c r="K52" s="81"/>
      <c r="L52" s="81"/>
      <c r="M52" s="81"/>
      <c r="N52" s="81"/>
      <c r="O52" s="81"/>
      <c r="P52" s="81"/>
      <c r="Q52" s="149"/>
      <c r="R52" s="147"/>
      <c r="S52" s="81"/>
      <c r="T52" s="81"/>
      <c r="U52" s="81"/>
      <c r="V52" s="81"/>
      <c r="W52" s="81"/>
      <c r="X52" s="81"/>
      <c r="Y52" s="81"/>
      <c r="Z52" s="81"/>
      <c r="AA52" s="81"/>
      <c r="AB52" s="81"/>
      <c r="AC52" s="81"/>
      <c r="AD52" s="81"/>
      <c r="AE52" s="81"/>
      <c r="AF52" s="81"/>
      <c r="AG52" s="81"/>
      <c r="AH52" s="149"/>
      <c r="AI52" s="147"/>
      <c r="AJ52" s="81"/>
      <c r="AK52" s="81"/>
      <c r="AL52" s="81"/>
      <c r="AM52" s="81"/>
      <c r="AN52" s="81"/>
      <c r="AO52" s="81"/>
      <c r="AP52" s="81"/>
      <c r="AQ52" s="81"/>
      <c r="AR52" s="81"/>
      <c r="AS52" s="81"/>
      <c r="AT52" s="81"/>
      <c r="AU52" s="81"/>
      <c r="AV52" s="81"/>
      <c r="AW52" s="81"/>
      <c r="AX52" s="81"/>
      <c r="AY52" s="149"/>
    </row>
    <row r="53" spans="1:51">
      <c r="A53" s="147"/>
      <c r="B53" s="81"/>
      <c r="C53" s="81"/>
      <c r="D53" s="81"/>
      <c r="E53" s="81"/>
      <c r="F53" s="81"/>
      <c r="G53" s="81"/>
      <c r="H53" s="81"/>
      <c r="I53" s="81"/>
      <c r="J53" s="81"/>
      <c r="K53" s="81"/>
      <c r="L53" s="81"/>
      <c r="M53" s="81"/>
      <c r="N53" s="81"/>
      <c r="O53" s="81"/>
      <c r="P53" s="81"/>
      <c r="Q53" s="149"/>
      <c r="R53" s="147"/>
      <c r="S53" s="81"/>
      <c r="T53" s="81"/>
      <c r="U53" s="81"/>
      <c r="V53" s="81"/>
      <c r="W53" s="81"/>
      <c r="X53" s="81"/>
      <c r="Y53" s="81"/>
      <c r="Z53" s="81"/>
      <c r="AA53" s="81"/>
      <c r="AB53" s="81"/>
      <c r="AC53" s="81"/>
      <c r="AD53" s="81"/>
      <c r="AE53" s="81"/>
      <c r="AF53" s="81"/>
      <c r="AG53" s="81"/>
      <c r="AH53" s="149"/>
      <c r="AI53" s="147"/>
      <c r="AJ53" s="81"/>
      <c r="AK53" s="81"/>
      <c r="AL53" s="81"/>
      <c r="AM53" s="81"/>
      <c r="AN53" s="81"/>
      <c r="AO53" s="81"/>
      <c r="AP53" s="81"/>
      <c r="AQ53" s="81"/>
      <c r="AR53" s="81"/>
      <c r="AS53" s="81"/>
      <c r="AT53" s="81"/>
      <c r="AU53" s="81"/>
      <c r="AV53" s="81"/>
      <c r="AW53" s="81"/>
      <c r="AX53" s="81"/>
      <c r="AY53" s="149"/>
    </row>
    <row r="54" spans="1:51">
      <c r="A54" s="147"/>
      <c r="B54" s="81"/>
      <c r="C54" s="81"/>
      <c r="D54" s="81"/>
      <c r="E54" s="81"/>
      <c r="F54" s="81"/>
      <c r="G54" s="81"/>
      <c r="H54" s="81"/>
      <c r="I54" s="81"/>
      <c r="J54" s="81"/>
      <c r="K54" s="81"/>
      <c r="L54" s="81"/>
      <c r="M54" s="81"/>
      <c r="N54" s="81"/>
      <c r="O54" s="81"/>
      <c r="P54" s="81"/>
      <c r="Q54" s="149"/>
      <c r="R54" s="147"/>
      <c r="S54" s="81"/>
      <c r="T54" s="81"/>
      <c r="U54" s="81"/>
      <c r="V54" s="81"/>
      <c r="W54" s="81"/>
      <c r="X54" s="81"/>
      <c r="Y54" s="81"/>
      <c r="Z54" s="81"/>
      <c r="AA54" s="81"/>
      <c r="AB54" s="81"/>
      <c r="AC54" s="81"/>
      <c r="AD54" s="81"/>
      <c r="AE54" s="81"/>
      <c r="AF54" s="81"/>
      <c r="AG54" s="81"/>
      <c r="AH54" s="149"/>
      <c r="AI54" s="147"/>
      <c r="AJ54" s="81"/>
      <c r="AK54" s="81"/>
      <c r="AL54" s="81"/>
      <c r="AM54" s="81"/>
      <c r="AN54" s="81"/>
      <c r="AO54" s="81"/>
      <c r="AP54" s="81"/>
      <c r="AQ54" s="81"/>
      <c r="AR54" s="81"/>
      <c r="AS54" s="81"/>
      <c r="AT54" s="81"/>
      <c r="AU54" s="81"/>
      <c r="AV54" s="81"/>
      <c r="AW54" s="81"/>
      <c r="AX54" s="81"/>
      <c r="AY54" s="149"/>
    </row>
    <row r="55" spans="1:51">
      <c r="A55" s="147"/>
      <c r="B55" s="81"/>
      <c r="C55" s="81"/>
      <c r="D55" s="81"/>
      <c r="E55" s="81"/>
      <c r="F55" s="81"/>
      <c r="G55" s="81"/>
      <c r="H55" s="81"/>
      <c r="I55" s="81"/>
      <c r="J55" s="81"/>
      <c r="K55" s="81"/>
      <c r="L55" s="81"/>
      <c r="M55" s="81"/>
      <c r="N55" s="81"/>
      <c r="O55" s="81"/>
      <c r="P55" s="81"/>
      <c r="Q55" s="149"/>
      <c r="R55" s="147"/>
      <c r="S55" s="81"/>
      <c r="T55" s="81"/>
      <c r="U55" s="81"/>
      <c r="V55" s="81"/>
      <c r="W55" s="81"/>
      <c r="X55" s="81"/>
      <c r="Y55" s="81"/>
      <c r="Z55" s="81"/>
      <c r="AA55" s="81"/>
      <c r="AB55" s="81"/>
      <c r="AC55" s="81"/>
      <c r="AD55" s="81"/>
      <c r="AE55" s="81"/>
      <c r="AF55" s="81"/>
      <c r="AG55" s="81"/>
      <c r="AH55" s="149"/>
      <c r="AI55" s="147"/>
      <c r="AJ55" s="81"/>
      <c r="AK55" s="81"/>
      <c r="AL55" s="81"/>
      <c r="AM55" s="81"/>
      <c r="AN55" s="81"/>
      <c r="AO55" s="81"/>
      <c r="AP55" s="81"/>
      <c r="AQ55" s="81"/>
      <c r="AR55" s="81"/>
      <c r="AS55" s="81"/>
      <c r="AT55" s="81"/>
      <c r="AU55" s="81"/>
      <c r="AV55" s="81"/>
      <c r="AW55" s="81"/>
      <c r="AX55" s="81"/>
      <c r="AY55" s="149"/>
    </row>
    <row r="56" spans="1:51">
      <c r="A56" s="147"/>
      <c r="B56" s="81"/>
      <c r="C56" s="81"/>
      <c r="D56" s="81"/>
      <c r="E56" s="81"/>
      <c r="F56" s="81"/>
      <c r="G56" s="81"/>
      <c r="H56" s="81"/>
      <c r="I56" s="81"/>
      <c r="J56" s="81"/>
      <c r="K56" s="81"/>
      <c r="L56" s="81"/>
      <c r="M56" s="81"/>
      <c r="N56" s="81"/>
      <c r="O56" s="81"/>
      <c r="P56" s="81"/>
      <c r="Q56" s="149"/>
      <c r="R56" s="147"/>
      <c r="S56" s="81"/>
      <c r="T56" s="81"/>
      <c r="U56" s="81"/>
      <c r="V56" s="81"/>
      <c r="W56" s="81"/>
      <c r="X56" s="81"/>
      <c r="Y56" s="81"/>
      <c r="Z56" s="81"/>
      <c r="AA56" s="81"/>
      <c r="AB56" s="81"/>
      <c r="AC56" s="81"/>
      <c r="AD56" s="81"/>
      <c r="AE56" s="81"/>
      <c r="AF56" s="81"/>
      <c r="AG56" s="81"/>
      <c r="AH56" s="149"/>
      <c r="AI56" s="147"/>
      <c r="AJ56" s="81"/>
      <c r="AK56" s="81"/>
      <c r="AL56" s="81"/>
      <c r="AM56" s="81"/>
      <c r="AN56" s="81"/>
      <c r="AO56" s="81"/>
      <c r="AP56" s="81"/>
      <c r="AQ56" s="81"/>
      <c r="AR56" s="81"/>
      <c r="AS56" s="81"/>
      <c r="AT56" s="81"/>
      <c r="AU56" s="81"/>
      <c r="AV56" s="81"/>
      <c r="AW56" s="81"/>
      <c r="AX56" s="81"/>
      <c r="AY56" s="149"/>
    </row>
    <row r="57" spans="1:51">
      <c r="A57" s="147"/>
      <c r="B57" s="81"/>
      <c r="C57" s="81"/>
      <c r="D57" s="81"/>
      <c r="E57" s="81"/>
      <c r="F57" s="81"/>
      <c r="G57" s="81"/>
      <c r="H57" s="81"/>
      <c r="I57" s="81"/>
      <c r="J57" s="81"/>
      <c r="K57" s="81"/>
      <c r="L57" s="81"/>
      <c r="M57" s="81"/>
      <c r="N57" s="81"/>
      <c r="O57" s="81"/>
      <c r="P57" s="81"/>
      <c r="Q57" s="149"/>
      <c r="R57" s="147"/>
      <c r="S57" s="81"/>
      <c r="T57" s="81"/>
      <c r="U57" s="81"/>
      <c r="V57" s="81"/>
      <c r="W57" s="81"/>
      <c r="X57" s="81"/>
      <c r="Y57" s="81"/>
      <c r="Z57" s="81"/>
      <c r="AA57" s="81"/>
      <c r="AB57" s="81"/>
      <c r="AC57" s="81"/>
      <c r="AD57" s="81"/>
      <c r="AE57" s="81"/>
      <c r="AF57" s="81"/>
      <c r="AG57" s="81"/>
      <c r="AH57" s="149"/>
      <c r="AI57" s="147"/>
      <c r="AJ57" s="81"/>
      <c r="AK57" s="81"/>
      <c r="AL57" s="81"/>
      <c r="AM57" s="81"/>
      <c r="AN57" s="81"/>
      <c r="AO57" s="81"/>
      <c r="AP57" s="81"/>
      <c r="AQ57" s="81"/>
      <c r="AR57" s="81"/>
      <c r="AS57" s="81"/>
      <c r="AT57" s="81"/>
      <c r="AU57" s="81"/>
      <c r="AV57" s="81"/>
      <c r="AW57" s="81"/>
      <c r="AX57" s="81"/>
      <c r="AY57" s="149"/>
    </row>
    <row r="58" spans="1:51">
      <c r="A58" s="360"/>
      <c r="B58" s="361"/>
      <c r="C58" s="361"/>
      <c r="D58" s="361"/>
      <c r="E58" s="361"/>
      <c r="F58" s="361"/>
      <c r="G58" s="361"/>
      <c r="H58" s="361"/>
      <c r="I58" s="361"/>
      <c r="J58" s="361"/>
      <c r="K58" s="361"/>
      <c r="L58" s="361"/>
      <c r="M58" s="361"/>
      <c r="N58" s="361"/>
      <c r="O58" s="361"/>
      <c r="P58" s="361"/>
      <c r="Q58" s="362"/>
      <c r="R58" s="360"/>
      <c r="S58" s="361"/>
      <c r="T58" s="361"/>
      <c r="U58" s="361"/>
      <c r="V58" s="361"/>
      <c r="W58" s="361"/>
      <c r="X58" s="361"/>
      <c r="Y58" s="361"/>
      <c r="Z58" s="361"/>
      <c r="AA58" s="361"/>
      <c r="AB58" s="361"/>
      <c r="AC58" s="361"/>
      <c r="AD58" s="361"/>
      <c r="AE58" s="361"/>
      <c r="AF58" s="361"/>
      <c r="AG58" s="361"/>
      <c r="AH58" s="362"/>
      <c r="AI58" s="360"/>
      <c r="AJ58" s="361"/>
      <c r="AK58" s="361"/>
      <c r="AL58" s="361"/>
      <c r="AM58" s="361"/>
      <c r="AN58" s="361"/>
      <c r="AO58" s="361"/>
      <c r="AP58" s="361"/>
      <c r="AQ58" s="361"/>
      <c r="AR58" s="361"/>
      <c r="AS58" s="361"/>
      <c r="AT58" s="361"/>
      <c r="AU58" s="361"/>
      <c r="AV58" s="361"/>
      <c r="AW58" s="361"/>
      <c r="AX58" s="361"/>
      <c r="AY58" s="362"/>
    </row>
    <row r="59" spans="1:51">
      <c r="A59" s="146"/>
      <c r="B59" s="108"/>
      <c r="C59" s="108"/>
      <c r="D59" s="108"/>
      <c r="E59" s="108"/>
      <c r="F59" s="108"/>
      <c r="G59" s="108"/>
      <c r="H59" s="108"/>
      <c r="I59" s="108"/>
      <c r="J59" s="108"/>
      <c r="K59" s="108"/>
      <c r="L59" s="108"/>
      <c r="M59" s="108"/>
      <c r="N59" s="108"/>
      <c r="O59" s="108"/>
      <c r="P59" s="108"/>
      <c r="Q59" s="359"/>
      <c r="R59" s="146"/>
      <c r="S59" s="108"/>
      <c r="T59" s="108"/>
      <c r="U59" s="108"/>
      <c r="V59" s="108"/>
      <c r="W59" s="108"/>
      <c r="X59" s="108"/>
      <c r="Y59" s="108"/>
      <c r="Z59" s="108"/>
      <c r="AA59" s="108"/>
      <c r="AB59" s="108"/>
      <c r="AC59" s="108"/>
      <c r="AD59" s="108"/>
      <c r="AE59" s="108"/>
      <c r="AF59" s="108"/>
      <c r="AG59" s="108"/>
      <c r="AH59" s="359"/>
      <c r="AI59" s="146"/>
      <c r="AJ59" s="108"/>
      <c r="AK59" s="108"/>
      <c r="AL59" s="108"/>
      <c r="AM59" s="108"/>
      <c r="AN59" s="108"/>
      <c r="AO59" s="108"/>
      <c r="AP59" s="108"/>
      <c r="AQ59" s="108"/>
      <c r="AR59" s="108"/>
      <c r="AS59" s="108"/>
      <c r="AT59" s="108"/>
      <c r="AU59" s="108"/>
      <c r="AV59" s="108"/>
      <c r="AW59" s="108"/>
      <c r="AX59" s="108"/>
      <c r="AY59" s="359"/>
    </row>
    <row r="60" spans="1:51">
      <c r="A60" s="147"/>
      <c r="B60" s="81"/>
      <c r="C60" s="81"/>
      <c r="D60" s="81"/>
      <c r="E60" s="81"/>
      <c r="F60" s="81"/>
      <c r="G60" s="81"/>
      <c r="H60" s="81"/>
      <c r="I60" s="81"/>
      <c r="J60" s="81"/>
      <c r="K60" s="81"/>
      <c r="L60" s="81"/>
      <c r="M60" s="81"/>
      <c r="N60" s="81"/>
      <c r="O60" s="81"/>
      <c r="P60" s="81"/>
      <c r="Q60" s="149"/>
      <c r="R60" s="147"/>
      <c r="S60" s="81"/>
      <c r="T60" s="81"/>
      <c r="U60" s="81"/>
      <c r="V60" s="81"/>
      <c r="W60" s="81"/>
      <c r="X60" s="81"/>
      <c r="Y60" s="81"/>
      <c r="Z60" s="81"/>
      <c r="AA60" s="81"/>
      <c r="AB60" s="81"/>
      <c r="AC60" s="81"/>
      <c r="AD60" s="81"/>
      <c r="AE60" s="81"/>
      <c r="AF60" s="81"/>
      <c r="AG60" s="81"/>
      <c r="AH60" s="149"/>
      <c r="AI60" s="147"/>
      <c r="AJ60" s="81"/>
      <c r="AK60" s="81"/>
      <c r="AL60" s="81"/>
      <c r="AM60" s="81"/>
      <c r="AN60" s="81"/>
      <c r="AO60" s="81"/>
      <c r="AP60" s="81"/>
      <c r="AQ60" s="81"/>
      <c r="AR60" s="81"/>
      <c r="AS60" s="81"/>
      <c r="AT60" s="81"/>
      <c r="AU60" s="81"/>
      <c r="AV60" s="81"/>
      <c r="AW60" s="81"/>
      <c r="AX60" s="81"/>
      <c r="AY60" s="149"/>
    </row>
    <row r="61" spans="1:51">
      <c r="A61" s="147"/>
      <c r="B61" s="81"/>
      <c r="C61" s="81"/>
      <c r="D61" s="81"/>
      <c r="E61" s="81"/>
      <c r="F61" s="81"/>
      <c r="G61" s="81"/>
      <c r="H61" s="81"/>
      <c r="I61" s="81"/>
      <c r="J61" s="81"/>
      <c r="K61" s="81"/>
      <c r="L61" s="81"/>
      <c r="M61" s="81"/>
      <c r="N61" s="81"/>
      <c r="O61" s="81"/>
      <c r="P61" s="81"/>
      <c r="Q61" s="149"/>
      <c r="R61" s="147"/>
      <c r="S61" s="81"/>
      <c r="T61" s="81"/>
      <c r="U61" s="81"/>
      <c r="V61" s="81"/>
      <c r="W61" s="81"/>
      <c r="X61" s="81"/>
      <c r="Y61" s="81"/>
      <c r="Z61" s="81"/>
      <c r="AA61" s="81"/>
      <c r="AB61" s="81"/>
      <c r="AC61" s="81"/>
      <c r="AD61" s="81"/>
      <c r="AE61" s="81"/>
      <c r="AF61" s="81"/>
      <c r="AG61" s="81"/>
      <c r="AH61" s="149"/>
      <c r="AI61" s="147"/>
      <c r="AJ61" s="81"/>
      <c r="AK61" s="81"/>
      <c r="AL61" s="81"/>
      <c r="AM61" s="81"/>
      <c r="AN61" s="81"/>
      <c r="AO61" s="81"/>
      <c r="AP61" s="81"/>
      <c r="AQ61" s="81"/>
      <c r="AR61" s="81"/>
      <c r="AS61" s="81"/>
      <c r="AT61" s="81"/>
      <c r="AU61" s="81"/>
      <c r="AV61" s="81"/>
      <c r="AW61" s="81"/>
      <c r="AX61" s="81"/>
      <c r="AY61" s="149"/>
    </row>
    <row r="62" spans="1:51">
      <c r="A62" s="147"/>
      <c r="B62" s="81"/>
      <c r="C62" s="81"/>
      <c r="D62" s="81"/>
      <c r="E62" s="81"/>
      <c r="F62" s="81"/>
      <c r="G62" s="81"/>
      <c r="H62" s="81"/>
      <c r="I62" s="81"/>
      <c r="J62" s="81"/>
      <c r="K62" s="81"/>
      <c r="L62" s="81"/>
      <c r="M62" s="81"/>
      <c r="N62" s="81"/>
      <c r="O62" s="81"/>
      <c r="P62" s="81"/>
      <c r="Q62" s="149"/>
      <c r="R62" s="147"/>
      <c r="S62" s="81"/>
      <c r="T62" s="81"/>
      <c r="U62" s="81"/>
      <c r="V62" s="81"/>
      <c r="W62" s="81"/>
      <c r="X62" s="81"/>
      <c r="Y62" s="81"/>
      <c r="Z62" s="81"/>
      <c r="AA62" s="81"/>
      <c r="AB62" s="81"/>
      <c r="AC62" s="81"/>
      <c r="AD62" s="81"/>
      <c r="AE62" s="81"/>
      <c r="AF62" s="81"/>
      <c r="AG62" s="81"/>
      <c r="AH62" s="149"/>
      <c r="AI62" s="147"/>
      <c r="AJ62" s="81"/>
      <c r="AK62" s="81"/>
      <c r="AL62" s="81"/>
      <c r="AM62" s="81"/>
      <c r="AN62" s="81"/>
      <c r="AO62" s="81"/>
      <c r="AP62" s="81"/>
      <c r="AQ62" s="81"/>
      <c r="AR62" s="81"/>
      <c r="AS62" s="81"/>
      <c r="AT62" s="81"/>
      <c r="AU62" s="81"/>
      <c r="AV62" s="81"/>
      <c r="AW62" s="81"/>
      <c r="AX62" s="81"/>
      <c r="AY62" s="149"/>
    </row>
    <row r="63" spans="1:51">
      <c r="A63" s="147"/>
      <c r="B63" s="81"/>
      <c r="C63" s="81"/>
      <c r="D63" s="81"/>
      <c r="E63" s="81"/>
      <c r="F63" s="81"/>
      <c r="G63" s="81"/>
      <c r="H63" s="81"/>
      <c r="I63" s="81"/>
      <c r="J63" s="81"/>
      <c r="K63" s="81"/>
      <c r="L63" s="81"/>
      <c r="M63" s="81"/>
      <c r="N63" s="81"/>
      <c r="O63" s="81"/>
      <c r="P63" s="81"/>
      <c r="Q63" s="149"/>
      <c r="R63" s="147"/>
      <c r="S63" s="81"/>
      <c r="T63" s="81"/>
      <c r="U63" s="81"/>
      <c r="V63" s="81"/>
      <c r="W63" s="81"/>
      <c r="X63" s="81"/>
      <c r="Y63" s="81"/>
      <c r="Z63" s="81"/>
      <c r="AA63" s="81"/>
      <c r="AB63" s="81"/>
      <c r="AC63" s="81"/>
      <c r="AD63" s="81"/>
      <c r="AE63" s="81"/>
      <c r="AF63" s="81"/>
      <c r="AG63" s="81"/>
      <c r="AH63" s="149"/>
      <c r="AI63" s="147"/>
      <c r="AJ63" s="81"/>
      <c r="AK63" s="81"/>
      <c r="AL63" s="81"/>
      <c r="AM63" s="81"/>
      <c r="AN63" s="81"/>
      <c r="AO63" s="81"/>
      <c r="AP63" s="81"/>
      <c r="AQ63" s="81"/>
      <c r="AR63" s="81"/>
      <c r="AS63" s="81"/>
      <c r="AT63" s="81"/>
      <c r="AU63" s="81"/>
      <c r="AV63" s="81"/>
      <c r="AW63" s="81"/>
      <c r="AX63" s="81"/>
      <c r="AY63" s="149"/>
    </row>
    <row r="64" spans="1:51">
      <c r="A64" s="147"/>
      <c r="B64" s="81"/>
      <c r="C64" s="81"/>
      <c r="D64" s="81"/>
      <c r="E64" s="81"/>
      <c r="F64" s="81"/>
      <c r="G64" s="81"/>
      <c r="H64" s="81"/>
      <c r="I64" s="81"/>
      <c r="J64" s="81"/>
      <c r="K64" s="81"/>
      <c r="L64" s="81"/>
      <c r="M64" s="81"/>
      <c r="N64" s="81"/>
      <c r="O64" s="81"/>
      <c r="P64" s="81"/>
      <c r="Q64" s="149"/>
      <c r="R64" s="147"/>
      <c r="S64" s="81"/>
      <c r="T64" s="81"/>
      <c r="U64" s="81"/>
      <c r="V64" s="81"/>
      <c r="W64" s="81"/>
      <c r="X64" s="81"/>
      <c r="Y64" s="81"/>
      <c r="Z64" s="81"/>
      <c r="AA64" s="81"/>
      <c r="AB64" s="81"/>
      <c r="AC64" s="81"/>
      <c r="AD64" s="81"/>
      <c r="AE64" s="81"/>
      <c r="AF64" s="81"/>
      <c r="AG64" s="81"/>
      <c r="AH64" s="149"/>
      <c r="AI64" s="147"/>
      <c r="AJ64" s="81"/>
      <c r="AK64" s="81"/>
      <c r="AL64" s="81"/>
      <c r="AM64" s="81"/>
      <c r="AN64" s="81"/>
      <c r="AO64" s="81"/>
      <c r="AP64" s="81"/>
      <c r="AQ64" s="81"/>
      <c r="AR64" s="81"/>
      <c r="AS64" s="81"/>
      <c r="AT64" s="81"/>
      <c r="AU64" s="81"/>
      <c r="AV64" s="81"/>
      <c r="AW64" s="81"/>
      <c r="AX64" s="81"/>
      <c r="AY64" s="149"/>
    </row>
    <row r="65" spans="1:51">
      <c r="A65" s="147"/>
      <c r="B65" s="81"/>
      <c r="C65" s="81"/>
      <c r="D65" s="81"/>
      <c r="E65" s="81"/>
      <c r="F65" s="81"/>
      <c r="G65" s="81"/>
      <c r="H65" s="81"/>
      <c r="I65" s="81"/>
      <c r="J65" s="81"/>
      <c r="K65" s="81"/>
      <c r="L65" s="81"/>
      <c r="M65" s="81"/>
      <c r="N65" s="81"/>
      <c r="O65" s="81"/>
      <c r="P65" s="81"/>
      <c r="Q65" s="149"/>
      <c r="R65" s="147"/>
      <c r="S65" s="81"/>
      <c r="T65" s="81"/>
      <c r="U65" s="81"/>
      <c r="V65" s="81"/>
      <c r="W65" s="81"/>
      <c r="X65" s="81"/>
      <c r="Y65" s="81"/>
      <c r="Z65" s="81"/>
      <c r="AA65" s="81"/>
      <c r="AB65" s="81"/>
      <c r="AC65" s="81"/>
      <c r="AD65" s="81"/>
      <c r="AE65" s="81"/>
      <c r="AF65" s="81"/>
      <c r="AG65" s="81"/>
      <c r="AH65" s="149"/>
      <c r="AI65" s="147"/>
      <c r="AJ65" s="81"/>
      <c r="AK65" s="81"/>
      <c r="AL65" s="81"/>
      <c r="AM65" s="81"/>
      <c r="AN65" s="81"/>
      <c r="AO65" s="81"/>
      <c r="AP65" s="81"/>
      <c r="AQ65" s="81"/>
      <c r="AR65" s="81"/>
      <c r="AS65" s="81"/>
      <c r="AT65" s="81"/>
      <c r="AU65" s="81"/>
      <c r="AV65" s="81"/>
      <c r="AW65" s="81"/>
      <c r="AX65" s="81"/>
      <c r="AY65" s="149"/>
    </row>
    <row r="66" spans="1:51">
      <c r="A66" s="147"/>
      <c r="B66" s="81"/>
      <c r="C66" s="81"/>
      <c r="D66" s="81"/>
      <c r="E66" s="81"/>
      <c r="F66" s="81"/>
      <c r="G66" s="81"/>
      <c r="H66" s="81"/>
      <c r="I66" s="81"/>
      <c r="J66" s="81"/>
      <c r="K66" s="81"/>
      <c r="L66" s="81"/>
      <c r="M66" s="81"/>
      <c r="N66" s="81"/>
      <c r="O66" s="81"/>
      <c r="P66" s="81"/>
      <c r="Q66" s="149"/>
      <c r="R66" s="147"/>
      <c r="S66" s="81"/>
      <c r="T66" s="81"/>
      <c r="U66" s="81"/>
      <c r="V66" s="81"/>
      <c r="W66" s="81"/>
      <c r="X66" s="81"/>
      <c r="Y66" s="81"/>
      <c r="Z66" s="81"/>
      <c r="AA66" s="81"/>
      <c r="AB66" s="81"/>
      <c r="AC66" s="81"/>
      <c r="AD66" s="81"/>
      <c r="AE66" s="81"/>
      <c r="AF66" s="81"/>
      <c r="AG66" s="81"/>
      <c r="AH66" s="149"/>
      <c r="AI66" s="147"/>
      <c r="AJ66" s="81"/>
      <c r="AK66" s="81"/>
      <c r="AL66" s="81"/>
      <c r="AM66" s="81"/>
      <c r="AN66" s="81"/>
      <c r="AO66" s="81"/>
      <c r="AP66" s="81"/>
      <c r="AQ66" s="81"/>
      <c r="AR66" s="81"/>
      <c r="AS66" s="81"/>
      <c r="AT66" s="81"/>
      <c r="AU66" s="81"/>
      <c r="AV66" s="81"/>
      <c r="AW66" s="81"/>
      <c r="AX66" s="81"/>
      <c r="AY66" s="149"/>
    </row>
    <row r="67" spans="1:51">
      <c r="A67" s="147"/>
      <c r="B67" s="81"/>
      <c r="C67" s="81"/>
      <c r="D67" s="81"/>
      <c r="E67" s="81"/>
      <c r="F67" s="81"/>
      <c r="G67" s="81"/>
      <c r="H67" s="81"/>
      <c r="I67" s="81"/>
      <c r="J67" s="81"/>
      <c r="K67" s="81"/>
      <c r="L67" s="81"/>
      <c r="M67" s="81"/>
      <c r="N67" s="81"/>
      <c r="O67" s="81"/>
      <c r="P67" s="81"/>
      <c r="Q67" s="149"/>
      <c r="R67" s="147"/>
      <c r="S67" s="81"/>
      <c r="T67" s="81"/>
      <c r="U67" s="81"/>
      <c r="V67" s="81"/>
      <c r="W67" s="81"/>
      <c r="X67" s="81"/>
      <c r="Y67" s="81"/>
      <c r="Z67" s="81"/>
      <c r="AA67" s="81"/>
      <c r="AB67" s="81"/>
      <c r="AC67" s="81"/>
      <c r="AD67" s="81"/>
      <c r="AE67" s="81"/>
      <c r="AF67" s="81"/>
      <c r="AG67" s="81"/>
      <c r="AH67" s="149"/>
      <c r="AI67" s="147"/>
      <c r="AJ67" s="81"/>
      <c r="AK67" s="81"/>
      <c r="AL67" s="81"/>
      <c r="AM67" s="81"/>
      <c r="AN67" s="81"/>
      <c r="AO67" s="81"/>
      <c r="AP67" s="81"/>
      <c r="AQ67" s="81"/>
      <c r="AR67" s="81"/>
      <c r="AS67" s="81"/>
      <c r="AT67" s="81"/>
      <c r="AU67" s="81"/>
      <c r="AV67" s="81"/>
      <c r="AW67" s="81"/>
      <c r="AX67" s="81"/>
      <c r="AY67" s="149"/>
    </row>
    <row r="68" spans="1:51">
      <c r="A68" s="147"/>
      <c r="B68" s="81"/>
      <c r="C68" s="81"/>
      <c r="D68" s="81"/>
      <c r="E68" s="81"/>
      <c r="F68" s="81"/>
      <c r="G68" s="81"/>
      <c r="H68" s="81"/>
      <c r="I68" s="81"/>
      <c r="J68" s="81"/>
      <c r="K68" s="81"/>
      <c r="L68" s="81"/>
      <c r="M68" s="81"/>
      <c r="N68" s="81"/>
      <c r="O68" s="81"/>
      <c r="P68" s="81"/>
      <c r="Q68" s="149"/>
      <c r="R68" s="147"/>
      <c r="S68" s="81"/>
      <c r="T68" s="81"/>
      <c r="U68" s="81"/>
      <c r="V68" s="81"/>
      <c r="W68" s="81"/>
      <c r="X68" s="81"/>
      <c r="Y68" s="81"/>
      <c r="Z68" s="81"/>
      <c r="AA68" s="81"/>
      <c r="AB68" s="81"/>
      <c r="AC68" s="81"/>
      <c r="AD68" s="81"/>
      <c r="AE68" s="81"/>
      <c r="AF68" s="81"/>
      <c r="AG68" s="81"/>
      <c r="AH68" s="149"/>
      <c r="AI68" s="147"/>
      <c r="AJ68" s="81"/>
      <c r="AK68" s="81"/>
      <c r="AL68" s="81"/>
      <c r="AM68" s="81"/>
      <c r="AN68" s="81"/>
      <c r="AO68" s="81"/>
      <c r="AP68" s="81"/>
      <c r="AQ68" s="81"/>
      <c r="AR68" s="81"/>
      <c r="AS68" s="81"/>
      <c r="AT68" s="81"/>
      <c r="AU68" s="81"/>
      <c r="AV68" s="81"/>
      <c r="AW68" s="81"/>
      <c r="AX68" s="81"/>
      <c r="AY68" s="149"/>
    </row>
    <row r="69" spans="1:51">
      <c r="A69" s="147"/>
      <c r="B69" s="81"/>
      <c r="C69" s="81"/>
      <c r="D69" s="81"/>
      <c r="E69" s="81"/>
      <c r="F69" s="81"/>
      <c r="G69" s="81"/>
      <c r="H69" s="81"/>
      <c r="I69" s="81"/>
      <c r="J69" s="81"/>
      <c r="K69" s="81"/>
      <c r="L69" s="81"/>
      <c r="M69" s="81"/>
      <c r="N69" s="81"/>
      <c r="O69" s="81"/>
      <c r="P69" s="81"/>
      <c r="Q69" s="149"/>
      <c r="R69" s="147"/>
      <c r="S69" s="81"/>
      <c r="T69" s="81"/>
      <c r="U69" s="81"/>
      <c r="V69" s="81"/>
      <c r="W69" s="81"/>
      <c r="X69" s="81"/>
      <c r="Y69" s="81"/>
      <c r="Z69" s="81"/>
      <c r="AA69" s="81"/>
      <c r="AB69" s="81"/>
      <c r="AC69" s="81"/>
      <c r="AD69" s="81"/>
      <c r="AE69" s="81"/>
      <c r="AF69" s="81"/>
      <c r="AG69" s="81"/>
      <c r="AH69" s="149"/>
      <c r="AI69" s="147"/>
      <c r="AJ69" s="81"/>
      <c r="AK69" s="81"/>
      <c r="AL69" s="81"/>
      <c r="AM69" s="81"/>
      <c r="AN69" s="81"/>
      <c r="AO69" s="81"/>
      <c r="AP69" s="81"/>
      <c r="AQ69" s="81"/>
      <c r="AR69" s="81"/>
      <c r="AS69" s="81"/>
      <c r="AT69" s="81"/>
      <c r="AU69" s="81"/>
      <c r="AV69" s="81"/>
      <c r="AW69" s="81"/>
      <c r="AX69" s="81"/>
      <c r="AY69" s="149"/>
    </row>
    <row r="70" spans="1:51">
      <c r="A70" s="147"/>
      <c r="B70" s="81"/>
      <c r="C70" s="81"/>
      <c r="D70" s="81"/>
      <c r="E70" s="81"/>
      <c r="F70" s="81"/>
      <c r="G70" s="81"/>
      <c r="H70" s="81"/>
      <c r="I70" s="81"/>
      <c r="J70" s="81"/>
      <c r="K70" s="81"/>
      <c r="L70" s="81"/>
      <c r="M70" s="81"/>
      <c r="N70" s="81"/>
      <c r="O70" s="81"/>
      <c r="P70" s="81"/>
      <c r="Q70" s="149"/>
      <c r="R70" s="147"/>
      <c r="S70" s="81"/>
      <c r="T70" s="81"/>
      <c r="U70" s="81"/>
      <c r="V70" s="81"/>
      <c r="W70" s="81"/>
      <c r="X70" s="81"/>
      <c r="Y70" s="81"/>
      <c r="Z70" s="81"/>
      <c r="AA70" s="81"/>
      <c r="AB70" s="81"/>
      <c r="AC70" s="81"/>
      <c r="AD70" s="81"/>
      <c r="AE70" s="81"/>
      <c r="AF70" s="81"/>
      <c r="AG70" s="81"/>
      <c r="AH70" s="149"/>
      <c r="AI70" s="147"/>
      <c r="AJ70" s="81"/>
      <c r="AK70" s="81"/>
      <c r="AL70" s="81"/>
      <c r="AM70" s="81"/>
      <c r="AN70" s="81"/>
      <c r="AO70" s="81"/>
      <c r="AP70" s="81"/>
      <c r="AQ70" s="81"/>
      <c r="AR70" s="81"/>
      <c r="AS70" s="81"/>
      <c r="AT70" s="81"/>
      <c r="AU70" s="81"/>
      <c r="AV70" s="81"/>
      <c r="AW70" s="81"/>
      <c r="AX70" s="81"/>
      <c r="AY70" s="149"/>
    </row>
    <row r="71" spans="1:51">
      <c r="A71" s="147"/>
      <c r="B71" s="81"/>
      <c r="C71" s="81"/>
      <c r="D71" s="81"/>
      <c r="E71" s="81"/>
      <c r="F71" s="81"/>
      <c r="G71" s="81"/>
      <c r="H71" s="81"/>
      <c r="I71" s="81"/>
      <c r="J71" s="81"/>
      <c r="K71" s="81"/>
      <c r="L71" s="81"/>
      <c r="M71" s="81"/>
      <c r="N71" s="81"/>
      <c r="O71" s="81"/>
      <c r="P71" s="81"/>
      <c r="Q71" s="149"/>
      <c r="R71" s="147"/>
      <c r="S71" s="81"/>
      <c r="T71" s="81"/>
      <c r="U71" s="81"/>
      <c r="V71" s="81"/>
      <c r="W71" s="81"/>
      <c r="X71" s="81"/>
      <c r="Y71" s="81"/>
      <c r="Z71" s="81"/>
      <c r="AA71" s="81"/>
      <c r="AB71" s="81"/>
      <c r="AC71" s="81"/>
      <c r="AD71" s="81"/>
      <c r="AE71" s="81"/>
      <c r="AF71" s="81"/>
      <c r="AG71" s="81"/>
      <c r="AH71" s="149"/>
      <c r="AI71" s="147"/>
      <c r="AJ71" s="81"/>
      <c r="AK71" s="81"/>
      <c r="AL71" s="81"/>
      <c r="AM71" s="81"/>
      <c r="AN71" s="81"/>
      <c r="AO71" s="81"/>
      <c r="AP71" s="81"/>
      <c r="AQ71" s="81"/>
      <c r="AR71" s="81"/>
      <c r="AS71" s="81"/>
      <c r="AT71" s="81"/>
      <c r="AU71" s="81"/>
      <c r="AV71" s="81"/>
      <c r="AW71" s="81"/>
      <c r="AX71" s="81"/>
      <c r="AY71" s="149"/>
    </row>
    <row r="72" spans="1:51">
      <c r="A72" s="147"/>
      <c r="B72" s="81"/>
      <c r="C72" s="81"/>
      <c r="D72" s="81"/>
      <c r="E72" s="81"/>
      <c r="F72" s="81"/>
      <c r="G72" s="81"/>
      <c r="H72" s="81"/>
      <c r="I72" s="81"/>
      <c r="J72" s="81"/>
      <c r="K72" s="81"/>
      <c r="L72" s="81"/>
      <c r="M72" s="81"/>
      <c r="N72" s="81"/>
      <c r="O72" s="81"/>
      <c r="P72" s="81"/>
      <c r="Q72" s="149"/>
      <c r="R72" s="147"/>
      <c r="S72" s="81"/>
      <c r="T72" s="81"/>
      <c r="U72" s="81"/>
      <c r="V72" s="81"/>
      <c r="W72" s="81"/>
      <c r="X72" s="81"/>
      <c r="Y72" s="81"/>
      <c r="Z72" s="81"/>
      <c r="AA72" s="81"/>
      <c r="AB72" s="81"/>
      <c r="AC72" s="81"/>
      <c r="AD72" s="81"/>
      <c r="AE72" s="81"/>
      <c r="AF72" s="81"/>
      <c r="AG72" s="81"/>
      <c r="AH72" s="149"/>
      <c r="AI72" s="147"/>
      <c r="AJ72" s="81"/>
      <c r="AK72" s="81"/>
      <c r="AL72" s="81"/>
      <c r="AM72" s="81"/>
      <c r="AN72" s="81"/>
      <c r="AO72" s="81"/>
      <c r="AP72" s="81"/>
      <c r="AQ72" s="81"/>
      <c r="AR72" s="81"/>
      <c r="AS72" s="81"/>
      <c r="AT72" s="81"/>
      <c r="AU72" s="81"/>
      <c r="AV72" s="81"/>
      <c r="AW72" s="81"/>
      <c r="AX72" s="81"/>
      <c r="AY72" s="149"/>
    </row>
    <row r="73" spans="1:51">
      <c r="A73" s="147"/>
      <c r="B73" s="81"/>
      <c r="C73" s="81"/>
      <c r="D73" s="81"/>
      <c r="E73" s="81"/>
      <c r="F73" s="81"/>
      <c r="G73" s="81"/>
      <c r="H73" s="81"/>
      <c r="I73" s="81"/>
      <c r="J73" s="81"/>
      <c r="K73" s="81"/>
      <c r="L73" s="81"/>
      <c r="M73" s="81"/>
      <c r="N73" s="81"/>
      <c r="O73" s="81"/>
      <c r="P73" s="81"/>
      <c r="Q73" s="149"/>
      <c r="R73" s="147"/>
      <c r="S73" s="81"/>
      <c r="T73" s="81"/>
      <c r="U73" s="81"/>
      <c r="V73" s="81"/>
      <c r="W73" s="81"/>
      <c r="X73" s="81"/>
      <c r="Y73" s="81"/>
      <c r="Z73" s="81"/>
      <c r="AA73" s="81"/>
      <c r="AB73" s="81"/>
      <c r="AC73" s="81"/>
      <c r="AD73" s="81"/>
      <c r="AE73" s="81"/>
      <c r="AF73" s="81"/>
      <c r="AG73" s="81"/>
      <c r="AH73" s="149"/>
      <c r="AI73" s="147"/>
      <c r="AJ73" s="81"/>
      <c r="AK73" s="81"/>
      <c r="AL73" s="81"/>
      <c r="AM73" s="81"/>
      <c r="AN73" s="81"/>
      <c r="AO73" s="81"/>
      <c r="AP73" s="81"/>
      <c r="AQ73" s="81"/>
      <c r="AR73" s="81"/>
      <c r="AS73" s="81"/>
      <c r="AT73" s="81"/>
      <c r="AU73" s="81"/>
      <c r="AV73" s="81"/>
      <c r="AW73" s="81"/>
      <c r="AX73" s="81"/>
      <c r="AY73" s="149"/>
    </row>
    <row r="74" spans="1:51">
      <c r="A74" s="147"/>
      <c r="B74" s="81"/>
      <c r="C74" s="81"/>
      <c r="D74" s="81"/>
      <c r="E74" s="81"/>
      <c r="F74" s="81"/>
      <c r="G74" s="81"/>
      <c r="H74" s="81"/>
      <c r="I74" s="81"/>
      <c r="J74" s="81"/>
      <c r="K74" s="81"/>
      <c r="L74" s="81"/>
      <c r="M74" s="81"/>
      <c r="N74" s="81"/>
      <c r="O74" s="81"/>
      <c r="P74" s="81"/>
      <c r="Q74" s="149"/>
      <c r="R74" s="147"/>
      <c r="S74" s="81"/>
      <c r="T74" s="81"/>
      <c r="U74" s="81"/>
      <c r="V74" s="81"/>
      <c r="W74" s="81"/>
      <c r="X74" s="81"/>
      <c r="Y74" s="81"/>
      <c r="Z74" s="81"/>
      <c r="AA74" s="81"/>
      <c r="AB74" s="81"/>
      <c r="AC74" s="81"/>
      <c r="AD74" s="81"/>
      <c r="AE74" s="81"/>
      <c r="AF74" s="81"/>
      <c r="AG74" s="81"/>
      <c r="AH74" s="149"/>
      <c r="AI74" s="147"/>
      <c r="AJ74" s="81"/>
      <c r="AK74" s="81"/>
      <c r="AL74" s="81"/>
      <c r="AM74" s="81"/>
      <c r="AN74" s="81"/>
      <c r="AO74" s="81"/>
      <c r="AP74" s="81"/>
      <c r="AQ74" s="81"/>
      <c r="AR74" s="81"/>
      <c r="AS74" s="81"/>
      <c r="AT74" s="81"/>
      <c r="AU74" s="81"/>
      <c r="AV74" s="81"/>
      <c r="AW74" s="81"/>
      <c r="AX74" s="81"/>
      <c r="AY74" s="149"/>
    </row>
    <row r="75" spans="1:51">
      <c r="A75" s="147"/>
      <c r="B75" s="81"/>
      <c r="C75" s="81"/>
      <c r="D75" s="81"/>
      <c r="E75" s="81"/>
      <c r="F75" s="81"/>
      <c r="G75" s="81"/>
      <c r="H75" s="81"/>
      <c r="I75" s="81"/>
      <c r="J75" s="81"/>
      <c r="K75" s="81"/>
      <c r="L75" s="81"/>
      <c r="M75" s="81"/>
      <c r="N75" s="81"/>
      <c r="O75" s="81"/>
      <c r="P75" s="81"/>
      <c r="Q75" s="149"/>
      <c r="R75" s="147"/>
      <c r="S75" s="81"/>
      <c r="T75" s="81"/>
      <c r="U75" s="81"/>
      <c r="V75" s="81"/>
      <c r="W75" s="81"/>
      <c r="X75" s="81"/>
      <c r="Y75" s="81"/>
      <c r="Z75" s="81"/>
      <c r="AA75" s="81"/>
      <c r="AB75" s="81"/>
      <c r="AC75" s="81"/>
      <c r="AD75" s="81"/>
      <c r="AE75" s="81"/>
      <c r="AF75" s="81"/>
      <c r="AG75" s="81"/>
      <c r="AH75" s="149"/>
      <c r="AI75" s="147"/>
      <c r="AJ75" s="81"/>
      <c r="AK75" s="81"/>
      <c r="AL75" s="81"/>
      <c r="AM75" s="81"/>
      <c r="AN75" s="81"/>
      <c r="AO75" s="81"/>
      <c r="AP75" s="81"/>
      <c r="AQ75" s="81"/>
      <c r="AR75" s="81"/>
      <c r="AS75" s="81"/>
      <c r="AT75" s="81"/>
      <c r="AU75" s="81"/>
      <c r="AV75" s="81"/>
      <c r="AW75" s="81"/>
      <c r="AX75" s="81"/>
      <c r="AY75" s="149"/>
    </row>
    <row r="76" spans="1:51">
      <c r="A76" s="147"/>
      <c r="B76" s="81"/>
      <c r="C76" s="81"/>
      <c r="D76" s="81"/>
      <c r="E76" s="81"/>
      <c r="F76" s="81"/>
      <c r="G76" s="81"/>
      <c r="H76" s="81"/>
      <c r="I76" s="81"/>
      <c r="J76" s="81"/>
      <c r="K76" s="81"/>
      <c r="L76" s="81"/>
      <c r="M76" s="81"/>
      <c r="N76" s="81"/>
      <c r="O76" s="81"/>
      <c r="P76" s="81"/>
      <c r="Q76" s="149"/>
      <c r="R76" s="147"/>
      <c r="S76" s="81"/>
      <c r="T76" s="81"/>
      <c r="U76" s="81"/>
      <c r="V76" s="81"/>
      <c r="W76" s="81"/>
      <c r="X76" s="81"/>
      <c r="Y76" s="81"/>
      <c r="Z76" s="81"/>
      <c r="AA76" s="81"/>
      <c r="AB76" s="81"/>
      <c r="AC76" s="81"/>
      <c r="AD76" s="81"/>
      <c r="AE76" s="81"/>
      <c r="AF76" s="81"/>
      <c r="AG76" s="81"/>
      <c r="AH76" s="149"/>
      <c r="AI76" s="147"/>
      <c r="AJ76" s="81"/>
      <c r="AK76" s="81"/>
      <c r="AL76" s="81"/>
      <c r="AM76" s="81"/>
      <c r="AN76" s="81"/>
      <c r="AO76" s="81"/>
      <c r="AP76" s="81"/>
      <c r="AQ76" s="81"/>
      <c r="AR76" s="81"/>
      <c r="AS76" s="81"/>
      <c r="AT76" s="81"/>
      <c r="AU76" s="81"/>
      <c r="AV76" s="81"/>
      <c r="AW76" s="81"/>
      <c r="AX76" s="81"/>
      <c r="AY76" s="149"/>
    </row>
    <row r="77" spans="1:51">
      <c r="A77" s="147"/>
      <c r="B77" s="81"/>
      <c r="C77" s="81"/>
      <c r="D77" s="81"/>
      <c r="E77" s="81"/>
      <c r="F77" s="81"/>
      <c r="G77" s="81"/>
      <c r="H77" s="81"/>
      <c r="I77" s="81"/>
      <c r="J77" s="81"/>
      <c r="K77" s="81"/>
      <c r="L77" s="81"/>
      <c r="M77" s="81"/>
      <c r="N77" s="81"/>
      <c r="O77" s="81"/>
      <c r="P77" s="81"/>
      <c r="Q77" s="149"/>
      <c r="R77" s="147"/>
      <c r="S77" s="81"/>
      <c r="T77" s="81"/>
      <c r="U77" s="81"/>
      <c r="V77" s="81"/>
      <c r="W77" s="81"/>
      <c r="X77" s="81"/>
      <c r="Y77" s="81"/>
      <c r="Z77" s="81"/>
      <c r="AA77" s="81"/>
      <c r="AB77" s="81"/>
      <c r="AC77" s="81"/>
      <c r="AD77" s="81"/>
      <c r="AE77" s="81"/>
      <c r="AF77" s="81"/>
      <c r="AG77" s="81"/>
      <c r="AH77" s="149"/>
      <c r="AI77" s="147"/>
      <c r="AJ77" s="81"/>
      <c r="AK77" s="81"/>
      <c r="AL77" s="81"/>
      <c r="AM77" s="81"/>
      <c r="AN77" s="81"/>
      <c r="AO77" s="81"/>
      <c r="AP77" s="81"/>
      <c r="AQ77" s="81"/>
      <c r="AR77" s="81"/>
      <c r="AS77" s="81"/>
      <c r="AT77" s="81"/>
      <c r="AU77" s="81"/>
      <c r="AV77" s="81"/>
      <c r="AW77" s="81"/>
      <c r="AX77" s="81"/>
      <c r="AY77" s="149"/>
    </row>
    <row r="78" spans="1:51">
      <c r="A78" s="147"/>
      <c r="B78" s="81"/>
      <c r="C78" s="81"/>
      <c r="D78" s="81"/>
      <c r="E78" s="81"/>
      <c r="F78" s="81"/>
      <c r="G78" s="81"/>
      <c r="H78" s="81"/>
      <c r="I78" s="81"/>
      <c r="J78" s="81"/>
      <c r="K78" s="81"/>
      <c r="L78" s="81"/>
      <c r="M78" s="81"/>
      <c r="N78" s="81"/>
      <c r="O78" s="81"/>
      <c r="P78" s="81"/>
      <c r="Q78" s="149"/>
      <c r="R78" s="147"/>
      <c r="S78" s="81"/>
      <c r="T78" s="81"/>
      <c r="U78" s="81"/>
      <c r="V78" s="81"/>
      <c r="W78" s="81"/>
      <c r="X78" s="81"/>
      <c r="Y78" s="81"/>
      <c r="Z78" s="81"/>
      <c r="AA78" s="81"/>
      <c r="AB78" s="81"/>
      <c r="AC78" s="81"/>
      <c r="AD78" s="81"/>
      <c r="AE78" s="81"/>
      <c r="AF78" s="81"/>
      <c r="AG78" s="81"/>
      <c r="AH78" s="149"/>
      <c r="AI78" s="147"/>
      <c r="AJ78" s="81"/>
      <c r="AK78" s="81"/>
      <c r="AL78" s="81"/>
      <c r="AM78" s="81"/>
      <c r="AN78" s="81"/>
      <c r="AO78" s="81"/>
      <c r="AP78" s="81"/>
      <c r="AQ78" s="81"/>
      <c r="AR78" s="81"/>
      <c r="AS78" s="81"/>
      <c r="AT78" s="81"/>
      <c r="AU78" s="81"/>
      <c r="AV78" s="81"/>
      <c r="AW78" s="81"/>
      <c r="AX78" s="81"/>
      <c r="AY78" s="149"/>
    </row>
    <row r="79" spans="1:51">
      <c r="A79" s="147"/>
      <c r="B79" s="81"/>
      <c r="C79" s="81"/>
      <c r="D79" s="81"/>
      <c r="E79" s="81"/>
      <c r="F79" s="81"/>
      <c r="G79" s="81"/>
      <c r="H79" s="81"/>
      <c r="I79" s="81"/>
      <c r="J79" s="81"/>
      <c r="K79" s="81"/>
      <c r="L79" s="81"/>
      <c r="M79" s="81"/>
      <c r="N79" s="81"/>
      <c r="O79" s="81"/>
      <c r="P79" s="81"/>
      <c r="Q79" s="149"/>
      <c r="R79" s="147"/>
      <c r="S79" s="81"/>
      <c r="T79" s="81"/>
      <c r="U79" s="81"/>
      <c r="V79" s="81"/>
      <c r="W79" s="81"/>
      <c r="X79" s="81"/>
      <c r="Y79" s="81"/>
      <c r="Z79" s="81"/>
      <c r="AA79" s="81"/>
      <c r="AB79" s="81"/>
      <c r="AC79" s="81"/>
      <c r="AD79" s="81"/>
      <c r="AE79" s="81"/>
      <c r="AF79" s="81"/>
      <c r="AG79" s="81"/>
      <c r="AH79" s="149"/>
      <c r="AI79" s="147"/>
      <c r="AJ79" s="81"/>
      <c r="AK79" s="81"/>
      <c r="AL79" s="81"/>
      <c r="AM79" s="81"/>
      <c r="AN79" s="81"/>
      <c r="AO79" s="81"/>
      <c r="AP79" s="81"/>
      <c r="AQ79" s="81"/>
      <c r="AR79" s="81"/>
      <c r="AS79" s="81"/>
      <c r="AT79" s="81"/>
      <c r="AU79" s="81"/>
      <c r="AV79" s="81"/>
      <c r="AW79" s="81"/>
      <c r="AX79" s="81"/>
      <c r="AY79" s="149"/>
    </row>
    <row r="80" spans="1:51">
      <c r="A80" s="147"/>
      <c r="B80" s="81"/>
      <c r="C80" s="81"/>
      <c r="D80" s="81"/>
      <c r="E80" s="81"/>
      <c r="F80" s="81"/>
      <c r="G80" s="81"/>
      <c r="H80" s="81"/>
      <c r="I80" s="81"/>
      <c r="J80" s="81"/>
      <c r="K80" s="81"/>
      <c r="L80" s="81"/>
      <c r="M80" s="81"/>
      <c r="N80" s="81"/>
      <c r="O80" s="81"/>
      <c r="P80" s="81"/>
      <c r="Q80" s="149"/>
      <c r="R80" s="147"/>
      <c r="S80" s="81"/>
      <c r="T80" s="81"/>
      <c r="U80" s="81"/>
      <c r="V80" s="81"/>
      <c r="W80" s="81"/>
      <c r="X80" s="81"/>
      <c r="Y80" s="81"/>
      <c r="Z80" s="81"/>
      <c r="AA80" s="81"/>
      <c r="AB80" s="81"/>
      <c r="AC80" s="81"/>
      <c r="AD80" s="81"/>
      <c r="AE80" s="81"/>
      <c r="AF80" s="81"/>
      <c r="AG80" s="81"/>
      <c r="AH80" s="149"/>
      <c r="AI80" s="147"/>
      <c r="AJ80" s="81"/>
      <c r="AK80" s="81"/>
      <c r="AL80" s="81"/>
      <c r="AM80" s="81"/>
      <c r="AN80" s="81"/>
      <c r="AO80" s="81"/>
      <c r="AP80" s="81"/>
      <c r="AQ80" s="81"/>
      <c r="AR80" s="81"/>
      <c r="AS80" s="81"/>
      <c r="AT80" s="81"/>
      <c r="AU80" s="81"/>
      <c r="AV80" s="81"/>
      <c r="AW80" s="81"/>
      <c r="AX80" s="81"/>
      <c r="AY80" s="149"/>
    </row>
    <row r="81" spans="1:51">
      <c r="A81" s="147"/>
      <c r="B81" s="81"/>
      <c r="C81" s="81"/>
      <c r="D81" s="81"/>
      <c r="E81" s="81"/>
      <c r="F81" s="81"/>
      <c r="G81" s="81"/>
      <c r="H81" s="81"/>
      <c r="I81" s="81"/>
      <c r="J81" s="81"/>
      <c r="K81" s="81"/>
      <c r="L81" s="81"/>
      <c r="M81" s="81"/>
      <c r="N81" s="81"/>
      <c r="O81" s="81"/>
      <c r="P81" s="81"/>
      <c r="Q81" s="149"/>
      <c r="R81" s="147"/>
      <c r="S81" s="81"/>
      <c r="T81" s="81"/>
      <c r="U81" s="81"/>
      <c r="V81" s="81"/>
      <c r="W81" s="81"/>
      <c r="X81" s="81"/>
      <c r="Y81" s="81"/>
      <c r="Z81" s="81"/>
      <c r="AA81" s="81"/>
      <c r="AB81" s="81"/>
      <c r="AC81" s="81"/>
      <c r="AD81" s="81"/>
      <c r="AE81" s="81"/>
      <c r="AF81" s="81"/>
      <c r="AG81" s="81"/>
      <c r="AH81" s="149"/>
      <c r="AI81" s="147"/>
      <c r="AJ81" s="81"/>
      <c r="AK81" s="81"/>
      <c r="AL81" s="81"/>
      <c r="AM81" s="81"/>
      <c r="AN81" s="81"/>
      <c r="AO81" s="81"/>
      <c r="AP81" s="81"/>
      <c r="AQ81" s="81"/>
      <c r="AR81" s="81"/>
      <c r="AS81" s="81"/>
      <c r="AT81" s="81"/>
      <c r="AU81" s="81"/>
      <c r="AV81" s="81"/>
      <c r="AW81" s="81"/>
      <c r="AX81" s="81"/>
      <c r="AY81" s="149"/>
    </row>
    <row r="82" spans="1:51">
      <c r="A82" s="147"/>
      <c r="B82" s="81"/>
      <c r="C82" s="81"/>
      <c r="D82" s="81"/>
      <c r="E82" s="81"/>
      <c r="F82" s="81"/>
      <c r="G82" s="81"/>
      <c r="H82" s="81"/>
      <c r="I82" s="81"/>
      <c r="J82" s="81"/>
      <c r="K82" s="81"/>
      <c r="L82" s="81"/>
      <c r="M82" s="81"/>
      <c r="N82" s="81"/>
      <c r="O82" s="81"/>
      <c r="P82" s="81"/>
      <c r="Q82" s="149"/>
      <c r="R82" s="147"/>
      <c r="S82" s="81"/>
      <c r="T82" s="81"/>
      <c r="U82" s="81"/>
      <c r="V82" s="81"/>
      <c r="W82" s="81"/>
      <c r="X82" s="81"/>
      <c r="Y82" s="81"/>
      <c r="Z82" s="81"/>
      <c r="AA82" s="81"/>
      <c r="AB82" s="81"/>
      <c r="AC82" s="81"/>
      <c r="AD82" s="81"/>
      <c r="AE82" s="81"/>
      <c r="AF82" s="81"/>
      <c r="AG82" s="81"/>
      <c r="AH82" s="149"/>
      <c r="AI82" s="147"/>
      <c r="AJ82" s="81"/>
      <c r="AK82" s="81"/>
      <c r="AL82" s="81"/>
      <c r="AM82" s="81"/>
      <c r="AN82" s="81"/>
      <c r="AO82" s="81"/>
      <c r="AP82" s="81"/>
      <c r="AQ82" s="81"/>
      <c r="AR82" s="81"/>
      <c r="AS82" s="81"/>
      <c r="AT82" s="81"/>
      <c r="AU82" s="81"/>
      <c r="AV82" s="81"/>
      <c r="AW82" s="81"/>
      <c r="AX82" s="81"/>
      <c r="AY82" s="149"/>
    </row>
    <row r="83" spans="1:51">
      <c r="A83" s="147"/>
      <c r="B83" s="81"/>
      <c r="C83" s="81"/>
      <c r="D83" s="81"/>
      <c r="E83" s="81"/>
      <c r="F83" s="81"/>
      <c r="G83" s="81"/>
      <c r="H83" s="81"/>
      <c r="I83" s="81"/>
      <c r="J83" s="81"/>
      <c r="K83" s="81"/>
      <c r="L83" s="81"/>
      <c r="M83" s="81"/>
      <c r="N83" s="81"/>
      <c r="O83" s="81"/>
      <c r="P83" s="81"/>
      <c r="Q83" s="149"/>
      <c r="R83" s="147"/>
      <c r="S83" s="81"/>
      <c r="T83" s="81"/>
      <c r="U83" s="81"/>
      <c r="V83" s="81"/>
      <c r="W83" s="81"/>
      <c r="X83" s="81"/>
      <c r="Y83" s="81"/>
      <c r="Z83" s="81"/>
      <c r="AA83" s="81"/>
      <c r="AB83" s="81"/>
      <c r="AC83" s="81"/>
      <c r="AD83" s="81"/>
      <c r="AE83" s="81"/>
      <c r="AF83" s="81"/>
      <c r="AG83" s="81"/>
      <c r="AH83" s="149"/>
      <c r="AI83" s="147"/>
      <c r="AJ83" s="81"/>
      <c r="AK83" s="81"/>
      <c r="AL83" s="81"/>
      <c r="AM83" s="81"/>
      <c r="AN83" s="81"/>
      <c r="AO83" s="81"/>
      <c r="AP83" s="81"/>
      <c r="AQ83" s="81"/>
      <c r="AR83" s="81"/>
      <c r="AS83" s="81"/>
      <c r="AT83" s="81"/>
      <c r="AU83" s="81"/>
      <c r="AV83" s="81"/>
      <c r="AW83" s="81"/>
      <c r="AX83" s="81"/>
      <c r="AY83" s="149"/>
    </row>
    <row r="84" spans="1:51">
      <c r="A84" s="147"/>
      <c r="B84" s="81"/>
      <c r="C84" s="81"/>
      <c r="D84" s="81"/>
      <c r="E84" s="81"/>
      <c r="F84" s="81"/>
      <c r="G84" s="81"/>
      <c r="H84" s="81"/>
      <c r="I84" s="81"/>
      <c r="J84" s="81"/>
      <c r="K84" s="81"/>
      <c r="L84" s="81"/>
      <c r="M84" s="81"/>
      <c r="N84" s="81"/>
      <c r="O84" s="81"/>
      <c r="P84" s="81"/>
      <c r="Q84" s="149"/>
      <c r="R84" s="147"/>
      <c r="S84" s="81"/>
      <c r="T84" s="81"/>
      <c r="U84" s="81"/>
      <c r="V84" s="81"/>
      <c r="W84" s="81"/>
      <c r="X84" s="81"/>
      <c r="Y84" s="81"/>
      <c r="Z84" s="81"/>
      <c r="AA84" s="81"/>
      <c r="AB84" s="81"/>
      <c r="AC84" s="81"/>
      <c r="AD84" s="81"/>
      <c r="AE84" s="81"/>
      <c r="AF84" s="81"/>
      <c r="AG84" s="81"/>
      <c r="AH84" s="149"/>
      <c r="AI84" s="147"/>
      <c r="AJ84" s="81"/>
      <c r="AK84" s="81"/>
      <c r="AL84" s="81"/>
      <c r="AM84" s="81"/>
      <c r="AN84" s="81"/>
      <c r="AO84" s="81"/>
      <c r="AP84" s="81"/>
      <c r="AQ84" s="81"/>
      <c r="AR84" s="81"/>
      <c r="AS84" s="81"/>
      <c r="AT84" s="81"/>
      <c r="AU84" s="81"/>
      <c r="AV84" s="81"/>
      <c r="AW84" s="81"/>
      <c r="AX84" s="81"/>
      <c r="AY84" s="149"/>
    </row>
    <row r="85" spans="1:51">
      <c r="A85" s="147"/>
      <c r="B85" s="81"/>
      <c r="C85" s="81"/>
      <c r="D85" s="81"/>
      <c r="E85" s="81"/>
      <c r="F85" s="81"/>
      <c r="G85" s="81"/>
      <c r="H85" s="81"/>
      <c r="I85" s="81"/>
      <c r="J85" s="81"/>
      <c r="K85" s="81"/>
      <c r="L85" s="81"/>
      <c r="M85" s="81"/>
      <c r="N85" s="81"/>
      <c r="O85" s="81"/>
      <c r="P85" s="81"/>
      <c r="Q85" s="149"/>
      <c r="R85" s="147"/>
      <c r="S85" s="81"/>
      <c r="T85" s="81"/>
      <c r="U85" s="81"/>
      <c r="V85" s="81"/>
      <c r="W85" s="81"/>
      <c r="X85" s="81"/>
      <c r="Y85" s="81"/>
      <c r="Z85" s="81"/>
      <c r="AA85" s="81"/>
      <c r="AB85" s="81"/>
      <c r="AC85" s="81"/>
      <c r="AD85" s="81"/>
      <c r="AE85" s="81"/>
      <c r="AF85" s="81"/>
      <c r="AG85" s="81"/>
      <c r="AH85" s="149"/>
      <c r="AI85" s="147"/>
      <c r="AJ85" s="81"/>
      <c r="AK85" s="81"/>
      <c r="AL85" s="81"/>
      <c r="AM85" s="81"/>
      <c r="AN85" s="81"/>
      <c r="AO85" s="81"/>
      <c r="AP85" s="81"/>
      <c r="AQ85" s="81"/>
      <c r="AR85" s="81"/>
      <c r="AS85" s="81"/>
      <c r="AT85" s="81"/>
      <c r="AU85" s="81"/>
      <c r="AV85" s="81"/>
      <c r="AW85" s="81"/>
      <c r="AX85" s="81"/>
      <c r="AY85" s="149"/>
    </row>
    <row r="86" spans="1:51">
      <c r="A86" s="147"/>
      <c r="B86" s="81"/>
      <c r="C86" s="81"/>
      <c r="D86" s="81"/>
      <c r="E86" s="81"/>
      <c r="F86" s="81"/>
      <c r="G86" s="81"/>
      <c r="H86" s="81"/>
      <c r="I86" s="81"/>
      <c r="J86" s="81"/>
      <c r="K86" s="81"/>
      <c r="L86" s="81"/>
      <c r="M86" s="81"/>
      <c r="N86" s="81"/>
      <c r="O86" s="81"/>
      <c r="P86" s="81"/>
      <c r="Q86" s="149"/>
      <c r="R86" s="147"/>
      <c r="S86" s="81"/>
      <c r="T86" s="81"/>
      <c r="U86" s="81"/>
      <c r="V86" s="81"/>
      <c r="W86" s="81"/>
      <c r="X86" s="81"/>
      <c r="Y86" s="81"/>
      <c r="Z86" s="81"/>
      <c r="AA86" s="81"/>
      <c r="AB86" s="81"/>
      <c r="AC86" s="81"/>
      <c r="AD86" s="81"/>
      <c r="AE86" s="81"/>
      <c r="AF86" s="81"/>
      <c r="AG86" s="81"/>
      <c r="AH86" s="149"/>
      <c r="AI86" s="147"/>
      <c r="AJ86" s="81"/>
      <c r="AK86" s="81"/>
      <c r="AL86" s="81"/>
      <c r="AM86" s="81"/>
      <c r="AN86" s="81"/>
      <c r="AO86" s="81"/>
      <c r="AP86" s="81"/>
      <c r="AQ86" s="81"/>
      <c r="AR86" s="81"/>
      <c r="AS86" s="81"/>
      <c r="AT86" s="81"/>
      <c r="AU86" s="81"/>
      <c r="AV86" s="81"/>
      <c r="AW86" s="81"/>
      <c r="AX86" s="81"/>
      <c r="AY86" s="149"/>
    </row>
    <row r="87" spans="1:51">
      <c r="A87" s="147"/>
      <c r="B87" s="81"/>
      <c r="C87" s="81"/>
      <c r="D87" s="81"/>
      <c r="E87" s="81"/>
      <c r="F87" s="81"/>
      <c r="G87" s="81"/>
      <c r="H87" s="81"/>
      <c r="I87" s="81"/>
      <c r="J87" s="81"/>
      <c r="K87" s="81"/>
      <c r="L87" s="81"/>
      <c r="M87" s="81"/>
      <c r="N87" s="81"/>
      <c r="O87" s="81"/>
      <c r="P87" s="81"/>
      <c r="Q87" s="149"/>
      <c r="R87" s="147"/>
      <c r="S87" s="81"/>
      <c r="T87" s="81"/>
      <c r="U87" s="81"/>
      <c r="V87" s="81"/>
      <c r="W87" s="81"/>
      <c r="X87" s="81"/>
      <c r="Y87" s="81"/>
      <c r="Z87" s="81"/>
      <c r="AA87" s="81"/>
      <c r="AB87" s="81"/>
      <c r="AC87" s="81"/>
      <c r="AD87" s="81"/>
      <c r="AE87" s="81"/>
      <c r="AF87" s="81"/>
      <c r="AG87" s="81"/>
      <c r="AH87" s="149"/>
      <c r="AI87" s="147"/>
      <c r="AJ87" s="81"/>
      <c r="AK87" s="81"/>
      <c r="AL87" s="81"/>
      <c r="AM87" s="81"/>
      <c r="AN87" s="81"/>
      <c r="AO87" s="81"/>
      <c r="AP87" s="81"/>
      <c r="AQ87" s="81"/>
      <c r="AR87" s="81"/>
      <c r="AS87" s="81"/>
      <c r="AT87" s="81"/>
      <c r="AU87" s="81"/>
      <c r="AV87" s="81"/>
      <c r="AW87" s="81"/>
      <c r="AX87" s="81"/>
      <c r="AY87" s="149"/>
    </row>
    <row r="88" spans="1:51">
      <c r="A88" s="147"/>
      <c r="B88" s="81"/>
      <c r="C88" s="81"/>
      <c r="D88" s="81"/>
      <c r="E88" s="81"/>
      <c r="F88" s="81"/>
      <c r="G88" s="81"/>
      <c r="H88" s="81"/>
      <c r="I88" s="81"/>
      <c r="J88" s="81"/>
      <c r="K88" s="81"/>
      <c r="L88" s="81"/>
      <c r="M88" s="81"/>
      <c r="N88" s="81"/>
      <c r="O88" s="81"/>
      <c r="P88" s="81"/>
      <c r="Q88" s="149"/>
      <c r="R88" s="147"/>
      <c r="S88" s="81"/>
      <c r="T88" s="81"/>
      <c r="U88" s="81"/>
      <c r="V88" s="81"/>
      <c r="W88" s="81"/>
      <c r="X88" s="81"/>
      <c r="Y88" s="81"/>
      <c r="Z88" s="81"/>
      <c r="AA88" s="81"/>
      <c r="AB88" s="81"/>
      <c r="AC88" s="81"/>
      <c r="AD88" s="81"/>
      <c r="AE88" s="81"/>
      <c r="AF88" s="81"/>
      <c r="AG88" s="81"/>
      <c r="AH88" s="149"/>
      <c r="AI88" s="147"/>
      <c r="AJ88" s="81"/>
      <c r="AK88" s="81"/>
      <c r="AL88" s="81"/>
      <c r="AM88" s="81"/>
      <c r="AN88" s="81"/>
      <c r="AO88" s="81"/>
      <c r="AP88" s="81"/>
      <c r="AQ88" s="81"/>
      <c r="AR88" s="81"/>
      <c r="AS88" s="81"/>
      <c r="AT88" s="81"/>
      <c r="AU88" s="81"/>
      <c r="AV88" s="81"/>
      <c r="AW88" s="81"/>
      <c r="AX88" s="81"/>
      <c r="AY88" s="149"/>
    </row>
    <row r="89" spans="1:51">
      <c r="A89" s="147"/>
      <c r="B89" s="81"/>
      <c r="C89" s="81"/>
      <c r="D89" s="81"/>
      <c r="E89" s="81"/>
      <c r="F89" s="81"/>
      <c r="G89" s="81"/>
      <c r="H89" s="81"/>
      <c r="I89" s="81"/>
      <c r="J89" s="81"/>
      <c r="K89" s="81"/>
      <c r="L89" s="81"/>
      <c r="M89" s="81"/>
      <c r="N89" s="81"/>
      <c r="O89" s="81"/>
      <c r="P89" s="81"/>
      <c r="Q89" s="149"/>
      <c r="R89" s="147"/>
      <c r="S89" s="81"/>
      <c r="T89" s="81"/>
      <c r="U89" s="81"/>
      <c r="V89" s="81"/>
      <c r="W89" s="81"/>
      <c r="X89" s="81"/>
      <c r="Y89" s="81"/>
      <c r="Z89" s="81"/>
      <c r="AA89" s="81"/>
      <c r="AB89" s="81"/>
      <c r="AC89" s="81"/>
      <c r="AD89" s="81"/>
      <c r="AE89" s="81"/>
      <c r="AF89" s="81"/>
      <c r="AG89" s="81"/>
      <c r="AH89" s="149"/>
      <c r="AI89" s="147"/>
      <c r="AJ89" s="81"/>
      <c r="AK89" s="81"/>
      <c r="AL89" s="81"/>
      <c r="AM89" s="81"/>
      <c r="AN89" s="81"/>
      <c r="AO89" s="81"/>
      <c r="AP89" s="81"/>
      <c r="AQ89" s="81"/>
      <c r="AR89" s="81"/>
      <c r="AS89" s="81"/>
      <c r="AT89" s="81"/>
      <c r="AU89" s="81"/>
      <c r="AV89" s="81"/>
      <c r="AW89" s="81"/>
      <c r="AX89" s="81"/>
      <c r="AY89" s="149"/>
    </row>
    <row r="90" spans="1:51">
      <c r="A90" s="147"/>
      <c r="B90" s="81"/>
      <c r="C90" s="81"/>
      <c r="D90" s="81"/>
      <c r="E90" s="81"/>
      <c r="F90" s="81"/>
      <c r="G90" s="81"/>
      <c r="H90" s="81"/>
      <c r="I90" s="81"/>
      <c r="J90" s="81"/>
      <c r="K90" s="81"/>
      <c r="L90" s="81"/>
      <c r="M90" s="81"/>
      <c r="N90" s="81"/>
      <c r="O90" s="81"/>
      <c r="P90" s="81"/>
      <c r="Q90" s="149"/>
      <c r="R90" s="147"/>
      <c r="S90" s="81"/>
      <c r="T90" s="81"/>
      <c r="U90" s="81"/>
      <c r="V90" s="81"/>
      <c r="W90" s="81"/>
      <c r="X90" s="81"/>
      <c r="Y90" s="81"/>
      <c r="Z90" s="81"/>
      <c r="AA90" s="81"/>
      <c r="AB90" s="81"/>
      <c r="AC90" s="81"/>
      <c r="AD90" s="81"/>
      <c r="AE90" s="81"/>
      <c r="AF90" s="81"/>
      <c r="AG90" s="81"/>
      <c r="AH90" s="149"/>
      <c r="AI90" s="147"/>
      <c r="AJ90" s="81"/>
      <c r="AK90" s="81"/>
      <c r="AL90" s="81"/>
      <c r="AM90" s="81"/>
      <c r="AN90" s="81"/>
      <c r="AO90" s="81"/>
      <c r="AP90" s="81"/>
      <c r="AQ90" s="81"/>
      <c r="AR90" s="81"/>
      <c r="AS90" s="81"/>
      <c r="AT90" s="81"/>
      <c r="AU90" s="81"/>
      <c r="AV90" s="81"/>
      <c r="AW90" s="81"/>
      <c r="AX90" s="81"/>
      <c r="AY90" s="149"/>
    </row>
    <row r="91" spans="1:51">
      <c r="A91" s="147"/>
      <c r="B91" s="81"/>
      <c r="C91" s="81"/>
      <c r="D91" s="81"/>
      <c r="E91" s="81"/>
      <c r="F91" s="81"/>
      <c r="G91" s="81"/>
      <c r="H91" s="81"/>
      <c r="I91" s="81"/>
      <c r="J91" s="81"/>
      <c r="K91" s="81"/>
      <c r="L91" s="81"/>
      <c r="M91" s="81"/>
      <c r="N91" s="81"/>
      <c r="O91" s="81"/>
      <c r="P91" s="81"/>
      <c r="Q91" s="149"/>
      <c r="R91" s="147"/>
      <c r="S91" s="81"/>
      <c r="T91" s="81"/>
      <c r="U91" s="81"/>
      <c r="V91" s="81"/>
      <c r="W91" s="81"/>
      <c r="X91" s="81"/>
      <c r="Y91" s="81"/>
      <c r="Z91" s="81"/>
      <c r="AA91" s="81"/>
      <c r="AB91" s="81"/>
      <c r="AC91" s="81"/>
      <c r="AD91" s="81"/>
      <c r="AE91" s="81"/>
      <c r="AF91" s="81"/>
      <c r="AG91" s="81"/>
      <c r="AH91" s="149"/>
      <c r="AI91" s="147"/>
      <c r="AJ91" s="81"/>
      <c r="AK91" s="81"/>
      <c r="AL91" s="81"/>
      <c r="AM91" s="81"/>
      <c r="AN91" s="81"/>
      <c r="AO91" s="81"/>
      <c r="AP91" s="81"/>
      <c r="AQ91" s="81"/>
      <c r="AR91" s="81"/>
      <c r="AS91" s="81"/>
      <c r="AT91" s="81"/>
      <c r="AU91" s="81"/>
      <c r="AV91" s="81"/>
      <c r="AW91" s="81"/>
      <c r="AX91" s="81"/>
      <c r="AY91" s="149"/>
    </row>
    <row r="92" spans="1:51">
      <c r="A92" s="147"/>
      <c r="B92" s="81"/>
      <c r="C92" s="81"/>
      <c r="D92" s="81"/>
      <c r="E92" s="81"/>
      <c r="F92" s="81"/>
      <c r="G92" s="81"/>
      <c r="H92" s="81"/>
      <c r="I92" s="81"/>
      <c r="J92" s="81"/>
      <c r="K92" s="81"/>
      <c r="L92" s="81"/>
      <c r="M92" s="81"/>
      <c r="N92" s="81"/>
      <c r="O92" s="81"/>
      <c r="P92" s="81"/>
      <c r="Q92" s="149"/>
      <c r="R92" s="147"/>
      <c r="S92" s="81"/>
      <c r="T92" s="81"/>
      <c r="U92" s="81"/>
      <c r="V92" s="81"/>
      <c r="W92" s="81"/>
      <c r="X92" s="81"/>
      <c r="Y92" s="81"/>
      <c r="Z92" s="81"/>
      <c r="AA92" s="81"/>
      <c r="AB92" s="81"/>
      <c r="AC92" s="81"/>
      <c r="AD92" s="81"/>
      <c r="AE92" s="81"/>
      <c r="AF92" s="81"/>
      <c r="AG92" s="81"/>
      <c r="AH92" s="149"/>
      <c r="AI92" s="147"/>
      <c r="AJ92" s="81"/>
      <c r="AK92" s="81"/>
      <c r="AL92" s="81"/>
      <c r="AM92" s="81"/>
      <c r="AN92" s="81"/>
      <c r="AO92" s="81"/>
      <c r="AP92" s="81"/>
      <c r="AQ92" s="81"/>
      <c r="AR92" s="81"/>
      <c r="AS92" s="81"/>
      <c r="AT92" s="81"/>
      <c r="AU92" s="81"/>
      <c r="AV92" s="81"/>
      <c r="AW92" s="81"/>
      <c r="AX92" s="81"/>
      <c r="AY92" s="149"/>
    </row>
    <row r="93" spans="1:51">
      <c r="A93" s="147"/>
      <c r="B93" s="81"/>
      <c r="C93" s="81"/>
      <c r="D93" s="81"/>
      <c r="E93" s="81"/>
      <c r="F93" s="81"/>
      <c r="G93" s="81"/>
      <c r="H93" s="81"/>
      <c r="I93" s="81"/>
      <c r="J93" s="81"/>
      <c r="K93" s="81"/>
      <c r="L93" s="81"/>
      <c r="M93" s="81"/>
      <c r="N93" s="81"/>
      <c r="O93" s="81"/>
      <c r="P93" s="81"/>
      <c r="Q93" s="149"/>
      <c r="R93" s="147"/>
      <c r="S93" s="81"/>
      <c r="T93" s="81"/>
      <c r="U93" s="81"/>
      <c r="V93" s="81"/>
      <c r="W93" s="81"/>
      <c r="X93" s="81"/>
      <c r="Y93" s="81"/>
      <c r="Z93" s="81"/>
      <c r="AA93" s="81"/>
      <c r="AB93" s="81"/>
      <c r="AC93" s="81"/>
      <c r="AD93" s="81"/>
      <c r="AE93" s="81"/>
      <c r="AF93" s="81"/>
      <c r="AG93" s="81"/>
      <c r="AH93" s="149"/>
      <c r="AI93" s="147"/>
      <c r="AJ93" s="81"/>
      <c r="AK93" s="81"/>
      <c r="AL93" s="81"/>
      <c r="AM93" s="81"/>
      <c r="AN93" s="81"/>
      <c r="AO93" s="81"/>
      <c r="AP93" s="81"/>
      <c r="AQ93" s="81"/>
      <c r="AR93" s="81"/>
      <c r="AS93" s="81"/>
      <c r="AT93" s="81"/>
      <c r="AU93" s="81"/>
      <c r="AV93" s="81"/>
      <c r="AW93" s="81"/>
      <c r="AX93" s="81"/>
      <c r="AY93" s="149"/>
    </row>
    <row r="94" spans="1:51">
      <c r="A94" s="147"/>
      <c r="B94" s="81"/>
      <c r="C94" s="81"/>
      <c r="D94" s="81"/>
      <c r="E94" s="81"/>
      <c r="F94" s="81"/>
      <c r="G94" s="81"/>
      <c r="H94" s="81"/>
      <c r="I94" s="81"/>
      <c r="J94" s="81"/>
      <c r="K94" s="81"/>
      <c r="L94" s="81"/>
      <c r="M94" s="81"/>
      <c r="N94" s="81"/>
      <c r="O94" s="81"/>
      <c r="P94" s="81"/>
      <c r="Q94" s="149"/>
      <c r="R94" s="147"/>
      <c r="S94" s="81"/>
      <c r="T94" s="81"/>
      <c r="U94" s="81"/>
      <c r="V94" s="81"/>
      <c r="W94" s="81"/>
      <c r="X94" s="81"/>
      <c r="Y94" s="81"/>
      <c r="Z94" s="81"/>
      <c r="AA94" s="81"/>
      <c r="AB94" s="81"/>
      <c r="AC94" s="81"/>
      <c r="AD94" s="81"/>
      <c r="AE94" s="81"/>
      <c r="AF94" s="81"/>
      <c r="AG94" s="81"/>
      <c r="AH94" s="149"/>
      <c r="AI94" s="147"/>
      <c r="AJ94" s="81"/>
      <c r="AK94" s="81"/>
      <c r="AL94" s="81"/>
      <c r="AM94" s="81"/>
      <c r="AN94" s="81"/>
      <c r="AO94" s="81"/>
      <c r="AP94" s="81"/>
      <c r="AQ94" s="81"/>
      <c r="AR94" s="81"/>
      <c r="AS94" s="81"/>
      <c r="AT94" s="81"/>
      <c r="AU94" s="81"/>
      <c r="AV94" s="81"/>
      <c r="AW94" s="81"/>
      <c r="AX94" s="81"/>
      <c r="AY94" s="149"/>
    </row>
    <row r="95" spans="1:51">
      <c r="A95" s="147"/>
      <c r="B95" s="81"/>
      <c r="C95" s="81"/>
      <c r="D95" s="81"/>
      <c r="E95" s="81"/>
      <c r="F95" s="81"/>
      <c r="G95" s="81"/>
      <c r="H95" s="81"/>
      <c r="I95" s="81"/>
      <c r="J95" s="81"/>
      <c r="K95" s="81"/>
      <c r="L95" s="81"/>
      <c r="M95" s="81"/>
      <c r="N95" s="81"/>
      <c r="O95" s="81"/>
      <c r="P95" s="81"/>
      <c r="Q95" s="149"/>
      <c r="R95" s="147"/>
      <c r="S95" s="81"/>
      <c r="T95" s="81"/>
      <c r="U95" s="81"/>
      <c r="V95" s="81"/>
      <c r="W95" s="81"/>
      <c r="X95" s="81"/>
      <c r="Y95" s="81"/>
      <c r="Z95" s="81"/>
      <c r="AA95" s="81"/>
      <c r="AB95" s="81"/>
      <c r="AC95" s="81"/>
      <c r="AD95" s="81"/>
      <c r="AE95" s="81"/>
      <c r="AF95" s="81"/>
      <c r="AG95" s="81"/>
      <c r="AH95" s="149"/>
      <c r="AI95" s="147"/>
      <c r="AJ95" s="81"/>
      <c r="AK95" s="81"/>
      <c r="AL95" s="81"/>
      <c r="AM95" s="81"/>
      <c r="AN95" s="81"/>
      <c r="AO95" s="81"/>
      <c r="AP95" s="81"/>
      <c r="AQ95" s="81"/>
      <c r="AR95" s="81"/>
      <c r="AS95" s="81"/>
      <c r="AT95" s="81"/>
      <c r="AU95" s="81"/>
      <c r="AV95" s="81"/>
      <c r="AW95" s="81"/>
      <c r="AX95" s="81"/>
      <c r="AY95" s="149"/>
    </row>
    <row r="96" spans="1:51">
      <c r="A96" s="147"/>
      <c r="B96" s="81"/>
      <c r="C96" s="81"/>
      <c r="D96" s="81"/>
      <c r="E96" s="81"/>
      <c r="F96" s="81"/>
      <c r="G96" s="81"/>
      <c r="H96" s="81"/>
      <c r="I96" s="81"/>
      <c r="J96" s="81"/>
      <c r="K96" s="81"/>
      <c r="L96" s="81"/>
      <c r="M96" s="81"/>
      <c r="N96" s="81"/>
      <c r="O96" s="81"/>
      <c r="P96" s="81"/>
      <c r="Q96" s="149"/>
      <c r="R96" s="147"/>
      <c r="S96" s="81"/>
      <c r="T96" s="81"/>
      <c r="U96" s="81"/>
      <c r="V96" s="81"/>
      <c r="W96" s="81"/>
      <c r="X96" s="81"/>
      <c r="Y96" s="81"/>
      <c r="Z96" s="81"/>
      <c r="AA96" s="81"/>
      <c r="AB96" s="81"/>
      <c r="AC96" s="81"/>
      <c r="AD96" s="81"/>
      <c r="AE96" s="81"/>
      <c r="AF96" s="81"/>
      <c r="AG96" s="81"/>
      <c r="AH96" s="149"/>
      <c r="AI96" s="147"/>
      <c r="AJ96" s="81"/>
      <c r="AK96" s="81"/>
      <c r="AL96" s="81"/>
      <c r="AM96" s="81"/>
      <c r="AN96" s="81"/>
      <c r="AO96" s="81"/>
      <c r="AP96" s="81"/>
      <c r="AQ96" s="81"/>
      <c r="AR96" s="81"/>
      <c r="AS96" s="81"/>
      <c r="AT96" s="81"/>
      <c r="AU96" s="81"/>
      <c r="AV96" s="81"/>
      <c r="AW96" s="81"/>
      <c r="AX96" s="81"/>
      <c r="AY96" s="149"/>
    </row>
    <row r="97" spans="1:51">
      <c r="A97" s="147"/>
      <c r="B97" s="81"/>
      <c r="C97" s="81"/>
      <c r="D97" s="81"/>
      <c r="E97" s="81"/>
      <c r="F97" s="81"/>
      <c r="G97" s="81"/>
      <c r="H97" s="81"/>
      <c r="I97" s="81"/>
      <c r="J97" s="81"/>
      <c r="K97" s="81"/>
      <c r="L97" s="81"/>
      <c r="M97" s="81"/>
      <c r="N97" s="81"/>
      <c r="O97" s="81"/>
      <c r="P97" s="81"/>
      <c r="Q97" s="149"/>
      <c r="R97" s="147"/>
      <c r="S97" s="81"/>
      <c r="T97" s="81"/>
      <c r="U97" s="81"/>
      <c r="V97" s="81"/>
      <c r="W97" s="81"/>
      <c r="X97" s="81"/>
      <c r="Y97" s="81"/>
      <c r="Z97" s="81"/>
      <c r="AA97" s="81"/>
      <c r="AB97" s="81"/>
      <c r="AC97" s="81"/>
      <c r="AD97" s="81"/>
      <c r="AE97" s="81"/>
      <c r="AF97" s="81"/>
      <c r="AG97" s="81"/>
      <c r="AH97" s="149"/>
      <c r="AI97" s="147"/>
      <c r="AJ97" s="81"/>
      <c r="AK97" s="81"/>
      <c r="AL97" s="81"/>
      <c r="AM97" s="81"/>
      <c r="AN97" s="81"/>
      <c r="AO97" s="81"/>
      <c r="AP97" s="81"/>
      <c r="AQ97" s="81"/>
      <c r="AR97" s="81"/>
      <c r="AS97" s="81"/>
      <c r="AT97" s="81"/>
      <c r="AU97" s="81"/>
      <c r="AV97" s="81"/>
      <c r="AW97" s="81"/>
      <c r="AX97" s="81"/>
      <c r="AY97" s="149"/>
    </row>
    <row r="98" spans="1:51">
      <c r="A98" s="147"/>
      <c r="B98" s="81"/>
      <c r="C98" s="81"/>
      <c r="D98" s="81"/>
      <c r="E98" s="81"/>
      <c r="F98" s="81"/>
      <c r="G98" s="81"/>
      <c r="H98" s="81"/>
      <c r="I98" s="81"/>
      <c r="J98" s="81"/>
      <c r="K98" s="81"/>
      <c r="L98" s="81"/>
      <c r="M98" s="81"/>
      <c r="N98" s="81"/>
      <c r="O98" s="81"/>
      <c r="P98" s="81"/>
      <c r="Q98" s="149"/>
      <c r="R98" s="147"/>
      <c r="S98" s="81"/>
      <c r="T98" s="81"/>
      <c r="U98" s="81"/>
      <c r="V98" s="81"/>
      <c r="W98" s="81"/>
      <c r="X98" s="81"/>
      <c r="Y98" s="81"/>
      <c r="Z98" s="81"/>
      <c r="AA98" s="81"/>
      <c r="AB98" s="81"/>
      <c r="AC98" s="81"/>
      <c r="AD98" s="81"/>
      <c r="AE98" s="81"/>
      <c r="AF98" s="81"/>
      <c r="AG98" s="81"/>
      <c r="AH98" s="149"/>
      <c r="AI98" s="147"/>
      <c r="AJ98" s="81"/>
      <c r="AK98" s="81"/>
      <c r="AL98" s="81"/>
      <c r="AM98" s="81"/>
      <c r="AN98" s="81"/>
      <c r="AO98" s="81"/>
      <c r="AP98" s="81"/>
      <c r="AQ98" s="81"/>
      <c r="AR98" s="81"/>
      <c r="AS98" s="81"/>
      <c r="AT98" s="81"/>
      <c r="AU98" s="81"/>
      <c r="AV98" s="81"/>
      <c r="AW98" s="81"/>
      <c r="AX98" s="81"/>
      <c r="AY98" s="149"/>
    </row>
    <row r="99" spans="1:51">
      <c r="A99" s="147"/>
      <c r="B99" s="81"/>
      <c r="C99" s="81"/>
      <c r="D99" s="81"/>
      <c r="E99" s="81"/>
      <c r="F99" s="81"/>
      <c r="G99" s="81"/>
      <c r="H99" s="81"/>
      <c r="I99" s="81"/>
      <c r="J99" s="81"/>
      <c r="K99" s="81"/>
      <c r="L99" s="81"/>
      <c r="M99" s="81"/>
      <c r="N99" s="81"/>
      <c r="O99" s="81"/>
      <c r="P99" s="81"/>
      <c r="Q99" s="149"/>
      <c r="R99" s="147"/>
      <c r="S99" s="81"/>
      <c r="T99" s="81"/>
      <c r="U99" s="81"/>
      <c r="V99" s="81"/>
      <c r="W99" s="81"/>
      <c r="X99" s="81"/>
      <c r="Y99" s="81"/>
      <c r="Z99" s="81"/>
      <c r="AA99" s="81"/>
      <c r="AB99" s="81"/>
      <c r="AC99" s="81"/>
      <c r="AD99" s="81"/>
      <c r="AE99" s="81"/>
      <c r="AF99" s="81"/>
      <c r="AG99" s="81"/>
      <c r="AH99" s="149"/>
      <c r="AI99" s="147"/>
      <c r="AJ99" s="81"/>
      <c r="AK99" s="81"/>
      <c r="AL99" s="81"/>
      <c r="AM99" s="81"/>
      <c r="AN99" s="81"/>
      <c r="AO99" s="81"/>
      <c r="AP99" s="81"/>
      <c r="AQ99" s="81"/>
      <c r="AR99" s="81"/>
      <c r="AS99" s="81"/>
      <c r="AT99" s="81"/>
      <c r="AU99" s="81"/>
      <c r="AV99" s="81"/>
      <c r="AW99" s="81"/>
      <c r="AX99" s="81"/>
      <c r="AY99" s="149"/>
    </row>
    <row r="100" spans="1:51">
      <c r="A100" s="147"/>
      <c r="B100" s="81"/>
      <c r="C100" s="81"/>
      <c r="D100" s="81"/>
      <c r="E100" s="81"/>
      <c r="F100" s="81"/>
      <c r="G100" s="81"/>
      <c r="H100" s="81"/>
      <c r="I100" s="81"/>
      <c r="J100" s="81"/>
      <c r="K100" s="81"/>
      <c r="L100" s="81"/>
      <c r="M100" s="81"/>
      <c r="N100" s="81"/>
      <c r="O100" s="81"/>
      <c r="P100" s="81"/>
      <c r="Q100" s="149"/>
      <c r="R100" s="147"/>
      <c r="S100" s="81"/>
      <c r="T100" s="81"/>
      <c r="U100" s="81"/>
      <c r="V100" s="81"/>
      <c r="W100" s="81"/>
      <c r="X100" s="81"/>
      <c r="Y100" s="81"/>
      <c r="Z100" s="81"/>
      <c r="AA100" s="81"/>
      <c r="AB100" s="81"/>
      <c r="AC100" s="81"/>
      <c r="AD100" s="81"/>
      <c r="AE100" s="81"/>
      <c r="AF100" s="81"/>
      <c r="AG100" s="81"/>
      <c r="AH100" s="149"/>
      <c r="AI100" s="147"/>
      <c r="AJ100" s="81"/>
      <c r="AK100" s="81"/>
      <c r="AL100" s="81"/>
      <c r="AM100" s="81"/>
      <c r="AN100" s="81"/>
      <c r="AO100" s="81"/>
      <c r="AP100" s="81"/>
      <c r="AQ100" s="81"/>
      <c r="AR100" s="81"/>
      <c r="AS100" s="81"/>
      <c r="AT100" s="81"/>
      <c r="AU100" s="81"/>
      <c r="AV100" s="81"/>
      <c r="AW100" s="81"/>
      <c r="AX100" s="81"/>
      <c r="AY100" s="149"/>
    </row>
    <row r="101" spans="1:51">
      <c r="A101" s="147"/>
      <c r="B101" s="81"/>
      <c r="C101" s="81"/>
      <c r="D101" s="81"/>
      <c r="E101" s="81"/>
      <c r="F101" s="81"/>
      <c r="G101" s="81"/>
      <c r="H101" s="81"/>
      <c r="I101" s="81"/>
      <c r="J101" s="81"/>
      <c r="K101" s="81"/>
      <c r="L101" s="81"/>
      <c r="M101" s="81"/>
      <c r="N101" s="81"/>
      <c r="O101" s="81"/>
      <c r="P101" s="81"/>
      <c r="Q101" s="149"/>
      <c r="R101" s="147"/>
      <c r="S101" s="81"/>
      <c r="T101" s="81"/>
      <c r="U101" s="81"/>
      <c r="V101" s="81"/>
      <c r="W101" s="81"/>
      <c r="X101" s="81"/>
      <c r="Y101" s="81"/>
      <c r="Z101" s="81"/>
      <c r="AA101" s="81"/>
      <c r="AB101" s="81"/>
      <c r="AC101" s="81"/>
      <c r="AD101" s="81"/>
      <c r="AE101" s="81"/>
      <c r="AF101" s="81"/>
      <c r="AG101" s="81"/>
      <c r="AH101" s="149"/>
      <c r="AI101" s="147"/>
      <c r="AJ101" s="81"/>
      <c r="AK101" s="81"/>
      <c r="AL101" s="81"/>
      <c r="AM101" s="81"/>
      <c r="AN101" s="81"/>
      <c r="AO101" s="81"/>
      <c r="AP101" s="81"/>
      <c r="AQ101" s="81"/>
      <c r="AR101" s="81"/>
      <c r="AS101" s="81"/>
      <c r="AT101" s="81"/>
      <c r="AU101" s="81"/>
      <c r="AV101" s="81"/>
      <c r="AW101" s="81"/>
      <c r="AX101" s="81"/>
      <c r="AY101" s="149"/>
    </row>
    <row r="102" spans="1:51">
      <c r="A102" s="147"/>
      <c r="B102" s="81"/>
      <c r="C102" s="81"/>
      <c r="D102" s="81"/>
      <c r="E102" s="81"/>
      <c r="F102" s="81"/>
      <c r="G102" s="81"/>
      <c r="H102" s="81"/>
      <c r="I102" s="81"/>
      <c r="J102" s="81"/>
      <c r="K102" s="81"/>
      <c r="L102" s="81"/>
      <c r="M102" s="81"/>
      <c r="N102" s="81"/>
      <c r="O102" s="81"/>
      <c r="P102" s="81"/>
      <c r="Q102" s="149"/>
      <c r="R102" s="147"/>
      <c r="S102" s="81"/>
      <c r="T102" s="81"/>
      <c r="U102" s="81"/>
      <c r="V102" s="81"/>
      <c r="W102" s="81"/>
      <c r="X102" s="81"/>
      <c r="Y102" s="81"/>
      <c r="Z102" s="81"/>
      <c r="AA102" s="81"/>
      <c r="AB102" s="81"/>
      <c r="AC102" s="81"/>
      <c r="AD102" s="81"/>
      <c r="AE102" s="81"/>
      <c r="AF102" s="81"/>
      <c r="AG102" s="81"/>
      <c r="AH102" s="149"/>
      <c r="AI102" s="147"/>
      <c r="AJ102" s="81"/>
      <c r="AK102" s="81"/>
      <c r="AL102" s="81"/>
      <c r="AM102" s="81"/>
      <c r="AN102" s="81"/>
      <c r="AO102" s="81"/>
      <c r="AP102" s="81"/>
      <c r="AQ102" s="81"/>
      <c r="AR102" s="81"/>
      <c r="AS102" s="81"/>
      <c r="AT102" s="81"/>
      <c r="AU102" s="81"/>
      <c r="AV102" s="81"/>
      <c r="AW102" s="81"/>
      <c r="AX102" s="81"/>
      <c r="AY102" s="149"/>
    </row>
    <row r="103" spans="1:51">
      <c r="A103" s="147"/>
      <c r="B103" s="81"/>
      <c r="C103" s="81"/>
      <c r="D103" s="81"/>
      <c r="E103" s="81"/>
      <c r="F103" s="81"/>
      <c r="G103" s="81"/>
      <c r="H103" s="81"/>
      <c r="I103" s="81"/>
      <c r="J103" s="81"/>
      <c r="K103" s="81"/>
      <c r="L103" s="81"/>
      <c r="M103" s="81"/>
      <c r="N103" s="81"/>
      <c r="O103" s="81"/>
      <c r="P103" s="81"/>
      <c r="Q103" s="149"/>
      <c r="R103" s="147"/>
      <c r="S103" s="81"/>
      <c r="T103" s="81"/>
      <c r="U103" s="81"/>
      <c r="V103" s="81"/>
      <c r="W103" s="81"/>
      <c r="X103" s="81"/>
      <c r="Y103" s="81"/>
      <c r="Z103" s="81"/>
      <c r="AA103" s="81"/>
      <c r="AB103" s="81"/>
      <c r="AC103" s="81"/>
      <c r="AD103" s="81"/>
      <c r="AE103" s="81"/>
      <c r="AF103" s="81"/>
      <c r="AG103" s="81"/>
      <c r="AH103" s="149"/>
      <c r="AI103" s="147"/>
      <c r="AJ103" s="81"/>
      <c r="AK103" s="81"/>
      <c r="AL103" s="81"/>
      <c r="AM103" s="81"/>
      <c r="AN103" s="81"/>
      <c r="AO103" s="81"/>
      <c r="AP103" s="81"/>
      <c r="AQ103" s="81"/>
      <c r="AR103" s="81"/>
      <c r="AS103" s="81"/>
      <c r="AT103" s="81"/>
      <c r="AU103" s="81"/>
      <c r="AV103" s="81"/>
      <c r="AW103" s="81"/>
      <c r="AX103" s="81"/>
      <c r="AY103" s="149"/>
    </row>
    <row r="104" spans="1:51">
      <c r="A104" s="147"/>
      <c r="B104" s="81"/>
      <c r="C104" s="81"/>
      <c r="D104" s="81"/>
      <c r="E104" s="81"/>
      <c r="F104" s="81"/>
      <c r="G104" s="81"/>
      <c r="H104" s="81"/>
      <c r="I104" s="81"/>
      <c r="J104" s="81"/>
      <c r="K104" s="81"/>
      <c r="L104" s="81"/>
      <c r="M104" s="81"/>
      <c r="N104" s="81"/>
      <c r="O104" s="81"/>
      <c r="P104" s="81"/>
      <c r="Q104" s="149"/>
      <c r="R104" s="147"/>
      <c r="S104" s="81"/>
      <c r="T104" s="81"/>
      <c r="U104" s="81"/>
      <c r="V104" s="81"/>
      <c r="W104" s="81"/>
      <c r="X104" s="81"/>
      <c r="Y104" s="81"/>
      <c r="Z104" s="81"/>
      <c r="AA104" s="81"/>
      <c r="AB104" s="81"/>
      <c r="AC104" s="81"/>
      <c r="AD104" s="81"/>
      <c r="AE104" s="81"/>
      <c r="AF104" s="81"/>
      <c r="AG104" s="81"/>
      <c r="AH104" s="149"/>
      <c r="AI104" s="147"/>
      <c r="AJ104" s="81"/>
      <c r="AK104" s="81"/>
      <c r="AL104" s="81"/>
      <c r="AM104" s="81"/>
      <c r="AN104" s="81"/>
      <c r="AO104" s="81"/>
      <c r="AP104" s="81"/>
      <c r="AQ104" s="81"/>
      <c r="AR104" s="81"/>
      <c r="AS104" s="81"/>
      <c r="AT104" s="81"/>
      <c r="AU104" s="81"/>
      <c r="AV104" s="81"/>
      <c r="AW104" s="81"/>
      <c r="AX104" s="81"/>
      <c r="AY104" s="149"/>
    </row>
    <row r="105" spans="1:51">
      <c r="A105" s="147"/>
      <c r="B105" s="81"/>
      <c r="C105" s="81"/>
      <c r="D105" s="81"/>
      <c r="E105" s="81"/>
      <c r="F105" s="81"/>
      <c r="G105" s="81"/>
      <c r="H105" s="81"/>
      <c r="I105" s="81"/>
      <c r="J105" s="81"/>
      <c r="K105" s="81"/>
      <c r="L105" s="81"/>
      <c r="M105" s="81"/>
      <c r="N105" s="81"/>
      <c r="O105" s="81"/>
      <c r="P105" s="81"/>
      <c r="Q105" s="149"/>
      <c r="R105" s="147"/>
      <c r="S105" s="81"/>
      <c r="T105" s="81"/>
      <c r="U105" s="81"/>
      <c r="V105" s="81"/>
      <c r="W105" s="81"/>
      <c r="X105" s="81"/>
      <c r="Y105" s="81"/>
      <c r="Z105" s="81"/>
      <c r="AA105" s="81"/>
      <c r="AB105" s="81"/>
      <c r="AC105" s="81"/>
      <c r="AD105" s="81"/>
      <c r="AE105" s="81"/>
      <c r="AF105" s="81"/>
      <c r="AG105" s="81"/>
      <c r="AH105" s="149"/>
      <c r="AI105" s="147"/>
      <c r="AJ105" s="81"/>
      <c r="AK105" s="81"/>
      <c r="AL105" s="81"/>
      <c r="AM105" s="81"/>
      <c r="AN105" s="81"/>
      <c r="AO105" s="81"/>
      <c r="AP105" s="81"/>
      <c r="AQ105" s="81"/>
      <c r="AR105" s="81"/>
      <c r="AS105" s="81"/>
      <c r="AT105" s="81"/>
      <c r="AU105" s="81"/>
      <c r="AV105" s="81"/>
      <c r="AW105" s="81"/>
      <c r="AX105" s="81"/>
      <c r="AY105" s="149"/>
    </row>
    <row r="106" spans="1:51">
      <c r="A106" s="147"/>
      <c r="B106" s="81"/>
      <c r="C106" s="81"/>
      <c r="D106" s="81"/>
      <c r="E106" s="81"/>
      <c r="F106" s="81"/>
      <c r="G106" s="81"/>
      <c r="H106" s="81"/>
      <c r="I106" s="81"/>
      <c r="J106" s="81"/>
      <c r="K106" s="81"/>
      <c r="L106" s="81"/>
      <c r="M106" s="81"/>
      <c r="N106" s="81"/>
      <c r="O106" s="81"/>
      <c r="P106" s="81"/>
      <c r="Q106" s="149"/>
      <c r="R106" s="147"/>
      <c r="S106" s="81"/>
      <c r="T106" s="81"/>
      <c r="U106" s="81"/>
      <c r="V106" s="81"/>
      <c r="W106" s="81"/>
      <c r="X106" s="81"/>
      <c r="Y106" s="81"/>
      <c r="Z106" s="81"/>
      <c r="AA106" s="81"/>
      <c r="AB106" s="81"/>
      <c r="AC106" s="81"/>
      <c r="AD106" s="81"/>
      <c r="AE106" s="81"/>
      <c r="AF106" s="81"/>
      <c r="AG106" s="81"/>
      <c r="AH106" s="149"/>
      <c r="AI106" s="147"/>
      <c r="AJ106" s="81"/>
      <c r="AK106" s="81"/>
      <c r="AL106" s="81"/>
      <c r="AM106" s="81"/>
      <c r="AN106" s="81"/>
      <c r="AO106" s="81"/>
      <c r="AP106" s="81"/>
      <c r="AQ106" s="81"/>
      <c r="AR106" s="81"/>
      <c r="AS106" s="81"/>
      <c r="AT106" s="81"/>
      <c r="AU106" s="81"/>
      <c r="AV106" s="81"/>
      <c r="AW106" s="81"/>
      <c r="AX106" s="81"/>
      <c r="AY106" s="149"/>
    </row>
    <row r="107" spans="1:51">
      <c r="A107" s="147"/>
      <c r="B107" s="81"/>
      <c r="C107" s="81"/>
      <c r="D107" s="81"/>
      <c r="E107" s="81"/>
      <c r="F107" s="81"/>
      <c r="G107" s="81"/>
      <c r="H107" s="81"/>
      <c r="I107" s="81"/>
      <c r="J107" s="81"/>
      <c r="K107" s="81"/>
      <c r="L107" s="81"/>
      <c r="M107" s="81"/>
      <c r="N107" s="81"/>
      <c r="O107" s="81"/>
      <c r="P107" s="81"/>
      <c r="Q107" s="149"/>
      <c r="R107" s="147"/>
      <c r="S107" s="81"/>
      <c r="T107" s="81"/>
      <c r="U107" s="81"/>
      <c r="V107" s="81"/>
      <c r="W107" s="81"/>
      <c r="X107" s="81"/>
      <c r="Y107" s="81"/>
      <c r="Z107" s="81"/>
      <c r="AA107" s="81"/>
      <c r="AB107" s="81"/>
      <c r="AC107" s="81"/>
      <c r="AD107" s="81"/>
      <c r="AE107" s="81"/>
      <c r="AF107" s="81"/>
      <c r="AG107" s="81"/>
      <c r="AH107" s="149"/>
      <c r="AI107" s="147"/>
      <c r="AJ107" s="81"/>
      <c r="AK107" s="81"/>
      <c r="AL107" s="81"/>
      <c r="AM107" s="81"/>
      <c r="AN107" s="81"/>
      <c r="AO107" s="81"/>
      <c r="AP107" s="81"/>
      <c r="AQ107" s="81"/>
      <c r="AR107" s="81"/>
      <c r="AS107" s="81"/>
      <c r="AT107" s="81"/>
      <c r="AU107" s="81"/>
      <c r="AV107" s="81"/>
      <c r="AW107" s="81"/>
      <c r="AX107" s="81"/>
      <c r="AY107" s="149"/>
    </row>
    <row r="108" spans="1:51">
      <c r="A108" s="147"/>
      <c r="B108" s="81"/>
      <c r="C108" s="81"/>
      <c r="D108" s="81"/>
      <c r="E108" s="81"/>
      <c r="F108" s="81"/>
      <c r="G108" s="81"/>
      <c r="H108" s="81"/>
      <c r="I108" s="81"/>
      <c r="J108" s="81"/>
      <c r="K108" s="81"/>
      <c r="L108" s="81"/>
      <c r="M108" s="81"/>
      <c r="N108" s="81"/>
      <c r="O108" s="81"/>
      <c r="P108" s="81"/>
      <c r="Q108" s="149"/>
      <c r="R108" s="147"/>
      <c r="S108" s="81"/>
      <c r="T108" s="81"/>
      <c r="U108" s="81"/>
      <c r="V108" s="81"/>
      <c r="W108" s="81"/>
      <c r="X108" s="81"/>
      <c r="Y108" s="81"/>
      <c r="Z108" s="81"/>
      <c r="AA108" s="81"/>
      <c r="AB108" s="81"/>
      <c r="AC108" s="81"/>
      <c r="AD108" s="81"/>
      <c r="AE108" s="81"/>
      <c r="AF108" s="81"/>
      <c r="AG108" s="81"/>
      <c r="AH108" s="149"/>
      <c r="AI108" s="147"/>
      <c r="AJ108" s="81"/>
      <c r="AK108" s="81"/>
      <c r="AL108" s="81"/>
      <c r="AM108" s="81"/>
      <c r="AN108" s="81"/>
      <c r="AO108" s="81"/>
      <c r="AP108" s="81"/>
      <c r="AQ108" s="81"/>
      <c r="AR108" s="81"/>
      <c r="AS108" s="81"/>
      <c r="AT108" s="81"/>
      <c r="AU108" s="81"/>
      <c r="AV108" s="81"/>
      <c r="AW108" s="81"/>
      <c r="AX108" s="81"/>
      <c r="AY108" s="149"/>
    </row>
    <row r="109" spans="1:51">
      <c r="A109" s="147"/>
      <c r="B109" s="81"/>
      <c r="C109" s="81"/>
      <c r="D109" s="81"/>
      <c r="E109" s="81"/>
      <c r="F109" s="81"/>
      <c r="G109" s="81"/>
      <c r="H109" s="81"/>
      <c r="I109" s="81"/>
      <c r="J109" s="81"/>
      <c r="K109" s="81"/>
      <c r="L109" s="81"/>
      <c r="M109" s="81"/>
      <c r="N109" s="81"/>
      <c r="O109" s="81"/>
      <c r="P109" s="81"/>
      <c r="Q109" s="149"/>
      <c r="R109" s="147"/>
      <c r="S109" s="81"/>
      <c r="T109" s="81"/>
      <c r="U109" s="81"/>
      <c r="V109" s="81"/>
      <c r="W109" s="81"/>
      <c r="X109" s="81"/>
      <c r="Y109" s="81"/>
      <c r="Z109" s="81"/>
      <c r="AA109" s="81"/>
      <c r="AB109" s="81"/>
      <c r="AC109" s="81"/>
      <c r="AD109" s="81"/>
      <c r="AE109" s="81"/>
      <c r="AF109" s="81"/>
      <c r="AG109" s="81"/>
      <c r="AH109" s="149"/>
      <c r="AI109" s="147"/>
      <c r="AJ109" s="81"/>
      <c r="AK109" s="81"/>
      <c r="AL109" s="81"/>
      <c r="AM109" s="81"/>
      <c r="AN109" s="81"/>
      <c r="AO109" s="81"/>
      <c r="AP109" s="81"/>
      <c r="AQ109" s="81"/>
      <c r="AR109" s="81"/>
      <c r="AS109" s="81"/>
      <c r="AT109" s="81"/>
      <c r="AU109" s="81"/>
      <c r="AV109" s="81"/>
      <c r="AW109" s="81"/>
      <c r="AX109" s="81"/>
      <c r="AY109" s="149"/>
    </row>
    <row r="110" spans="1:51">
      <c r="A110" s="147"/>
      <c r="B110" s="81"/>
      <c r="C110" s="81"/>
      <c r="D110" s="81"/>
      <c r="E110" s="81"/>
      <c r="F110" s="81"/>
      <c r="G110" s="81"/>
      <c r="H110" s="81"/>
      <c r="I110" s="81"/>
      <c r="J110" s="81"/>
      <c r="K110" s="81"/>
      <c r="L110" s="81"/>
      <c r="M110" s="81"/>
      <c r="N110" s="81"/>
      <c r="O110" s="81"/>
      <c r="P110" s="81"/>
      <c r="Q110" s="149"/>
      <c r="R110" s="147"/>
      <c r="S110" s="81"/>
      <c r="T110" s="81"/>
      <c r="U110" s="81"/>
      <c r="V110" s="81"/>
      <c r="W110" s="81"/>
      <c r="X110" s="81"/>
      <c r="Y110" s="81"/>
      <c r="Z110" s="81"/>
      <c r="AA110" s="81"/>
      <c r="AB110" s="81"/>
      <c r="AC110" s="81"/>
      <c r="AD110" s="81"/>
      <c r="AE110" s="81"/>
      <c r="AF110" s="81"/>
      <c r="AG110" s="81"/>
      <c r="AH110" s="149"/>
      <c r="AI110" s="147"/>
      <c r="AJ110" s="81"/>
      <c r="AK110" s="81"/>
      <c r="AL110" s="81"/>
      <c r="AM110" s="81"/>
      <c r="AN110" s="81"/>
      <c r="AO110" s="81"/>
      <c r="AP110" s="81"/>
      <c r="AQ110" s="81"/>
      <c r="AR110" s="81"/>
      <c r="AS110" s="81"/>
      <c r="AT110" s="81"/>
      <c r="AU110" s="81"/>
      <c r="AV110" s="81"/>
      <c r="AW110" s="81"/>
      <c r="AX110" s="81"/>
      <c r="AY110" s="149"/>
    </row>
    <row r="111" spans="1:51">
      <c r="A111" s="147"/>
      <c r="B111" s="81"/>
      <c r="C111" s="81"/>
      <c r="D111" s="81"/>
      <c r="E111" s="81"/>
      <c r="F111" s="81"/>
      <c r="G111" s="81"/>
      <c r="H111" s="81"/>
      <c r="I111" s="81"/>
      <c r="J111" s="81"/>
      <c r="K111" s="81"/>
      <c r="L111" s="81"/>
      <c r="M111" s="81"/>
      <c r="N111" s="81"/>
      <c r="O111" s="81"/>
      <c r="P111" s="81"/>
      <c r="Q111" s="149"/>
      <c r="R111" s="147"/>
      <c r="S111" s="81"/>
      <c r="T111" s="81"/>
      <c r="U111" s="81"/>
      <c r="V111" s="81"/>
      <c r="W111" s="81"/>
      <c r="X111" s="81"/>
      <c r="Y111" s="81"/>
      <c r="Z111" s="81"/>
      <c r="AA111" s="81"/>
      <c r="AB111" s="81"/>
      <c r="AC111" s="81"/>
      <c r="AD111" s="81"/>
      <c r="AE111" s="81"/>
      <c r="AF111" s="81"/>
      <c r="AG111" s="81"/>
      <c r="AH111" s="149"/>
      <c r="AI111" s="147"/>
      <c r="AJ111" s="81"/>
      <c r="AK111" s="81"/>
      <c r="AL111" s="81"/>
      <c r="AM111" s="81"/>
      <c r="AN111" s="81"/>
      <c r="AO111" s="81"/>
      <c r="AP111" s="81"/>
      <c r="AQ111" s="81"/>
      <c r="AR111" s="81"/>
      <c r="AS111" s="81"/>
      <c r="AT111" s="81"/>
      <c r="AU111" s="81"/>
      <c r="AV111" s="81"/>
      <c r="AW111" s="81"/>
      <c r="AX111" s="81"/>
      <c r="AY111" s="149"/>
    </row>
    <row r="112" spans="1:51">
      <c r="A112" s="147"/>
      <c r="B112" s="81"/>
      <c r="C112" s="81"/>
      <c r="D112" s="81"/>
      <c r="E112" s="81"/>
      <c r="F112" s="81"/>
      <c r="G112" s="81"/>
      <c r="H112" s="81"/>
      <c r="I112" s="81"/>
      <c r="J112" s="81"/>
      <c r="K112" s="81"/>
      <c r="L112" s="81"/>
      <c r="M112" s="81"/>
      <c r="N112" s="81"/>
      <c r="O112" s="81"/>
      <c r="P112" s="81"/>
      <c r="Q112" s="149"/>
      <c r="R112" s="147"/>
      <c r="S112" s="81"/>
      <c r="T112" s="81"/>
      <c r="U112" s="81"/>
      <c r="V112" s="81"/>
      <c r="W112" s="81"/>
      <c r="X112" s="81"/>
      <c r="Y112" s="81"/>
      <c r="Z112" s="81"/>
      <c r="AA112" s="81"/>
      <c r="AB112" s="81"/>
      <c r="AC112" s="81"/>
      <c r="AD112" s="81"/>
      <c r="AE112" s="81"/>
      <c r="AF112" s="81"/>
      <c r="AG112" s="81"/>
      <c r="AH112" s="149"/>
      <c r="AI112" s="147"/>
      <c r="AJ112" s="81"/>
      <c r="AK112" s="81"/>
      <c r="AL112" s="81"/>
      <c r="AM112" s="81"/>
      <c r="AN112" s="81"/>
      <c r="AO112" s="81"/>
      <c r="AP112" s="81"/>
      <c r="AQ112" s="81"/>
      <c r="AR112" s="81"/>
      <c r="AS112" s="81"/>
      <c r="AT112" s="81"/>
      <c r="AU112" s="81"/>
      <c r="AV112" s="81"/>
      <c r="AW112" s="81"/>
      <c r="AX112" s="81"/>
      <c r="AY112" s="149"/>
    </row>
    <row r="113" spans="1:51">
      <c r="A113" s="147"/>
      <c r="B113" s="81"/>
      <c r="C113" s="81"/>
      <c r="D113" s="81"/>
      <c r="E113" s="81"/>
      <c r="F113" s="81"/>
      <c r="G113" s="81"/>
      <c r="H113" s="81"/>
      <c r="I113" s="81"/>
      <c r="J113" s="81"/>
      <c r="K113" s="81"/>
      <c r="L113" s="81"/>
      <c r="M113" s="81"/>
      <c r="N113" s="81"/>
      <c r="O113" s="81"/>
      <c r="P113" s="81"/>
      <c r="Q113" s="149"/>
      <c r="R113" s="147"/>
      <c r="S113" s="81"/>
      <c r="T113" s="81"/>
      <c r="U113" s="81"/>
      <c r="V113" s="81"/>
      <c r="W113" s="81"/>
      <c r="X113" s="81"/>
      <c r="Y113" s="81"/>
      <c r="Z113" s="81"/>
      <c r="AA113" s="81"/>
      <c r="AB113" s="81"/>
      <c r="AC113" s="81"/>
      <c r="AD113" s="81"/>
      <c r="AE113" s="81"/>
      <c r="AF113" s="81"/>
      <c r="AG113" s="81"/>
      <c r="AH113" s="149"/>
      <c r="AI113" s="147"/>
      <c r="AJ113" s="81"/>
      <c r="AK113" s="81"/>
      <c r="AL113" s="81"/>
      <c r="AM113" s="81"/>
      <c r="AN113" s="81"/>
      <c r="AO113" s="81"/>
      <c r="AP113" s="81"/>
      <c r="AQ113" s="81"/>
      <c r="AR113" s="81"/>
      <c r="AS113" s="81"/>
      <c r="AT113" s="81"/>
      <c r="AU113" s="81"/>
      <c r="AV113" s="81"/>
      <c r="AW113" s="81"/>
      <c r="AX113" s="81"/>
      <c r="AY113" s="149"/>
    </row>
    <row r="114" spans="1:51">
      <c r="A114" s="147"/>
      <c r="B114" s="81"/>
      <c r="C114" s="81"/>
      <c r="D114" s="81"/>
      <c r="E114" s="81"/>
      <c r="F114" s="81"/>
      <c r="G114" s="81"/>
      <c r="H114" s="81"/>
      <c r="I114" s="81"/>
      <c r="J114" s="81"/>
      <c r="K114" s="81"/>
      <c r="L114" s="81"/>
      <c r="M114" s="81"/>
      <c r="N114" s="81"/>
      <c r="O114" s="81"/>
      <c r="P114" s="81"/>
      <c r="Q114" s="149"/>
      <c r="R114" s="147"/>
      <c r="S114" s="81"/>
      <c r="T114" s="81"/>
      <c r="U114" s="81"/>
      <c r="V114" s="81"/>
      <c r="W114" s="81"/>
      <c r="X114" s="81"/>
      <c r="Y114" s="81"/>
      <c r="Z114" s="81"/>
      <c r="AA114" s="81"/>
      <c r="AB114" s="81"/>
      <c r="AC114" s="81"/>
      <c r="AD114" s="81"/>
      <c r="AE114" s="81"/>
      <c r="AF114" s="81"/>
      <c r="AG114" s="81"/>
      <c r="AH114" s="149"/>
      <c r="AI114" s="147"/>
      <c r="AJ114" s="81"/>
      <c r="AK114" s="81"/>
      <c r="AL114" s="81"/>
      <c r="AM114" s="81"/>
      <c r="AN114" s="81"/>
      <c r="AO114" s="81"/>
      <c r="AP114" s="81"/>
      <c r="AQ114" s="81"/>
      <c r="AR114" s="81"/>
      <c r="AS114" s="81"/>
      <c r="AT114" s="81"/>
      <c r="AU114" s="81"/>
      <c r="AV114" s="81"/>
      <c r="AW114" s="81"/>
      <c r="AX114" s="81"/>
      <c r="AY114" s="149"/>
    </row>
    <row r="115" spans="1:51">
      <c r="A115" s="147"/>
      <c r="B115" s="81"/>
      <c r="C115" s="81"/>
      <c r="D115" s="81"/>
      <c r="E115" s="81"/>
      <c r="F115" s="81"/>
      <c r="G115" s="81"/>
      <c r="H115" s="81"/>
      <c r="I115" s="81"/>
      <c r="J115" s="81"/>
      <c r="K115" s="81"/>
      <c r="L115" s="81"/>
      <c r="M115" s="81"/>
      <c r="N115" s="81"/>
      <c r="O115" s="81"/>
      <c r="P115" s="81"/>
      <c r="Q115" s="149"/>
      <c r="R115" s="147"/>
      <c r="S115" s="81"/>
      <c r="T115" s="81"/>
      <c r="U115" s="81"/>
      <c r="V115" s="81"/>
      <c r="W115" s="81"/>
      <c r="X115" s="81"/>
      <c r="Y115" s="81"/>
      <c r="Z115" s="81"/>
      <c r="AA115" s="81"/>
      <c r="AB115" s="81"/>
      <c r="AC115" s="81"/>
      <c r="AD115" s="81"/>
      <c r="AE115" s="81"/>
      <c r="AF115" s="81"/>
      <c r="AG115" s="81"/>
      <c r="AH115" s="149"/>
      <c r="AI115" s="147"/>
      <c r="AJ115" s="81"/>
      <c r="AK115" s="81"/>
      <c r="AL115" s="81"/>
      <c r="AM115" s="81"/>
      <c r="AN115" s="81"/>
      <c r="AO115" s="81"/>
      <c r="AP115" s="81"/>
      <c r="AQ115" s="81"/>
      <c r="AR115" s="81"/>
      <c r="AS115" s="81"/>
      <c r="AT115" s="81"/>
      <c r="AU115" s="81"/>
      <c r="AV115" s="81"/>
      <c r="AW115" s="81"/>
      <c r="AX115" s="81"/>
      <c r="AY115" s="149"/>
    </row>
    <row r="116" spans="1:51">
      <c r="A116" s="360"/>
      <c r="B116" s="361"/>
      <c r="C116" s="361"/>
      <c r="D116" s="361"/>
      <c r="E116" s="361"/>
      <c r="F116" s="361"/>
      <c r="G116" s="361"/>
      <c r="H116" s="361"/>
      <c r="I116" s="361"/>
      <c r="J116" s="361"/>
      <c r="K116" s="361"/>
      <c r="L116" s="361"/>
      <c r="M116" s="361"/>
      <c r="N116" s="361"/>
      <c r="O116" s="361"/>
      <c r="P116" s="361"/>
      <c r="Q116" s="362"/>
      <c r="R116" s="360"/>
      <c r="S116" s="361"/>
      <c r="T116" s="361"/>
      <c r="U116" s="361"/>
      <c r="V116" s="361"/>
      <c r="W116" s="361"/>
      <c r="X116" s="361"/>
      <c r="Y116" s="361"/>
      <c r="Z116" s="361"/>
      <c r="AA116" s="361"/>
      <c r="AB116" s="361"/>
      <c r="AC116" s="361"/>
      <c r="AD116" s="361"/>
      <c r="AE116" s="361"/>
      <c r="AF116" s="361"/>
      <c r="AG116" s="361"/>
      <c r="AH116" s="362"/>
      <c r="AI116" s="360"/>
      <c r="AJ116" s="361"/>
      <c r="AK116" s="361"/>
      <c r="AL116" s="361"/>
      <c r="AM116" s="361"/>
      <c r="AN116" s="361"/>
      <c r="AO116" s="361"/>
      <c r="AP116" s="361"/>
      <c r="AQ116" s="361"/>
      <c r="AR116" s="361"/>
      <c r="AS116" s="361"/>
      <c r="AT116" s="361"/>
      <c r="AU116" s="361"/>
      <c r="AV116" s="361"/>
      <c r="AW116" s="361"/>
      <c r="AX116" s="361"/>
      <c r="AY116" s="362"/>
    </row>
  </sheetData>
  <sheetProtection algorithmName="SHA-512" hashValue="DfyZvOT4/gBLhOM313PT4Fk3YP4ue7boOdKb3OE/hI7mH3v1cMpVuiQ5FhswH8MsQ7NS3qbMbhli5Y8NVEdjfQ==" saltValue="fjfBETFnw0ekt12maYot5Q==" spinCount="100000" sheet="1" scenarios="1"/>
  <mergeCells count="11">
    <mergeCell ref="AF6:AG6"/>
    <mergeCell ref="S7:AE8"/>
    <mergeCell ref="A12:Q12"/>
    <mergeCell ref="R12:AH12"/>
    <mergeCell ref="AI12:AY12"/>
    <mergeCell ref="S4:AE4"/>
    <mergeCell ref="A1:Q1"/>
    <mergeCell ref="S2:AE3"/>
    <mergeCell ref="AF2:AG2"/>
    <mergeCell ref="D3:I3"/>
    <mergeCell ref="N3:Q3"/>
  </mergeCells>
  <dataValidations count="1">
    <dataValidation type="list" allowBlank="1" showInputMessage="1" showErrorMessage="1" sqref="AF2:AG2 AF6" xr:uid="{9A42709F-696D-4D38-842A-579A9498551C}">
      <formula1>"Yes,No"</formula1>
    </dataValidation>
  </dataValidations>
  <hyperlinks>
    <hyperlink ref="M10" location="'Cover Sheet'!A1" display="BACK to COVER SHEET" xr:uid="{D7CB524A-D9C0-476A-BB43-BCEE0FF84310}"/>
    <hyperlink ref="M9" location="'EV5.5 TSAC Attachment Guidance'!A1" display="Link to guidance notes" xr:uid="{46A9242A-AAB1-48C3-B284-E19CC717EA81}"/>
  </hyperlinks>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71B28-FDA2-4622-9D3C-C0A49AF24523}">
  <sheetPr codeName="Sheet13">
    <tabColor rgb="FFFFFF66"/>
  </sheetPr>
  <dimension ref="A1:AY106"/>
  <sheetViews>
    <sheetView view="pageBreakPreview" zoomScaleNormal="100" zoomScaleSheetLayoutView="100" workbookViewId="0">
      <selection sqref="A1:Q1"/>
    </sheetView>
  </sheetViews>
  <sheetFormatPr defaultColWidth="5" defaultRowHeight="12.75"/>
  <sheetData>
    <row r="1" spans="1:51">
      <c r="A1" s="561" t="str">
        <f>CONCATENATE(Read_Me!A1," FS ASES ",Read_Me!B1," - Fasteners")</f>
        <v>2026 FS ASES V1.0 - Fasteners</v>
      </c>
      <c r="B1" s="561"/>
      <c r="C1" s="561"/>
      <c r="D1" s="561"/>
      <c r="E1" s="561"/>
      <c r="F1" s="561"/>
      <c r="G1" s="561"/>
      <c r="H1" s="561"/>
      <c r="I1" s="561"/>
      <c r="J1" s="561"/>
      <c r="K1" s="561"/>
      <c r="L1" s="561"/>
      <c r="M1" s="561"/>
      <c r="N1" s="561"/>
      <c r="O1" s="561"/>
      <c r="P1" s="561"/>
      <c r="Q1" s="561"/>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4"/>
      <c r="AS1" s="174"/>
      <c r="AT1" s="174"/>
      <c r="AU1" s="174"/>
      <c r="AV1" s="174"/>
      <c r="AW1" s="174"/>
      <c r="AX1" s="174"/>
      <c r="AY1" s="174"/>
    </row>
    <row r="2" spans="1:51">
      <c r="A2" s="224"/>
      <c r="B2" s="174"/>
      <c r="C2" s="174"/>
      <c r="D2" s="174"/>
      <c r="E2" s="174"/>
      <c r="F2" s="174"/>
      <c r="G2" s="174"/>
      <c r="H2" s="174"/>
      <c r="I2" s="174"/>
      <c r="J2" s="174"/>
      <c r="K2" s="174"/>
      <c r="L2" s="174"/>
      <c r="M2" s="174"/>
      <c r="N2" s="174"/>
      <c r="O2" s="174"/>
      <c r="P2" s="174"/>
      <c r="Q2" s="199"/>
      <c r="R2" s="174"/>
      <c r="S2" s="1"/>
      <c r="T2" s="1"/>
      <c r="U2" s="1"/>
      <c r="V2" s="1"/>
      <c r="W2" s="1"/>
      <c r="X2" s="1"/>
      <c r="Y2" s="1"/>
      <c r="Z2" s="1"/>
      <c r="AA2" s="1"/>
      <c r="AB2" s="1"/>
      <c r="AC2" s="1"/>
      <c r="AD2" s="1"/>
      <c r="AE2" s="1"/>
      <c r="AF2" s="176"/>
      <c r="AG2" s="176"/>
      <c r="AH2" s="174"/>
      <c r="AI2" s="174"/>
      <c r="AJ2" s="174"/>
      <c r="AK2" s="174"/>
      <c r="AL2" s="174"/>
      <c r="AM2" s="174"/>
      <c r="AN2" s="174"/>
      <c r="AO2" s="174"/>
      <c r="AP2" s="174"/>
      <c r="AQ2" s="174"/>
      <c r="AR2" s="174"/>
      <c r="AS2" s="174"/>
      <c r="AT2" s="174"/>
      <c r="AU2" s="174"/>
      <c r="AV2" s="174"/>
      <c r="AW2" s="174"/>
      <c r="AX2" s="174"/>
      <c r="AY2" s="174"/>
    </row>
    <row r="3" spans="1:51">
      <c r="A3" s="224" t="s">
        <v>17</v>
      </c>
      <c r="B3" s="174"/>
      <c r="C3" s="174"/>
      <c r="D3" s="562" t="str">
        <f>IF('Cover Sheet'!D15:J15&gt;0,'Cover Sheet'!D15:J15,"")</f>
        <v/>
      </c>
      <c r="E3" s="562"/>
      <c r="F3" s="562"/>
      <c r="G3" s="562"/>
      <c r="H3" s="562"/>
      <c r="I3" s="562"/>
      <c r="J3" s="174" t="s">
        <v>18</v>
      </c>
      <c r="K3" s="174"/>
      <c r="L3" s="174"/>
      <c r="M3" s="174"/>
      <c r="N3" s="562" t="str">
        <f>IF('Cover Sheet'!O15&gt;0,'Cover Sheet'!O15,"")</f>
        <v/>
      </c>
      <c r="O3" s="562"/>
      <c r="P3" s="562"/>
      <c r="Q3" s="562"/>
      <c r="R3" s="174"/>
      <c r="S3" s="1"/>
      <c r="T3" s="1"/>
      <c r="U3" s="1"/>
      <c r="V3" s="1"/>
      <c r="W3" s="1"/>
      <c r="X3" s="1"/>
      <c r="Y3" s="1"/>
      <c r="Z3" s="1"/>
      <c r="AA3" s="1"/>
      <c r="AB3" s="1"/>
      <c r="AC3" s="1"/>
      <c r="AD3" s="1"/>
      <c r="AE3" s="1"/>
      <c r="AF3" s="174"/>
      <c r="AG3" s="174"/>
      <c r="AH3" s="174"/>
      <c r="AI3" s="174"/>
      <c r="AJ3" s="174"/>
      <c r="AK3" s="174"/>
      <c r="AL3" s="174"/>
      <c r="AM3" s="174"/>
      <c r="AN3" s="174"/>
      <c r="AO3" s="174"/>
      <c r="AP3" s="174"/>
      <c r="AQ3" s="174"/>
      <c r="AR3" s="174"/>
      <c r="AS3" s="174"/>
      <c r="AT3" s="174"/>
      <c r="AU3" s="174"/>
      <c r="AV3" s="174"/>
      <c r="AW3" s="174"/>
      <c r="AX3" s="174"/>
      <c r="AY3" s="174"/>
    </row>
    <row r="4" spans="1:51">
      <c r="A4" s="224"/>
      <c r="B4" s="174"/>
      <c r="C4" s="174"/>
      <c r="D4" s="174"/>
      <c r="E4" s="174"/>
      <c r="F4" s="174"/>
      <c r="G4" s="174"/>
      <c r="H4" s="174"/>
      <c r="I4" s="174"/>
      <c r="J4" s="174"/>
      <c r="K4" s="174"/>
      <c r="L4" s="174"/>
      <c r="M4" s="174"/>
      <c r="N4" s="174"/>
      <c r="O4" s="174"/>
      <c r="P4" s="174"/>
      <c r="Q4" s="199"/>
      <c r="R4" s="174"/>
      <c r="S4" s="373"/>
      <c r="T4" s="373"/>
      <c r="U4" s="373"/>
      <c r="V4" s="373"/>
      <c r="W4" s="373"/>
      <c r="X4" s="373"/>
      <c r="Y4" s="373"/>
      <c r="Z4" s="373"/>
      <c r="AA4" s="373"/>
      <c r="AB4" s="373"/>
      <c r="AC4" s="373"/>
      <c r="AD4" s="373"/>
      <c r="AE4" s="373"/>
      <c r="AF4" s="174"/>
      <c r="AG4" s="174"/>
      <c r="AH4" s="174"/>
      <c r="AI4" s="174"/>
      <c r="AJ4" s="174"/>
      <c r="AK4" s="174"/>
      <c r="AL4" s="174"/>
      <c r="AM4" s="174"/>
      <c r="AN4" s="174"/>
      <c r="AO4" s="174"/>
      <c r="AP4" s="174"/>
      <c r="AQ4" s="174"/>
      <c r="AR4" s="174"/>
      <c r="AS4" s="174"/>
      <c r="AT4" s="174"/>
      <c r="AU4" s="174"/>
      <c r="AV4" s="174"/>
      <c r="AW4" s="174"/>
      <c r="AX4" s="174"/>
      <c r="AY4" s="174"/>
    </row>
    <row r="5" spans="1:51">
      <c r="A5" s="363"/>
      <c r="B5" s="364"/>
      <c r="C5" s="364"/>
      <c r="D5" s="364"/>
      <c r="E5" s="364"/>
      <c r="F5" s="364"/>
      <c r="G5" s="364"/>
      <c r="H5" s="364"/>
      <c r="I5" s="364"/>
      <c r="J5" s="364"/>
      <c r="K5" s="364"/>
      <c r="L5" s="364"/>
      <c r="M5" s="364"/>
      <c r="N5" s="364"/>
      <c r="O5" s="364"/>
      <c r="P5" s="364"/>
      <c r="Q5" s="365"/>
      <c r="R5" s="174"/>
      <c r="S5" s="174"/>
      <c r="T5" s="174"/>
      <c r="U5" s="174"/>
      <c r="V5" s="174"/>
      <c r="W5" s="174"/>
      <c r="X5" s="174"/>
      <c r="Y5" s="174"/>
      <c r="Z5" s="174"/>
      <c r="AA5" s="174"/>
      <c r="AB5" s="174"/>
      <c r="AC5" s="174"/>
      <c r="AD5" s="174"/>
      <c r="AE5" s="174"/>
      <c r="AF5" s="174"/>
      <c r="AG5" s="174"/>
      <c r="AH5" s="174"/>
      <c r="AI5" s="174"/>
      <c r="AJ5" s="174"/>
      <c r="AK5" s="174"/>
      <c r="AL5" s="174"/>
      <c r="AM5" s="174"/>
      <c r="AN5" s="174"/>
      <c r="AO5" s="174"/>
      <c r="AP5" s="174"/>
      <c r="AQ5" s="174"/>
      <c r="AR5" s="174"/>
      <c r="AS5" s="174"/>
      <c r="AT5" s="174"/>
      <c r="AU5" s="174"/>
      <c r="AV5" s="174"/>
      <c r="AW5" s="174"/>
      <c r="AX5" s="174"/>
      <c r="AY5" s="174"/>
    </row>
    <row r="6" spans="1:51">
      <c r="A6" s="224"/>
      <c r="B6" s="195" t="s">
        <v>448</v>
      </c>
      <c r="C6" s="174"/>
      <c r="D6" s="174"/>
      <c r="E6" s="174"/>
      <c r="F6" s="174"/>
      <c r="G6" s="174"/>
      <c r="H6" s="174"/>
      <c r="I6" s="174"/>
      <c r="J6" s="174"/>
      <c r="K6" s="174"/>
      <c r="L6" s="174"/>
      <c r="M6" s="174"/>
      <c r="N6" s="174"/>
      <c r="O6" s="174"/>
      <c r="P6" s="174"/>
      <c r="Q6" s="199"/>
      <c r="R6" s="174"/>
      <c r="S6" s="195"/>
      <c r="T6" s="174"/>
      <c r="U6" s="174"/>
      <c r="V6" s="174"/>
      <c r="W6" s="174"/>
      <c r="X6" s="174"/>
      <c r="Y6" s="174"/>
      <c r="Z6" s="174"/>
      <c r="AA6" s="174"/>
      <c r="AB6" s="174"/>
      <c r="AC6" s="174"/>
      <c r="AD6" s="174"/>
      <c r="AE6" s="174"/>
      <c r="AF6" s="176"/>
      <c r="AG6" s="176"/>
      <c r="AH6" s="174"/>
      <c r="AI6" s="174"/>
      <c r="AJ6" s="174"/>
      <c r="AK6" s="174"/>
      <c r="AL6" s="174"/>
      <c r="AM6" s="174"/>
      <c r="AN6" s="174"/>
      <c r="AO6" s="174"/>
      <c r="AP6" s="174"/>
      <c r="AQ6" s="174"/>
      <c r="AR6" s="174"/>
      <c r="AS6" s="174"/>
      <c r="AT6" s="174"/>
      <c r="AU6" s="174"/>
      <c r="AV6" s="174"/>
      <c r="AW6" s="174"/>
      <c r="AX6" s="174"/>
      <c r="AY6" s="174"/>
    </row>
    <row r="7" spans="1:51">
      <c r="A7" s="224"/>
      <c r="B7" s="195" t="s">
        <v>256</v>
      </c>
      <c r="C7" s="174"/>
      <c r="D7" s="174"/>
      <c r="E7" s="174"/>
      <c r="F7" s="174"/>
      <c r="G7" s="174"/>
      <c r="H7" s="174"/>
      <c r="I7" s="174"/>
      <c r="J7" s="174"/>
      <c r="K7" s="174"/>
      <c r="L7" s="174"/>
      <c r="M7" s="174"/>
      <c r="N7" s="174"/>
      <c r="O7" s="174"/>
      <c r="P7" s="174"/>
      <c r="Q7" s="199"/>
      <c r="R7" s="174"/>
      <c r="S7" s="382"/>
      <c r="T7" s="382"/>
      <c r="U7" s="382"/>
      <c r="V7" s="382"/>
      <c r="W7" s="382"/>
      <c r="X7" s="382"/>
      <c r="Y7" s="382"/>
      <c r="Z7" s="382"/>
      <c r="AA7" s="382"/>
      <c r="AB7" s="382"/>
      <c r="AC7" s="382"/>
      <c r="AD7" s="382"/>
      <c r="AE7" s="382"/>
      <c r="AF7" s="174"/>
      <c r="AG7" s="174"/>
      <c r="AH7" s="174"/>
      <c r="AI7" s="174"/>
      <c r="AJ7" s="174"/>
      <c r="AK7" s="174"/>
      <c r="AL7" s="174"/>
      <c r="AM7" s="174"/>
      <c r="AN7" s="174"/>
      <c r="AO7" s="174"/>
      <c r="AP7" s="174"/>
      <c r="AQ7" s="174"/>
      <c r="AR7" s="174"/>
      <c r="AS7" s="174"/>
      <c r="AT7" s="174"/>
      <c r="AU7" s="174"/>
      <c r="AV7" s="174"/>
      <c r="AW7" s="174"/>
      <c r="AX7" s="174"/>
      <c r="AY7" s="174"/>
    </row>
    <row r="8" spans="1:51">
      <c r="A8" s="224"/>
      <c r="B8" s="195" t="s">
        <v>257</v>
      </c>
      <c r="C8" s="174"/>
      <c r="D8" s="174"/>
      <c r="E8" s="174"/>
      <c r="F8" s="174"/>
      <c r="G8" s="174"/>
      <c r="H8" s="174"/>
      <c r="I8" s="174"/>
      <c r="J8" s="174"/>
      <c r="K8" s="174"/>
      <c r="L8" s="174"/>
      <c r="M8" s="174"/>
      <c r="N8" s="174"/>
      <c r="O8" s="174"/>
      <c r="P8" s="174"/>
      <c r="Q8" s="199"/>
      <c r="R8" s="174"/>
      <c r="S8" s="382"/>
      <c r="T8" s="382"/>
      <c r="U8" s="382"/>
      <c r="V8" s="382"/>
      <c r="W8" s="382"/>
      <c r="X8" s="382"/>
      <c r="Y8" s="382"/>
      <c r="Z8" s="382"/>
      <c r="AA8" s="382"/>
      <c r="AB8" s="382"/>
      <c r="AC8" s="382"/>
      <c r="AD8" s="382"/>
      <c r="AE8" s="382"/>
      <c r="AF8" s="174"/>
      <c r="AG8" s="174"/>
      <c r="AH8" s="174"/>
      <c r="AI8" s="174"/>
      <c r="AJ8" s="174"/>
      <c r="AK8" s="174"/>
      <c r="AL8" s="174"/>
      <c r="AM8" s="174"/>
      <c r="AN8" s="174"/>
      <c r="AO8" s="174"/>
      <c r="AP8" s="174"/>
      <c r="AQ8" s="174"/>
      <c r="AR8" s="174"/>
      <c r="AS8" s="174"/>
      <c r="AT8" s="174"/>
      <c r="AU8" s="174"/>
      <c r="AV8" s="174"/>
      <c r="AW8" s="174"/>
      <c r="AX8" s="174"/>
      <c r="AY8" s="174"/>
    </row>
    <row r="9" spans="1:51">
      <c r="A9" s="224"/>
      <c r="B9" s="195"/>
      <c r="C9" s="174"/>
      <c r="D9" s="174"/>
      <c r="E9" s="174"/>
      <c r="F9" s="174"/>
      <c r="G9" s="174"/>
      <c r="H9" s="174"/>
      <c r="I9" s="174"/>
      <c r="J9" s="174"/>
      <c r="K9" s="174"/>
      <c r="L9" s="174"/>
      <c r="M9" s="174"/>
      <c r="N9" s="174"/>
      <c r="O9" s="174"/>
      <c r="P9" s="174"/>
      <c r="Q9" s="199"/>
      <c r="R9" s="174"/>
      <c r="S9" s="382"/>
      <c r="T9" s="382"/>
      <c r="U9" s="382"/>
      <c r="V9" s="382"/>
      <c r="W9" s="382"/>
      <c r="X9" s="382"/>
      <c r="Y9" s="382"/>
      <c r="Z9" s="382"/>
      <c r="AA9" s="382"/>
      <c r="AB9" s="382"/>
      <c r="AC9" s="382"/>
      <c r="AD9" s="382"/>
      <c r="AE9" s="382"/>
      <c r="AF9" s="174"/>
      <c r="AG9" s="174"/>
      <c r="AH9" s="174"/>
      <c r="AI9" s="174"/>
      <c r="AJ9" s="174"/>
      <c r="AK9" s="174"/>
      <c r="AL9" s="174"/>
      <c r="AM9" s="174"/>
      <c r="AN9" s="174"/>
      <c r="AO9" s="174"/>
      <c r="AP9" s="174"/>
      <c r="AQ9" s="174"/>
      <c r="AR9" s="174"/>
      <c r="AS9" s="174"/>
      <c r="AT9" s="174"/>
      <c r="AU9" s="174"/>
      <c r="AV9" s="174"/>
      <c r="AW9" s="174"/>
      <c r="AX9" s="174"/>
      <c r="AY9" s="174"/>
    </row>
    <row r="10" spans="1:51">
      <c r="A10" s="383"/>
      <c r="B10" s="384"/>
      <c r="C10" s="384"/>
      <c r="D10" s="384"/>
      <c r="E10" s="384"/>
      <c r="F10" s="385"/>
      <c r="G10" s="385"/>
      <c r="H10" s="386"/>
      <c r="I10" s="386"/>
      <c r="J10" s="386"/>
      <c r="K10" s="386"/>
      <c r="L10" s="386"/>
      <c r="M10" s="160" t="s">
        <v>77</v>
      </c>
      <c r="N10" s="386"/>
      <c r="O10" s="386"/>
      <c r="P10" s="386"/>
      <c r="Q10" s="387"/>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row>
    <row r="11" spans="1:51" ht="12.75" customHeight="1">
      <c r="A11" s="824" t="s">
        <v>258</v>
      </c>
      <c r="B11" s="825"/>
      <c r="C11" s="825"/>
      <c r="D11" s="825"/>
      <c r="E11" s="825"/>
      <c r="F11" s="825"/>
      <c r="G11" s="826"/>
      <c r="H11" s="834"/>
      <c r="I11" s="835"/>
      <c r="J11" s="827" t="str">
        <f>IF(H11&lt;&gt;"No","--&gt; Must follow T10 completely in any case.",IF(H12&lt;&gt;"No","--&gt; Must follow T10 with exception of T10.1.2.","--&gt; Do not have to follow T10."))</f>
        <v>--&gt; Must follow T10 completely in any case.</v>
      </c>
      <c r="K11" s="827"/>
      <c r="L11" s="827"/>
      <c r="M11" s="827"/>
      <c r="N11" s="827"/>
      <c r="O11" s="827"/>
      <c r="P11" s="827"/>
      <c r="Q11" s="828"/>
      <c r="R11" s="824" t="s">
        <v>258</v>
      </c>
      <c r="S11" s="825"/>
      <c r="T11" s="825"/>
      <c r="U11" s="825"/>
      <c r="V11" s="825"/>
      <c r="W11" s="825"/>
      <c r="X11" s="826"/>
      <c r="Y11" s="815"/>
      <c r="Z11" s="807"/>
      <c r="AA11" s="827" t="str">
        <f>IF(Y11&lt;&gt;"No","--&gt; Must follow T10 completely in any case.",IF(Y12&lt;&gt;"No","--&gt; Must follow T10 with exception of T10.1.2.","--&gt; Do not have to follow T10."))</f>
        <v>--&gt; Must follow T10 completely in any case.</v>
      </c>
      <c r="AB11" s="827"/>
      <c r="AC11" s="827"/>
      <c r="AD11" s="827"/>
      <c r="AE11" s="827"/>
      <c r="AF11" s="827"/>
      <c r="AG11" s="827"/>
      <c r="AH11" s="828"/>
      <c r="AI11" s="824" t="s">
        <v>258</v>
      </c>
      <c r="AJ11" s="825"/>
      <c r="AK11" s="825"/>
      <c r="AL11" s="825"/>
      <c r="AM11" s="825"/>
      <c r="AN11" s="825"/>
      <c r="AO11" s="826"/>
      <c r="AP11" s="815"/>
      <c r="AQ11" s="807"/>
      <c r="AR11" s="827" t="str">
        <f>IF(AP11&lt;&gt;"No","--&gt; Must follow T10 completely in any case.",IF(AP12&lt;&gt;"No","--&gt; Must follow T10 with exception of T10.1.2.","--&gt; Do not have to follow T10."))</f>
        <v>--&gt; Must follow T10 completely in any case.</v>
      </c>
      <c r="AS11" s="827"/>
      <c r="AT11" s="827"/>
      <c r="AU11" s="827"/>
      <c r="AV11" s="827"/>
      <c r="AW11" s="827"/>
      <c r="AX11" s="827"/>
      <c r="AY11" s="828"/>
    </row>
    <row r="12" spans="1:51">
      <c r="A12" s="831" t="s">
        <v>430</v>
      </c>
      <c r="B12" s="832"/>
      <c r="C12" s="832"/>
      <c r="D12" s="832"/>
      <c r="E12" s="832"/>
      <c r="F12" s="832"/>
      <c r="G12" s="833"/>
      <c r="H12" s="815"/>
      <c r="I12" s="807"/>
      <c r="J12" s="829"/>
      <c r="K12" s="829"/>
      <c r="L12" s="829"/>
      <c r="M12" s="829"/>
      <c r="N12" s="829"/>
      <c r="O12" s="829"/>
      <c r="P12" s="829"/>
      <c r="Q12" s="830"/>
      <c r="R12" s="831" t="s">
        <v>430</v>
      </c>
      <c r="S12" s="832"/>
      <c r="T12" s="832"/>
      <c r="U12" s="832"/>
      <c r="V12" s="832"/>
      <c r="W12" s="832"/>
      <c r="X12" s="833"/>
      <c r="Y12" s="815"/>
      <c r="Z12" s="807"/>
      <c r="AA12" s="829"/>
      <c r="AB12" s="829"/>
      <c r="AC12" s="829"/>
      <c r="AD12" s="829"/>
      <c r="AE12" s="829"/>
      <c r="AF12" s="829"/>
      <c r="AG12" s="829"/>
      <c r="AH12" s="830"/>
      <c r="AI12" s="831" t="s">
        <v>430</v>
      </c>
      <c r="AJ12" s="832"/>
      <c r="AK12" s="832"/>
      <c r="AL12" s="832"/>
      <c r="AM12" s="832"/>
      <c r="AN12" s="832"/>
      <c r="AO12" s="833"/>
      <c r="AP12" s="815"/>
      <c r="AQ12" s="807"/>
      <c r="AR12" s="829"/>
      <c r="AS12" s="829"/>
      <c r="AT12" s="829"/>
      <c r="AU12" s="829"/>
      <c r="AV12" s="829"/>
      <c r="AW12" s="829"/>
      <c r="AX12" s="829"/>
      <c r="AY12" s="830"/>
    </row>
    <row r="13" spans="1:51">
      <c r="A13" s="462" t="s">
        <v>259</v>
      </c>
      <c r="B13" s="465"/>
      <c r="C13" s="465"/>
      <c r="D13" s="465"/>
      <c r="E13" s="465"/>
      <c r="F13" s="465"/>
      <c r="G13" s="823"/>
      <c r="H13" s="821"/>
      <c r="I13" s="821"/>
      <c r="J13" s="821"/>
      <c r="K13" s="821"/>
      <c r="L13" s="821"/>
      <c r="M13" s="821"/>
      <c r="N13" s="821"/>
      <c r="O13" s="821"/>
      <c r="P13" s="821"/>
      <c r="Q13" s="822"/>
      <c r="R13" s="462" t="s">
        <v>259</v>
      </c>
      <c r="S13" s="465"/>
      <c r="T13" s="465"/>
      <c r="U13" s="465"/>
      <c r="V13" s="465"/>
      <c r="W13" s="465"/>
      <c r="X13" s="823"/>
      <c r="Y13" s="821"/>
      <c r="Z13" s="821"/>
      <c r="AA13" s="821"/>
      <c r="AB13" s="821"/>
      <c r="AC13" s="821"/>
      <c r="AD13" s="821"/>
      <c r="AE13" s="821"/>
      <c r="AF13" s="821"/>
      <c r="AG13" s="821"/>
      <c r="AH13" s="822"/>
      <c r="AI13" s="462" t="s">
        <v>259</v>
      </c>
      <c r="AJ13" s="465"/>
      <c r="AK13" s="465"/>
      <c r="AL13" s="465"/>
      <c r="AM13" s="465"/>
      <c r="AN13" s="465"/>
      <c r="AO13" s="823"/>
      <c r="AP13" s="821"/>
      <c r="AQ13" s="821"/>
      <c r="AR13" s="821"/>
      <c r="AS13" s="821"/>
      <c r="AT13" s="821"/>
      <c r="AU13" s="821"/>
      <c r="AV13" s="821"/>
      <c r="AW13" s="821"/>
      <c r="AX13" s="821"/>
      <c r="AY13" s="822"/>
    </row>
    <row r="14" spans="1:51">
      <c r="A14" s="388" t="s">
        <v>260</v>
      </c>
      <c r="B14" s="389"/>
      <c r="C14" s="389"/>
      <c r="D14" s="389"/>
      <c r="E14" s="389"/>
      <c r="F14" s="389"/>
      <c r="G14" s="389"/>
      <c r="H14" s="389"/>
      <c r="I14" s="389"/>
      <c r="J14" s="389"/>
      <c r="K14" s="389"/>
      <c r="L14" s="389"/>
      <c r="M14" s="389"/>
      <c r="N14" s="389"/>
      <c r="O14" s="389"/>
      <c r="P14" s="389"/>
      <c r="Q14" s="390"/>
      <c r="R14" s="388" t="s">
        <v>260</v>
      </c>
      <c r="S14" s="389"/>
      <c r="T14" s="389"/>
      <c r="U14" s="389"/>
      <c r="V14" s="389"/>
      <c r="W14" s="389"/>
      <c r="X14" s="389"/>
      <c r="Y14" s="389"/>
      <c r="Z14" s="389"/>
      <c r="AA14" s="389"/>
      <c r="AB14" s="389"/>
      <c r="AC14" s="389"/>
      <c r="AD14" s="389"/>
      <c r="AE14" s="389"/>
      <c r="AF14" s="389"/>
      <c r="AG14" s="389"/>
      <c r="AH14" s="390"/>
      <c r="AI14" s="388" t="s">
        <v>260</v>
      </c>
      <c r="AJ14" s="389"/>
      <c r="AK14" s="389"/>
      <c r="AL14" s="389"/>
      <c r="AM14" s="389"/>
      <c r="AN14" s="389"/>
      <c r="AO14" s="389"/>
      <c r="AP14" s="389"/>
      <c r="AQ14" s="389"/>
      <c r="AR14" s="389"/>
      <c r="AS14" s="389"/>
      <c r="AT14" s="389"/>
      <c r="AU14" s="389"/>
      <c r="AV14" s="389"/>
      <c r="AW14" s="389"/>
      <c r="AX14" s="389"/>
      <c r="AY14" s="390"/>
    </row>
    <row r="15" spans="1:51">
      <c r="A15" s="391"/>
      <c r="B15" s="101"/>
      <c r="C15" s="101"/>
      <c r="D15" s="101"/>
      <c r="E15" s="101"/>
      <c r="F15" s="101"/>
      <c r="G15" s="101"/>
      <c r="H15" s="101"/>
      <c r="I15" s="101"/>
      <c r="J15" s="101"/>
      <c r="K15" s="101"/>
      <c r="L15" s="101"/>
      <c r="M15" s="101"/>
      <c r="N15" s="101"/>
      <c r="O15" s="101"/>
      <c r="P15" s="101"/>
      <c r="Q15" s="392"/>
      <c r="R15" s="391"/>
      <c r="S15" s="101"/>
      <c r="T15" s="101"/>
      <c r="U15" s="101"/>
      <c r="V15" s="101"/>
      <c r="W15" s="101"/>
      <c r="X15" s="101"/>
      <c r="Y15" s="101"/>
      <c r="Z15" s="101"/>
      <c r="AA15" s="101"/>
      <c r="AB15" s="101"/>
      <c r="AC15" s="101"/>
      <c r="AD15" s="101"/>
      <c r="AE15" s="101"/>
      <c r="AF15" s="101"/>
      <c r="AG15" s="101"/>
      <c r="AH15" s="392"/>
      <c r="AI15" s="391"/>
      <c r="AJ15" s="101"/>
      <c r="AK15" s="101"/>
      <c r="AL15" s="101"/>
      <c r="AM15" s="101"/>
      <c r="AN15" s="101"/>
      <c r="AO15" s="101"/>
      <c r="AP15" s="101"/>
      <c r="AQ15" s="101"/>
      <c r="AR15" s="101"/>
      <c r="AS15" s="101"/>
      <c r="AT15" s="101"/>
      <c r="AU15" s="101"/>
      <c r="AV15" s="101"/>
      <c r="AW15" s="101"/>
      <c r="AX15" s="101"/>
      <c r="AY15" s="392"/>
    </row>
    <row r="16" spans="1:51">
      <c r="A16" s="391"/>
      <c r="B16" s="101"/>
      <c r="C16" s="101"/>
      <c r="D16" s="101"/>
      <c r="E16" s="101"/>
      <c r="F16" s="101"/>
      <c r="G16" s="101"/>
      <c r="H16" s="101"/>
      <c r="I16" s="101"/>
      <c r="J16" s="101"/>
      <c r="K16" s="101"/>
      <c r="L16" s="101"/>
      <c r="M16" s="101"/>
      <c r="N16" s="101"/>
      <c r="O16" s="101"/>
      <c r="P16" s="101"/>
      <c r="Q16" s="392"/>
      <c r="R16" s="391"/>
      <c r="S16" s="101"/>
      <c r="T16" s="101"/>
      <c r="U16" s="101"/>
      <c r="V16" s="101"/>
      <c r="W16" s="101"/>
      <c r="X16" s="101"/>
      <c r="Y16" s="101"/>
      <c r="Z16" s="101"/>
      <c r="AA16" s="101"/>
      <c r="AB16" s="101"/>
      <c r="AC16" s="101"/>
      <c r="AD16" s="101"/>
      <c r="AE16" s="101"/>
      <c r="AF16" s="101"/>
      <c r="AG16" s="101"/>
      <c r="AH16" s="392"/>
      <c r="AI16" s="391"/>
      <c r="AJ16" s="101"/>
      <c r="AK16" s="101"/>
      <c r="AL16" s="101"/>
      <c r="AM16" s="101"/>
      <c r="AN16" s="101"/>
      <c r="AO16" s="101"/>
      <c r="AP16" s="101"/>
      <c r="AQ16" s="101"/>
      <c r="AR16" s="101"/>
      <c r="AS16" s="101"/>
      <c r="AT16" s="101"/>
      <c r="AU16" s="101"/>
      <c r="AV16" s="101"/>
      <c r="AW16" s="101"/>
      <c r="AX16" s="101"/>
      <c r="AY16" s="392"/>
    </row>
    <row r="17" spans="1:51">
      <c r="A17" s="391"/>
      <c r="B17" s="101"/>
      <c r="C17" s="101"/>
      <c r="D17" s="101"/>
      <c r="E17" s="101"/>
      <c r="F17" s="101"/>
      <c r="G17" s="101"/>
      <c r="H17" s="101"/>
      <c r="I17" s="101"/>
      <c r="J17" s="101"/>
      <c r="K17" s="101"/>
      <c r="L17" s="101"/>
      <c r="M17" s="101"/>
      <c r="N17" s="101"/>
      <c r="O17" s="101"/>
      <c r="P17" s="101"/>
      <c r="Q17" s="392"/>
      <c r="R17" s="391"/>
      <c r="S17" s="101"/>
      <c r="T17" s="101"/>
      <c r="U17" s="101"/>
      <c r="V17" s="101"/>
      <c r="W17" s="101"/>
      <c r="X17" s="101"/>
      <c r="Y17" s="101"/>
      <c r="Z17" s="101"/>
      <c r="AA17" s="101"/>
      <c r="AB17" s="101"/>
      <c r="AC17" s="101"/>
      <c r="AD17" s="101"/>
      <c r="AE17" s="101"/>
      <c r="AF17" s="101"/>
      <c r="AG17" s="101"/>
      <c r="AH17" s="392"/>
      <c r="AI17" s="391"/>
      <c r="AJ17" s="101"/>
      <c r="AK17" s="101"/>
      <c r="AL17" s="101"/>
      <c r="AM17" s="101"/>
      <c r="AN17" s="101"/>
      <c r="AO17" s="101"/>
      <c r="AP17" s="101"/>
      <c r="AQ17" s="101"/>
      <c r="AR17" s="101"/>
      <c r="AS17" s="101"/>
      <c r="AT17" s="101"/>
      <c r="AU17" s="101"/>
      <c r="AV17" s="101"/>
      <c r="AW17" s="101"/>
      <c r="AX17" s="101"/>
      <c r="AY17" s="392"/>
    </row>
    <row r="18" spans="1:51">
      <c r="A18" s="391"/>
      <c r="B18" s="101"/>
      <c r="C18" s="101"/>
      <c r="D18" s="101"/>
      <c r="E18" s="101"/>
      <c r="F18" s="101"/>
      <c r="G18" s="101"/>
      <c r="H18" s="101"/>
      <c r="I18" s="101"/>
      <c r="J18" s="101"/>
      <c r="K18" s="101"/>
      <c r="L18" s="101"/>
      <c r="M18" s="101"/>
      <c r="N18" s="101"/>
      <c r="O18" s="101"/>
      <c r="P18" s="101"/>
      <c r="Q18" s="392"/>
      <c r="R18" s="391"/>
      <c r="S18" s="101"/>
      <c r="T18" s="101"/>
      <c r="U18" s="101"/>
      <c r="V18" s="101"/>
      <c r="W18" s="101"/>
      <c r="X18" s="101"/>
      <c r="Y18" s="101"/>
      <c r="Z18" s="101"/>
      <c r="AA18" s="101"/>
      <c r="AB18" s="101"/>
      <c r="AC18" s="101"/>
      <c r="AD18" s="101"/>
      <c r="AE18" s="101"/>
      <c r="AF18" s="101"/>
      <c r="AG18" s="101"/>
      <c r="AH18" s="392"/>
      <c r="AI18" s="391"/>
      <c r="AJ18" s="101"/>
      <c r="AK18" s="101"/>
      <c r="AL18" s="101"/>
      <c r="AM18" s="101"/>
      <c r="AN18" s="101"/>
      <c r="AO18" s="101"/>
      <c r="AP18" s="101"/>
      <c r="AQ18" s="101"/>
      <c r="AR18" s="101"/>
      <c r="AS18" s="101"/>
      <c r="AT18" s="101"/>
      <c r="AU18" s="101"/>
      <c r="AV18" s="101"/>
      <c r="AW18" s="101"/>
      <c r="AX18" s="101"/>
      <c r="AY18" s="392"/>
    </row>
    <row r="19" spans="1:51">
      <c r="A19" s="391"/>
      <c r="B19" s="101"/>
      <c r="C19" s="101"/>
      <c r="D19" s="101"/>
      <c r="E19" s="101"/>
      <c r="F19" s="101"/>
      <c r="G19" s="101"/>
      <c r="H19" s="101"/>
      <c r="I19" s="101"/>
      <c r="J19" s="101"/>
      <c r="K19" s="101"/>
      <c r="L19" s="101"/>
      <c r="M19" s="101"/>
      <c r="N19" s="101"/>
      <c r="O19" s="101"/>
      <c r="P19" s="101"/>
      <c r="Q19" s="392"/>
      <c r="R19" s="391"/>
      <c r="S19" s="101"/>
      <c r="T19" s="101"/>
      <c r="U19" s="101"/>
      <c r="V19" s="101"/>
      <c r="W19" s="101"/>
      <c r="X19" s="101"/>
      <c r="Y19" s="101"/>
      <c r="Z19" s="101"/>
      <c r="AA19" s="101"/>
      <c r="AB19" s="101"/>
      <c r="AC19" s="101"/>
      <c r="AD19" s="101"/>
      <c r="AE19" s="101"/>
      <c r="AF19" s="101"/>
      <c r="AG19" s="101"/>
      <c r="AH19" s="392"/>
      <c r="AI19" s="391"/>
      <c r="AJ19" s="101"/>
      <c r="AK19" s="101"/>
      <c r="AL19" s="101"/>
      <c r="AM19" s="101"/>
      <c r="AN19" s="101"/>
      <c r="AO19" s="101"/>
      <c r="AP19" s="101"/>
      <c r="AQ19" s="101"/>
      <c r="AR19" s="101"/>
      <c r="AS19" s="101"/>
      <c r="AT19" s="101"/>
      <c r="AU19" s="101"/>
      <c r="AV19" s="101"/>
      <c r="AW19" s="101"/>
      <c r="AX19" s="101"/>
      <c r="AY19" s="392"/>
    </row>
    <row r="20" spans="1:51">
      <c r="A20" s="391"/>
      <c r="B20" s="101"/>
      <c r="C20" s="101"/>
      <c r="D20" s="101"/>
      <c r="E20" s="101"/>
      <c r="F20" s="101"/>
      <c r="G20" s="101"/>
      <c r="H20" s="101"/>
      <c r="I20" s="101"/>
      <c r="J20" s="101"/>
      <c r="K20" s="101"/>
      <c r="L20" s="101"/>
      <c r="M20" s="101"/>
      <c r="N20" s="101"/>
      <c r="O20" s="101"/>
      <c r="P20" s="101"/>
      <c r="Q20" s="392"/>
      <c r="R20" s="391"/>
      <c r="S20" s="101"/>
      <c r="T20" s="101"/>
      <c r="U20" s="101"/>
      <c r="V20" s="101"/>
      <c r="W20" s="101"/>
      <c r="X20" s="101"/>
      <c r="Y20" s="101"/>
      <c r="Z20" s="101"/>
      <c r="AA20" s="101"/>
      <c r="AB20" s="101"/>
      <c r="AC20" s="101"/>
      <c r="AD20" s="101"/>
      <c r="AE20" s="101"/>
      <c r="AF20" s="101"/>
      <c r="AG20" s="101"/>
      <c r="AH20" s="392"/>
      <c r="AI20" s="391"/>
      <c r="AJ20" s="101"/>
      <c r="AK20" s="101"/>
      <c r="AL20" s="101"/>
      <c r="AM20" s="101"/>
      <c r="AN20" s="101"/>
      <c r="AO20" s="101"/>
      <c r="AP20" s="101"/>
      <c r="AQ20" s="101"/>
      <c r="AR20" s="101"/>
      <c r="AS20" s="101"/>
      <c r="AT20" s="101"/>
      <c r="AU20" s="101"/>
      <c r="AV20" s="101"/>
      <c r="AW20" s="101"/>
      <c r="AX20" s="101"/>
      <c r="AY20" s="392"/>
    </row>
    <row r="21" spans="1:51">
      <c r="A21" s="391"/>
      <c r="B21" s="101"/>
      <c r="C21" s="101"/>
      <c r="D21" s="101"/>
      <c r="E21" s="101"/>
      <c r="F21" s="101"/>
      <c r="G21" s="101"/>
      <c r="H21" s="101"/>
      <c r="I21" s="101"/>
      <c r="J21" s="101"/>
      <c r="K21" s="101"/>
      <c r="L21" s="101"/>
      <c r="M21" s="101"/>
      <c r="N21" s="101"/>
      <c r="O21" s="101"/>
      <c r="P21" s="101"/>
      <c r="Q21" s="392"/>
      <c r="R21" s="391"/>
      <c r="S21" s="101"/>
      <c r="T21" s="101"/>
      <c r="U21" s="101"/>
      <c r="V21" s="101"/>
      <c r="W21" s="101"/>
      <c r="X21" s="101"/>
      <c r="Y21" s="101"/>
      <c r="Z21" s="101"/>
      <c r="AA21" s="101"/>
      <c r="AB21" s="101"/>
      <c r="AC21" s="101"/>
      <c r="AD21" s="101"/>
      <c r="AE21" s="101"/>
      <c r="AF21" s="101"/>
      <c r="AG21" s="101"/>
      <c r="AH21" s="392"/>
      <c r="AI21" s="391"/>
      <c r="AJ21" s="101"/>
      <c r="AK21" s="101"/>
      <c r="AL21" s="101"/>
      <c r="AM21" s="101"/>
      <c r="AN21" s="101"/>
      <c r="AO21" s="101"/>
      <c r="AP21" s="101"/>
      <c r="AQ21" s="101"/>
      <c r="AR21" s="101"/>
      <c r="AS21" s="101"/>
      <c r="AT21" s="101"/>
      <c r="AU21" s="101"/>
      <c r="AV21" s="101"/>
      <c r="AW21" s="101"/>
      <c r="AX21" s="101"/>
      <c r="AY21" s="392"/>
    </row>
    <row r="22" spans="1:51">
      <c r="A22" s="391"/>
      <c r="B22" s="101"/>
      <c r="C22" s="101"/>
      <c r="D22" s="101"/>
      <c r="E22" s="101"/>
      <c r="F22" s="101"/>
      <c r="G22" s="101"/>
      <c r="H22" s="101"/>
      <c r="I22" s="101"/>
      <c r="J22" s="101"/>
      <c r="K22" s="101"/>
      <c r="L22" s="101"/>
      <c r="M22" s="101"/>
      <c r="N22" s="101"/>
      <c r="O22" s="101"/>
      <c r="P22" s="101"/>
      <c r="Q22" s="392"/>
      <c r="R22" s="391"/>
      <c r="S22" s="101"/>
      <c r="T22" s="101"/>
      <c r="U22" s="101"/>
      <c r="V22" s="101"/>
      <c r="W22" s="101"/>
      <c r="X22" s="101"/>
      <c r="Y22" s="101"/>
      <c r="Z22" s="101"/>
      <c r="AA22" s="101"/>
      <c r="AB22" s="101"/>
      <c r="AC22" s="101"/>
      <c r="AD22" s="101"/>
      <c r="AE22" s="101"/>
      <c r="AF22" s="101"/>
      <c r="AG22" s="101"/>
      <c r="AH22" s="392"/>
      <c r="AI22" s="391"/>
      <c r="AJ22" s="101"/>
      <c r="AK22" s="101"/>
      <c r="AL22" s="101"/>
      <c r="AM22" s="101"/>
      <c r="AN22" s="101"/>
      <c r="AO22" s="101"/>
      <c r="AP22" s="101"/>
      <c r="AQ22" s="101"/>
      <c r="AR22" s="101"/>
      <c r="AS22" s="101"/>
      <c r="AT22" s="101"/>
      <c r="AU22" s="101"/>
      <c r="AV22" s="101"/>
      <c r="AW22" s="101"/>
      <c r="AX22" s="101"/>
      <c r="AY22" s="392"/>
    </row>
    <row r="23" spans="1:51">
      <c r="A23" s="391"/>
      <c r="B23" s="101"/>
      <c r="C23" s="101"/>
      <c r="D23" s="101"/>
      <c r="E23" s="101"/>
      <c r="F23" s="101"/>
      <c r="G23" s="101"/>
      <c r="H23" s="101"/>
      <c r="I23" s="101"/>
      <c r="J23" s="101"/>
      <c r="K23" s="101"/>
      <c r="L23" s="101"/>
      <c r="M23" s="101"/>
      <c r="N23" s="101"/>
      <c r="O23" s="101"/>
      <c r="P23" s="101"/>
      <c r="Q23" s="392"/>
      <c r="R23" s="391"/>
      <c r="S23" s="101"/>
      <c r="T23" s="101"/>
      <c r="U23" s="101"/>
      <c r="V23" s="101"/>
      <c r="W23" s="101"/>
      <c r="X23" s="101"/>
      <c r="Y23" s="101"/>
      <c r="Z23" s="101"/>
      <c r="AA23" s="101"/>
      <c r="AB23" s="101"/>
      <c r="AC23" s="101"/>
      <c r="AD23" s="101"/>
      <c r="AE23" s="101"/>
      <c r="AF23" s="101"/>
      <c r="AG23" s="101"/>
      <c r="AH23" s="392"/>
      <c r="AI23" s="391"/>
      <c r="AJ23" s="101"/>
      <c r="AK23" s="101"/>
      <c r="AL23" s="101"/>
      <c r="AM23" s="101"/>
      <c r="AN23" s="101"/>
      <c r="AO23" s="101"/>
      <c r="AP23" s="101"/>
      <c r="AQ23" s="101"/>
      <c r="AR23" s="101"/>
      <c r="AS23" s="101"/>
      <c r="AT23" s="101"/>
      <c r="AU23" s="101"/>
      <c r="AV23" s="101"/>
      <c r="AW23" s="101"/>
      <c r="AX23" s="101"/>
      <c r="AY23" s="392"/>
    </row>
    <row r="24" spans="1:51">
      <c r="A24" s="391"/>
      <c r="B24" s="101"/>
      <c r="C24" s="101"/>
      <c r="D24" s="101"/>
      <c r="E24" s="101"/>
      <c r="F24" s="101"/>
      <c r="G24" s="101"/>
      <c r="H24" s="101"/>
      <c r="I24" s="101"/>
      <c r="J24" s="101"/>
      <c r="K24" s="101"/>
      <c r="L24" s="101"/>
      <c r="M24" s="101"/>
      <c r="N24" s="101"/>
      <c r="O24" s="101"/>
      <c r="P24" s="101"/>
      <c r="Q24" s="392"/>
      <c r="R24" s="391"/>
      <c r="S24" s="101"/>
      <c r="T24" s="101"/>
      <c r="U24" s="101"/>
      <c r="V24" s="101"/>
      <c r="W24" s="101"/>
      <c r="X24" s="101"/>
      <c r="Y24" s="101"/>
      <c r="Z24" s="101"/>
      <c r="AA24" s="101"/>
      <c r="AB24" s="101"/>
      <c r="AC24" s="101"/>
      <c r="AD24" s="101"/>
      <c r="AE24" s="101"/>
      <c r="AF24" s="101"/>
      <c r="AG24" s="101"/>
      <c r="AH24" s="392"/>
      <c r="AI24" s="391"/>
      <c r="AJ24" s="101"/>
      <c r="AK24" s="101"/>
      <c r="AL24" s="101"/>
      <c r="AM24" s="101"/>
      <c r="AN24" s="101"/>
      <c r="AO24" s="101"/>
      <c r="AP24" s="101"/>
      <c r="AQ24" s="101"/>
      <c r="AR24" s="101"/>
      <c r="AS24" s="101"/>
      <c r="AT24" s="101"/>
      <c r="AU24" s="101"/>
      <c r="AV24" s="101"/>
      <c r="AW24" s="101"/>
      <c r="AX24" s="101"/>
      <c r="AY24" s="392"/>
    </row>
    <row r="25" spans="1:51">
      <c r="A25" s="391"/>
      <c r="B25" s="101"/>
      <c r="C25" s="101"/>
      <c r="D25" s="101"/>
      <c r="E25" s="101"/>
      <c r="F25" s="101"/>
      <c r="G25" s="101"/>
      <c r="H25" s="101"/>
      <c r="I25" s="101"/>
      <c r="J25" s="101"/>
      <c r="K25" s="101"/>
      <c r="L25" s="101"/>
      <c r="M25" s="101"/>
      <c r="N25" s="101"/>
      <c r="O25" s="101"/>
      <c r="P25" s="101"/>
      <c r="Q25" s="392"/>
      <c r="R25" s="391"/>
      <c r="S25" s="101"/>
      <c r="T25" s="101"/>
      <c r="U25" s="101"/>
      <c r="V25" s="101"/>
      <c r="W25" s="101"/>
      <c r="X25" s="101"/>
      <c r="Y25" s="101"/>
      <c r="Z25" s="101"/>
      <c r="AA25" s="101"/>
      <c r="AB25" s="101"/>
      <c r="AC25" s="101"/>
      <c r="AD25" s="101"/>
      <c r="AE25" s="101"/>
      <c r="AF25" s="101"/>
      <c r="AG25" s="101"/>
      <c r="AH25" s="392"/>
      <c r="AI25" s="391"/>
      <c r="AJ25" s="101"/>
      <c r="AK25" s="101"/>
      <c r="AL25" s="101"/>
      <c r="AM25" s="101"/>
      <c r="AN25" s="101"/>
      <c r="AO25" s="101"/>
      <c r="AP25" s="101"/>
      <c r="AQ25" s="101"/>
      <c r="AR25" s="101"/>
      <c r="AS25" s="101"/>
      <c r="AT25" s="101"/>
      <c r="AU25" s="101"/>
      <c r="AV25" s="101"/>
      <c r="AW25" s="101"/>
      <c r="AX25" s="101"/>
      <c r="AY25" s="392"/>
    </row>
    <row r="26" spans="1:51">
      <c r="A26" s="391"/>
      <c r="B26" s="101"/>
      <c r="C26" s="101"/>
      <c r="D26" s="101"/>
      <c r="E26" s="101"/>
      <c r="F26" s="101"/>
      <c r="G26" s="101"/>
      <c r="H26" s="101"/>
      <c r="I26" s="101"/>
      <c r="J26" s="101"/>
      <c r="K26" s="101"/>
      <c r="L26" s="101"/>
      <c r="M26" s="101"/>
      <c r="N26" s="101"/>
      <c r="O26" s="101"/>
      <c r="P26" s="101"/>
      <c r="Q26" s="392"/>
      <c r="R26" s="391"/>
      <c r="S26" s="101"/>
      <c r="T26" s="101"/>
      <c r="U26" s="101"/>
      <c r="V26" s="101"/>
      <c r="W26" s="101"/>
      <c r="X26" s="101"/>
      <c r="Y26" s="101"/>
      <c r="Z26" s="101"/>
      <c r="AA26" s="101"/>
      <c r="AB26" s="101"/>
      <c r="AC26" s="101"/>
      <c r="AD26" s="101"/>
      <c r="AE26" s="101"/>
      <c r="AF26" s="101"/>
      <c r="AG26" s="101"/>
      <c r="AH26" s="392"/>
      <c r="AI26" s="391"/>
      <c r="AJ26" s="101"/>
      <c r="AK26" s="101"/>
      <c r="AL26" s="101"/>
      <c r="AM26" s="101"/>
      <c r="AN26" s="101"/>
      <c r="AO26" s="101"/>
      <c r="AP26" s="101"/>
      <c r="AQ26" s="101"/>
      <c r="AR26" s="101"/>
      <c r="AS26" s="101"/>
      <c r="AT26" s="101"/>
      <c r="AU26" s="101"/>
      <c r="AV26" s="101"/>
      <c r="AW26" s="101"/>
      <c r="AX26" s="101"/>
      <c r="AY26" s="392"/>
    </row>
    <row r="27" spans="1:51">
      <c r="A27" s="391"/>
      <c r="B27" s="101"/>
      <c r="C27" s="101"/>
      <c r="D27" s="101"/>
      <c r="E27" s="101"/>
      <c r="F27" s="101"/>
      <c r="G27" s="101"/>
      <c r="H27" s="101"/>
      <c r="I27" s="101"/>
      <c r="J27" s="101"/>
      <c r="K27" s="101"/>
      <c r="L27" s="101"/>
      <c r="M27" s="101"/>
      <c r="N27" s="101"/>
      <c r="O27" s="101"/>
      <c r="P27" s="101"/>
      <c r="Q27" s="392"/>
      <c r="R27" s="391"/>
      <c r="S27" s="101"/>
      <c r="T27" s="101"/>
      <c r="U27" s="101"/>
      <c r="V27" s="101"/>
      <c r="W27" s="101"/>
      <c r="X27" s="101"/>
      <c r="Y27" s="101"/>
      <c r="Z27" s="101"/>
      <c r="AA27" s="101"/>
      <c r="AB27" s="101"/>
      <c r="AC27" s="101"/>
      <c r="AD27" s="101"/>
      <c r="AE27" s="101"/>
      <c r="AF27" s="101"/>
      <c r="AG27" s="101"/>
      <c r="AH27" s="392"/>
      <c r="AI27" s="391"/>
      <c r="AJ27" s="101"/>
      <c r="AK27" s="101"/>
      <c r="AL27" s="101"/>
      <c r="AM27" s="101"/>
      <c r="AN27" s="101"/>
      <c r="AO27" s="101"/>
      <c r="AP27" s="101"/>
      <c r="AQ27" s="101"/>
      <c r="AR27" s="101"/>
      <c r="AS27" s="101"/>
      <c r="AT27" s="101"/>
      <c r="AU27" s="101"/>
      <c r="AV27" s="101"/>
      <c r="AW27" s="101"/>
      <c r="AX27" s="101"/>
      <c r="AY27" s="392"/>
    </row>
    <row r="28" spans="1:51">
      <c r="A28" s="391"/>
      <c r="B28" s="101"/>
      <c r="C28" s="101"/>
      <c r="D28" s="101"/>
      <c r="E28" s="101"/>
      <c r="F28" s="101"/>
      <c r="G28" s="101"/>
      <c r="H28" s="101"/>
      <c r="I28" s="101"/>
      <c r="J28" s="101"/>
      <c r="K28" s="101"/>
      <c r="L28" s="101"/>
      <c r="M28" s="101"/>
      <c r="N28" s="101"/>
      <c r="O28" s="101"/>
      <c r="P28" s="101"/>
      <c r="Q28" s="392"/>
      <c r="R28" s="391"/>
      <c r="S28" s="101"/>
      <c r="T28" s="101"/>
      <c r="U28" s="101"/>
      <c r="V28" s="101"/>
      <c r="W28" s="101"/>
      <c r="X28" s="101"/>
      <c r="Y28" s="101"/>
      <c r="Z28" s="101"/>
      <c r="AA28" s="101"/>
      <c r="AB28" s="101"/>
      <c r="AC28" s="101"/>
      <c r="AD28" s="101"/>
      <c r="AE28" s="101"/>
      <c r="AF28" s="101"/>
      <c r="AG28" s="101"/>
      <c r="AH28" s="392"/>
      <c r="AI28" s="391"/>
      <c r="AJ28" s="101"/>
      <c r="AK28" s="101"/>
      <c r="AL28" s="101"/>
      <c r="AM28" s="101"/>
      <c r="AN28" s="101"/>
      <c r="AO28" s="101"/>
      <c r="AP28" s="101"/>
      <c r="AQ28" s="101"/>
      <c r="AR28" s="101"/>
      <c r="AS28" s="101"/>
      <c r="AT28" s="101"/>
      <c r="AU28" s="101"/>
      <c r="AV28" s="101"/>
      <c r="AW28" s="101"/>
      <c r="AX28" s="101"/>
      <c r="AY28" s="392"/>
    </row>
    <row r="29" spans="1:51">
      <c r="A29" s="391"/>
      <c r="B29" s="101"/>
      <c r="C29" s="101"/>
      <c r="D29" s="101"/>
      <c r="E29" s="101"/>
      <c r="F29" s="101"/>
      <c r="G29" s="101"/>
      <c r="H29" s="101"/>
      <c r="I29" s="101"/>
      <c r="J29" s="101"/>
      <c r="K29" s="101"/>
      <c r="L29" s="101"/>
      <c r="M29" s="101"/>
      <c r="N29" s="101"/>
      <c r="O29" s="101"/>
      <c r="P29" s="101"/>
      <c r="Q29" s="392"/>
      <c r="R29" s="391"/>
      <c r="S29" s="101"/>
      <c r="T29" s="101"/>
      <c r="U29" s="101"/>
      <c r="V29" s="101"/>
      <c r="W29" s="101"/>
      <c r="X29" s="101"/>
      <c r="Y29" s="101"/>
      <c r="Z29" s="101"/>
      <c r="AA29" s="101"/>
      <c r="AB29" s="101"/>
      <c r="AC29" s="101"/>
      <c r="AD29" s="101"/>
      <c r="AE29" s="101"/>
      <c r="AF29" s="101"/>
      <c r="AG29" s="101"/>
      <c r="AH29" s="392"/>
      <c r="AI29" s="391"/>
      <c r="AJ29" s="101"/>
      <c r="AK29" s="101"/>
      <c r="AL29" s="101"/>
      <c r="AM29" s="101"/>
      <c r="AN29" s="101"/>
      <c r="AO29" s="101"/>
      <c r="AP29" s="101"/>
      <c r="AQ29" s="101"/>
      <c r="AR29" s="101"/>
      <c r="AS29" s="101"/>
      <c r="AT29" s="101"/>
      <c r="AU29" s="101"/>
      <c r="AV29" s="101"/>
      <c r="AW29" s="101"/>
      <c r="AX29" s="101"/>
      <c r="AY29" s="392"/>
    </row>
    <row r="30" spans="1:51">
      <c r="A30" s="391"/>
      <c r="B30" s="101"/>
      <c r="C30" s="101"/>
      <c r="D30" s="101"/>
      <c r="E30" s="101"/>
      <c r="F30" s="101"/>
      <c r="G30" s="101"/>
      <c r="H30" s="101"/>
      <c r="I30" s="101"/>
      <c r="J30" s="101"/>
      <c r="K30" s="101"/>
      <c r="L30" s="101"/>
      <c r="M30" s="101"/>
      <c r="N30" s="101"/>
      <c r="O30" s="101"/>
      <c r="P30" s="101"/>
      <c r="Q30" s="392"/>
      <c r="R30" s="391"/>
      <c r="S30" s="101"/>
      <c r="T30" s="101"/>
      <c r="U30" s="101"/>
      <c r="V30" s="101"/>
      <c r="W30" s="101"/>
      <c r="X30" s="101"/>
      <c r="Y30" s="101"/>
      <c r="Z30" s="101"/>
      <c r="AA30" s="101"/>
      <c r="AB30" s="101"/>
      <c r="AC30" s="101"/>
      <c r="AD30" s="101"/>
      <c r="AE30" s="101"/>
      <c r="AF30" s="101"/>
      <c r="AG30" s="101"/>
      <c r="AH30" s="392"/>
      <c r="AI30" s="391"/>
      <c r="AJ30" s="101"/>
      <c r="AK30" s="101"/>
      <c r="AL30" s="101"/>
      <c r="AM30" s="101"/>
      <c r="AN30" s="101"/>
      <c r="AO30" s="101"/>
      <c r="AP30" s="101"/>
      <c r="AQ30" s="101"/>
      <c r="AR30" s="101"/>
      <c r="AS30" s="101"/>
      <c r="AT30" s="101"/>
      <c r="AU30" s="101"/>
      <c r="AV30" s="101"/>
      <c r="AW30" s="101"/>
      <c r="AX30" s="101"/>
      <c r="AY30" s="392"/>
    </row>
    <row r="31" spans="1:51">
      <c r="A31" s="391"/>
      <c r="B31" s="101"/>
      <c r="C31" s="101"/>
      <c r="D31" s="101"/>
      <c r="E31" s="101"/>
      <c r="F31" s="101"/>
      <c r="G31" s="101"/>
      <c r="H31" s="101"/>
      <c r="I31" s="101"/>
      <c r="J31" s="101"/>
      <c r="K31" s="101"/>
      <c r="L31" s="101"/>
      <c r="M31" s="101"/>
      <c r="N31" s="101"/>
      <c r="O31" s="101"/>
      <c r="P31" s="101"/>
      <c r="Q31" s="392"/>
      <c r="R31" s="391"/>
      <c r="S31" s="101"/>
      <c r="T31" s="101"/>
      <c r="U31" s="101"/>
      <c r="V31" s="101"/>
      <c r="W31" s="101"/>
      <c r="X31" s="101"/>
      <c r="Y31" s="101"/>
      <c r="Z31" s="101"/>
      <c r="AA31" s="101"/>
      <c r="AB31" s="101"/>
      <c r="AC31" s="101"/>
      <c r="AD31" s="101"/>
      <c r="AE31" s="101"/>
      <c r="AF31" s="101"/>
      <c r="AG31" s="101"/>
      <c r="AH31" s="392"/>
      <c r="AI31" s="391"/>
      <c r="AJ31" s="101"/>
      <c r="AK31" s="101"/>
      <c r="AL31" s="101"/>
      <c r="AM31" s="101"/>
      <c r="AN31" s="101"/>
      <c r="AO31" s="101"/>
      <c r="AP31" s="101"/>
      <c r="AQ31" s="101"/>
      <c r="AR31" s="101"/>
      <c r="AS31" s="101"/>
      <c r="AT31" s="101"/>
      <c r="AU31" s="101"/>
      <c r="AV31" s="101"/>
      <c r="AW31" s="101"/>
      <c r="AX31" s="101"/>
      <c r="AY31" s="392"/>
    </row>
    <row r="32" spans="1:51">
      <c r="A32" s="391"/>
      <c r="B32" s="101"/>
      <c r="C32" s="101"/>
      <c r="D32" s="101"/>
      <c r="E32" s="101"/>
      <c r="F32" s="101"/>
      <c r="G32" s="101"/>
      <c r="H32" s="101"/>
      <c r="I32" s="101"/>
      <c r="J32" s="101"/>
      <c r="K32" s="101"/>
      <c r="L32" s="101"/>
      <c r="M32" s="101"/>
      <c r="N32" s="101"/>
      <c r="O32" s="101"/>
      <c r="P32" s="101"/>
      <c r="Q32" s="392"/>
      <c r="R32" s="391"/>
      <c r="S32" s="101"/>
      <c r="T32" s="101"/>
      <c r="U32" s="101"/>
      <c r="V32" s="101"/>
      <c r="W32" s="101"/>
      <c r="X32" s="101"/>
      <c r="Y32" s="101"/>
      <c r="Z32" s="101"/>
      <c r="AA32" s="101"/>
      <c r="AB32" s="101"/>
      <c r="AC32" s="101"/>
      <c r="AD32" s="101"/>
      <c r="AE32" s="101"/>
      <c r="AF32" s="101"/>
      <c r="AG32" s="101"/>
      <c r="AH32" s="392"/>
      <c r="AI32" s="391"/>
      <c r="AJ32" s="101"/>
      <c r="AK32" s="101"/>
      <c r="AL32" s="101"/>
      <c r="AM32" s="101"/>
      <c r="AN32" s="101"/>
      <c r="AO32" s="101"/>
      <c r="AP32" s="101"/>
      <c r="AQ32" s="101"/>
      <c r="AR32" s="101"/>
      <c r="AS32" s="101"/>
      <c r="AT32" s="101"/>
      <c r="AU32" s="101"/>
      <c r="AV32" s="101"/>
      <c r="AW32" s="101"/>
      <c r="AX32" s="101"/>
      <c r="AY32" s="392"/>
    </row>
    <row r="33" spans="1:51">
      <c r="A33" s="391"/>
      <c r="B33" s="101"/>
      <c r="C33" s="101"/>
      <c r="D33" s="101"/>
      <c r="E33" s="101"/>
      <c r="F33" s="101"/>
      <c r="G33" s="101"/>
      <c r="H33" s="101"/>
      <c r="I33" s="101"/>
      <c r="J33" s="101"/>
      <c r="K33" s="101"/>
      <c r="L33" s="101"/>
      <c r="M33" s="101"/>
      <c r="N33" s="101"/>
      <c r="O33" s="101"/>
      <c r="P33" s="101"/>
      <c r="Q33" s="392"/>
      <c r="R33" s="391"/>
      <c r="S33" s="101"/>
      <c r="T33" s="101"/>
      <c r="U33" s="101"/>
      <c r="V33" s="101"/>
      <c r="W33" s="101"/>
      <c r="X33" s="101"/>
      <c r="Y33" s="101"/>
      <c r="Z33" s="101"/>
      <c r="AA33" s="101"/>
      <c r="AB33" s="101"/>
      <c r="AC33" s="101"/>
      <c r="AD33" s="101"/>
      <c r="AE33" s="101"/>
      <c r="AF33" s="101"/>
      <c r="AG33" s="101"/>
      <c r="AH33" s="392"/>
      <c r="AI33" s="391"/>
      <c r="AJ33" s="101"/>
      <c r="AK33" s="101"/>
      <c r="AL33" s="101"/>
      <c r="AM33" s="101"/>
      <c r="AN33" s="101"/>
      <c r="AO33" s="101"/>
      <c r="AP33" s="101"/>
      <c r="AQ33" s="101"/>
      <c r="AR33" s="101"/>
      <c r="AS33" s="101"/>
      <c r="AT33" s="101"/>
      <c r="AU33" s="101"/>
      <c r="AV33" s="101"/>
      <c r="AW33" s="101"/>
      <c r="AX33" s="101"/>
      <c r="AY33" s="392"/>
    </row>
    <row r="34" spans="1:51">
      <c r="A34" s="393"/>
      <c r="B34" s="394"/>
      <c r="C34" s="394"/>
      <c r="D34" s="394"/>
      <c r="E34" s="394"/>
      <c r="F34" s="394"/>
      <c r="G34" s="394"/>
      <c r="H34" s="394"/>
      <c r="I34" s="394"/>
      <c r="J34" s="394"/>
      <c r="K34" s="394"/>
      <c r="L34" s="394"/>
      <c r="M34" s="394"/>
      <c r="N34" s="394"/>
      <c r="O34" s="394"/>
      <c r="P34" s="394"/>
      <c r="Q34" s="395"/>
      <c r="R34" s="393"/>
      <c r="S34" s="394"/>
      <c r="T34" s="394"/>
      <c r="U34" s="394"/>
      <c r="V34" s="394"/>
      <c r="W34" s="394"/>
      <c r="X34" s="394"/>
      <c r="Y34" s="394"/>
      <c r="Z34" s="394"/>
      <c r="AA34" s="394"/>
      <c r="AB34" s="394"/>
      <c r="AC34" s="394"/>
      <c r="AD34" s="394"/>
      <c r="AE34" s="394"/>
      <c r="AF34" s="394"/>
      <c r="AG34" s="394"/>
      <c r="AH34" s="395"/>
      <c r="AI34" s="393"/>
      <c r="AJ34" s="394"/>
      <c r="AK34" s="394"/>
      <c r="AL34" s="394"/>
      <c r="AM34" s="394"/>
      <c r="AN34" s="394"/>
      <c r="AO34" s="394"/>
      <c r="AP34" s="394"/>
      <c r="AQ34" s="394"/>
      <c r="AR34" s="394"/>
      <c r="AS34" s="394"/>
      <c r="AT34" s="394"/>
      <c r="AU34" s="394"/>
      <c r="AV34" s="394"/>
      <c r="AW34" s="394"/>
      <c r="AX34" s="394"/>
      <c r="AY34" s="395"/>
    </row>
    <row r="35" spans="1:51" ht="12.75" customHeight="1">
      <c r="A35" s="824" t="s">
        <v>258</v>
      </c>
      <c r="B35" s="825"/>
      <c r="C35" s="825"/>
      <c r="D35" s="825"/>
      <c r="E35" s="825"/>
      <c r="F35" s="825"/>
      <c r="G35" s="826"/>
      <c r="H35" s="834"/>
      <c r="I35" s="835"/>
      <c r="J35" s="827" t="str">
        <f>IF(H35&lt;&gt;"No","--&gt; Must follow T10 completely in any case.",IF(H36&lt;&gt;"No","--&gt; Must follow T10 with exception of T10.1.2.","--&gt; Do not have to follow T10."))</f>
        <v>--&gt; Must follow T10 completely in any case.</v>
      </c>
      <c r="K35" s="827"/>
      <c r="L35" s="827"/>
      <c r="M35" s="827"/>
      <c r="N35" s="827"/>
      <c r="O35" s="827"/>
      <c r="P35" s="827"/>
      <c r="Q35" s="828"/>
      <c r="R35" s="824" t="s">
        <v>258</v>
      </c>
      <c r="S35" s="825"/>
      <c r="T35" s="825"/>
      <c r="U35" s="825"/>
      <c r="V35" s="825"/>
      <c r="W35" s="825"/>
      <c r="X35" s="826"/>
      <c r="Y35" s="815"/>
      <c r="Z35" s="807"/>
      <c r="AA35" s="827" t="str">
        <f>IF(Y35&lt;&gt;"No","--&gt; Must follow T10 completely in any case.",IF(Y36&lt;&gt;"No","--&gt; Must follow T10 with exception of T10.1.2.","--&gt; Do not have to follow T10."))</f>
        <v>--&gt; Must follow T10 completely in any case.</v>
      </c>
      <c r="AB35" s="827"/>
      <c r="AC35" s="827"/>
      <c r="AD35" s="827"/>
      <c r="AE35" s="827"/>
      <c r="AF35" s="827"/>
      <c r="AG35" s="827"/>
      <c r="AH35" s="828"/>
      <c r="AI35" s="824" t="s">
        <v>258</v>
      </c>
      <c r="AJ35" s="825"/>
      <c r="AK35" s="825"/>
      <c r="AL35" s="825"/>
      <c r="AM35" s="825"/>
      <c r="AN35" s="825"/>
      <c r="AO35" s="826"/>
      <c r="AP35" s="815"/>
      <c r="AQ35" s="807"/>
      <c r="AR35" s="827" t="str">
        <f>IF(AP35&lt;&gt;"No","--&gt; Must follow T10 completely in any case.",IF(AP36&lt;&gt;"No","--&gt; Must follow T10 with exception of T10.1.2.","--&gt; Do not have to follow T10."))</f>
        <v>--&gt; Must follow T10 completely in any case.</v>
      </c>
      <c r="AS35" s="827"/>
      <c r="AT35" s="827"/>
      <c r="AU35" s="827"/>
      <c r="AV35" s="827"/>
      <c r="AW35" s="827"/>
      <c r="AX35" s="827"/>
      <c r="AY35" s="828"/>
    </row>
    <row r="36" spans="1:51">
      <c r="A36" s="831" t="s">
        <v>430</v>
      </c>
      <c r="B36" s="832"/>
      <c r="C36" s="832"/>
      <c r="D36" s="832"/>
      <c r="E36" s="832"/>
      <c r="F36" s="832"/>
      <c r="G36" s="833"/>
      <c r="H36" s="815"/>
      <c r="I36" s="807"/>
      <c r="J36" s="829"/>
      <c r="K36" s="829"/>
      <c r="L36" s="829"/>
      <c r="M36" s="829"/>
      <c r="N36" s="829"/>
      <c r="O36" s="829"/>
      <c r="P36" s="829"/>
      <c r="Q36" s="830"/>
      <c r="R36" s="831" t="s">
        <v>430</v>
      </c>
      <c r="S36" s="832"/>
      <c r="T36" s="832"/>
      <c r="U36" s="832"/>
      <c r="V36" s="832"/>
      <c r="W36" s="832"/>
      <c r="X36" s="833"/>
      <c r="Y36" s="815"/>
      <c r="Z36" s="807"/>
      <c r="AA36" s="829"/>
      <c r="AB36" s="829"/>
      <c r="AC36" s="829"/>
      <c r="AD36" s="829"/>
      <c r="AE36" s="829"/>
      <c r="AF36" s="829"/>
      <c r="AG36" s="829"/>
      <c r="AH36" s="830"/>
      <c r="AI36" s="831" t="s">
        <v>430</v>
      </c>
      <c r="AJ36" s="832"/>
      <c r="AK36" s="832"/>
      <c r="AL36" s="832"/>
      <c r="AM36" s="832"/>
      <c r="AN36" s="832"/>
      <c r="AO36" s="833"/>
      <c r="AP36" s="815"/>
      <c r="AQ36" s="807"/>
      <c r="AR36" s="829"/>
      <c r="AS36" s="829"/>
      <c r="AT36" s="829"/>
      <c r="AU36" s="829"/>
      <c r="AV36" s="829"/>
      <c r="AW36" s="829"/>
      <c r="AX36" s="829"/>
      <c r="AY36" s="830"/>
    </row>
    <row r="37" spans="1:51">
      <c r="A37" s="462" t="s">
        <v>259</v>
      </c>
      <c r="B37" s="465"/>
      <c r="C37" s="465"/>
      <c r="D37" s="465"/>
      <c r="E37" s="465"/>
      <c r="F37" s="465"/>
      <c r="G37" s="823"/>
      <c r="H37" s="821"/>
      <c r="I37" s="821"/>
      <c r="J37" s="821"/>
      <c r="K37" s="821"/>
      <c r="L37" s="821"/>
      <c r="M37" s="821"/>
      <c r="N37" s="821"/>
      <c r="O37" s="821"/>
      <c r="P37" s="821"/>
      <c r="Q37" s="822"/>
      <c r="R37" s="462" t="s">
        <v>259</v>
      </c>
      <c r="S37" s="465"/>
      <c r="T37" s="465"/>
      <c r="U37" s="465"/>
      <c r="V37" s="465"/>
      <c r="W37" s="465"/>
      <c r="X37" s="823"/>
      <c r="Y37" s="821"/>
      <c r="Z37" s="821"/>
      <c r="AA37" s="821"/>
      <c r="AB37" s="821"/>
      <c r="AC37" s="821"/>
      <c r="AD37" s="821"/>
      <c r="AE37" s="821"/>
      <c r="AF37" s="821"/>
      <c r="AG37" s="821"/>
      <c r="AH37" s="822"/>
      <c r="AI37" s="462" t="s">
        <v>259</v>
      </c>
      <c r="AJ37" s="465"/>
      <c r="AK37" s="465"/>
      <c r="AL37" s="465"/>
      <c r="AM37" s="465"/>
      <c r="AN37" s="465"/>
      <c r="AO37" s="823"/>
      <c r="AP37" s="821"/>
      <c r="AQ37" s="821"/>
      <c r="AR37" s="821"/>
      <c r="AS37" s="821"/>
      <c r="AT37" s="821"/>
      <c r="AU37" s="821"/>
      <c r="AV37" s="821"/>
      <c r="AW37" s="821"/>
      <c r="AX37" s="821"/>
      <c r="AY37" s="822"/>
    </row>
    <row r="38" spans="1:51">
      <c r="A38" s="388" t="s">
        <v>260</v>
      </c>
      <c r="B38" s="389"/>
      <c r="C38" s="389"/>
      <c r="D38" s="389"/>
      <c r="E38" s="389"/>
      <c r="F38" s="389"/>
      <c r="G38" s="389"/>
      <c r="H38" s="389"/>
      <c r="I38" s="389"/>
      <c r="J38" s="389"/>
      <c r="K38" s="389"/>
      <c r="L38" s="389"/>
      <c r="M38" s="389"/>
      <c r="N38" s="389"/>
      <c r="O38" s="389"/>
      <c r="P38" s="389"/>
      <c r="Q38" s="390"/>
      <c r="R38" s="388" t="s">
        <v>260</v>
      </c>
      <c r="S38" s="389"/>
      <c r="T38" s="389"/>
      <c r="U38" s="389"/>
      <c r="V38" s="389"/>
      <c r="W38" s="389"/>
      <c r="X38" s="389"/>
      <c r="Y38" s="389"/>
      <c r="Z38" s="389"/>
      <c r="AA38" s="389"/>
      <c r="AB38" s="389"/>
      <c r="AC38" s="389"/>
      <c r="AD38" s="389"/>
      <c r="AE38" s="389"/>
      <c r="AF38" s="389"/>
      <c r="AG38" s="389"/>
      <c r="AH38" s="390"/>
      <c r="AI38" s="388" t="s">
        <v>260</v>
      </c>
      <c r="AJ38" s="389"/>
      <c r="AK38" s="389"/>
      <c r="AL38" s="389"/>
      <c r="AM38" s="389"/>
      <c r="AN38" s="389"/>
      <c r="AO38" s="389"/>
      <c r="AP38" s="389"/>
      <c r="AQ38" s="389"/>
      <c r="AR38" s="389"/>
      <c r="AS38" s="389"/>
      <c r="AT38" s="389"/>
      <c r="AU38" s="389"/>
      <c r="AV38" s="389"/>
      <c r="AW38" s="389"/>
      <c r="AX38" s="389"/>
      <c r="AY38" s="390"/>
    </row>
    <row r="39" spans="1:51">
      <c r="A39" s="391"/>
      <c r="B39" s="101"/>
      <c r="C39" s="101"/>
      <c r="D39" s="101"/>
      <c r="E39" s="101"/>
      <c r="F39" s="101"/>
      <c r="G39" s="101"/>
      <c r="H39" s="101"/>
      <c r="I39" s="101"/>
      <c r="J39" s="101"/>
      <c r="K39" s="101"/>
      <c r="L39" s="101"/>
      <c r="M39" s="101"/>
      <c r="N39" s="101"/>
      <c r="O39" s="101"/>
      <c r="P39" s="101"/>
      <c r="Q39" s="392"/>
      <c r="R39" s="391"/>
      <c r="S39" s="101"/>
      <c r="T39" s="101"/>
      <c r="U39" s="101"/>
      <c r="V39" s="101"/>
      <c r="W39" s="101"/>
      <c r="X39" s="101"/>
      <c r="Y39" s="101"/>
      <c r="Z39" s="101"/>
      <c r="AA39" s="101"/>
      <c r="AB39" s="101"/>
      <c r="AC39" s="101"/>
      <c r="AD39" s="101"/>
      <c r="AE39" s="101"/>
      <c r="AF39" s="101"/>
      <c r="AG39" s="101"/>
      <c r="AH39" s="392"/>
      <c r="AI39" s="391"/>
      <c r="AJ39" s="101"/>
      <c r="AK39" s="101"/>
      <c r="AL39" s="101"/>
      <c r="AM39" s="101"/>
      <c r="AN39" s="101"/>
      <c r="AO39" s="101"/>
      <c r="AP39" s="101"/>
      <c r="AQ39" s="101"/>
      <c r="AR39" s="101"/>
      <c r="AS39" s="101"/>
      <c r="AT39" s="101"/>
      <c r="AU39" s="101"/>
      <c r="AV39" s="101"/>
      <c r="AW39" s="101"/>
      <c r="AX39" s="101"/>
      <c r="AY39" s="392"/>
    </row>
    <row r="40" spans="1:51">
      <c r="A40" s="391"/>
      <c r="B40" s="101"/>
      <c r="C40" s="101"/>
      <c r="D40" s="101"/>
      <c r="E40" s="101"/>
      <c r="F40" s="101"/>
      <c r="G40" s="101"/>
      <c r="H40" s="101"/>
      <c r="I40" s="101"/>
      <c r="J40" s="101"/>
      <c r="K40" s="101"/>
      <c r="L40" s="101"/>
      <c r="M40" s="101"/>
      <c r="N40" s="101"/>
      <c r="O40" s="101"/>
      <c r="P40" s="101"/>
      <c r="Q40" s="392"/>
      <c r="R40" s="391"/>
      <c r="S40" s="101"/>
      <c r="T40" s="101"/>
      <c r="U40" s="101"/>
      <c r="V40" s="101"/>
      <c r="W40" s="101"/>
      <c r="X40" s="101"/>
      <c r="Y40" s="101"/>
      <c r="Z40" s="101"/>
      <c r="AA40" s="101"/>
      <c r="AB40" s="101"/>
      <c r="AC40" s="101"/>
      <c r="AD40" s="101"/>
      <c r="AE40" s="101"/>
      <c r="AF40" s="101"/>
      <c r="AG40" s="101"/>
      <c r="AH40" s="392"/>
      <c r="AI40" s="391"/>
      <c r="AJ40" s="101"/>
      <c r="AK40" s="101"/>
      <c r="AL40" s="101"/>
      <c r="AM40" s="101"/>
      <c r="AN40" s="101"/>
      <c r="AO40" s="101"/>
      <c r="AP40" s="101"/>
      <c r="AQ40" s="101"/>
      <c r="AR40" s="101"/>
      <c r="AS40" s="101"/>
      <c r="AT40" s="101"/>
      <c r="AU40" s="101"/>
      <c r="AV40" s="101"/>
      <c r="AW40" s="101"/>
      <c r="AX40" s="101"/>
      <c r="AY40" s="392"/>
    </row>
    <row r="41" spans="1:51">
      <c r="A41" s="391"/>
      <c r="B41" s="101"/>
      <c r="C41" s="101"/>
      <c r="D41" s="101"/>
      <c r="E41" s="101"/>
      <c r="F41" s="101"/>
      <c r="G41" s="101"/>
      <c r="H41" s="101"/>
      <c r="I41" s="101"/>
      <c r="J41" s="101"/>
      <c r="K41" s="101"/>
      <c r="L41" s="101"/>
      <c r="M41" s="101"/>
      <c r="N41" s="101"/>
      <c r="O41" s="101"/>
      <c r="P41" s="101"/>
      <c r="Q41" s="392"/>
      <c r="R41" s="391"/>
      <c r="S41" s="101"/>
      <c r="T41" s="101"/>
      <c r="U41" s="101"/>
      <c r="V41" s="101"/>
      <c r="W41" s="101"/>
      <c r="X41" s="101"/>
      <c r="Y41" s="101"/>
      <c r="Z41" s="101"/>
      <c r="AA41" s="101"/>
      <c r="AB41" s="101"/>
      <c r="AC41" s="101"/>
      <c r="AD41" s="101"/>
      <c r="AE41" s="101"/>
      <c r="AF41" s="101"/>
      <c r="AG41" s="101"/>
      <c r="AH41" s="392"/>
      <c r="AI41" s="391"/>
      <c r="AJ41" s="101"/>
      <c r="AK41" s="101"/>
      <c r="AL41" s="101"/>
      <c r="AM41" s="101"/>
      <c r="AN41" s="101"/>
      <c r="AO41" s="101"/>
      <c r="AP41" s="101"/>
      <c r="AQ41" s="101"/>
      <c r="AR41" s="101"/>
      <c r="AS41" s="101"/>
      <c r="AT41" s="101"/>
      <c r="AU41" s="101"/>
      <c r="AV41" s="101"/>
      <c r="AW41" s="101"/>
      <c r="AX41" s="101"/>
      <c r="AY41" s="392"/>
    </row>
    <row r="42" spans="1:51">
      <c r="A42" s="391"/>
      <c r="B42" s="101"/>
      <c r="C42" s="101"/>
      <c r="D42" s="101"/>
      <c r="E42" s="101"/>
      <c r="F42" s="101"/>
      <c r="G42" s="101"/>
      <c r="H42" s="101"/>
      <c r="I42" s="101"/>
      <c r="J42" s="101"/>
      <c r="K42" s="101"/>
      <c r="L42" s="101"/>
      <c r="M42" s="101"/>
      <c r="N42" s="101"/>
      <c r="O42" s="101"/>
      <c r="P42" s="101"/>
      <c r="Q42" s="392"/>
      <c r="R42" s="391"/>
      <c r="S42" s="101"/>
      <c r="T42" s="101"/>
      <c r="U42" s="101"/>
      <c r="V42" s="101"/>
      <c r="W42" s="101"/>
      <c r="X42" s="101"/>
      <c r="Y42" s="101"/>
      <c r="Z42" s="101"/>
      <c r="AA42" s="101"/>
      <c r="AB42" s="101"/>
      <c r="AC42" s="101"/>
      <c r="AD42" s="101"/>
      <c r="AE42" s="101"/>
      <c r="AF42" s="101"/>
      <c r="AG42" s="101"/>
      <c r="AH42" s="392"/>
      <c r="AI42" s="391"/>
      <c r="AJ42" s="101"/>
      <c r="AK42" s="101"/>
      <c r="AL42" s="101"/>
      <c r="AM42" s="101"/>
      <c r="AN42" s="101"/>
      <c r="AO42" s="101"/>
      <c r="AP42" s="101"/>
      <c r="AQ42" s="101"/>
      <c r="AR42" s="101"/>
      <c r="AS42" s="101"/>
      <c r="AT42" s="101"/>
      <c r="AU42" s="101"/>
      <c r="AV42" s="101"/>
      <c r="AW42" s="101"/>
      <c r="AX42" s="101"/>
      <c r="AY42" s="392"/>
    </row>
    <row r="43" spans="1:51">
      <c r="A43" s="391"/>
      <c r="B43" s="101"/>
      <c r="C43" s="101"/>
      <c r="D43" s="101"/>
      <c r="E43" s="101"/>
      <c r="F43" s="101"/>
      <c r="G43" s="101"/>
      <c r="H43" s="101"/>
      <c r="I43" s="101"/>
      <c r="J43" s="101"/>
      <c r="K43" s="101"/>
      <c r="L43" s="101"/>
      <c r="M43" s="101"/>
      <c r="N43" s="101"/>
      <c r="O43" s="101"/>
      <c r="P43" s="101"/>
      <c r="Q43" s="392"/>
      <c r="R43" s="391"/>
      <c r="S43" s="101"/>
      <c r="T43" s="101"/>
      <c r="U43" s="101"/>
      <c r="V43" s="101"/>
      <c r="W43" s="101"/>
      <c r="X43" s="101"/>
      <c r="Y43" s="101"/>
      <c r="Z43" s="101"/>
      <c r="AA43" s="101"/>
      <c r="AB43" s="101"/>
      <c r="AC43" s="101"/>
      <c r="AD43" s="101"/>
      <c r="AE43" s="101"/>
      <c r="AF43" s="101"/>
      <c r="AG43" s="101"/>
      <c r="AH43" s="392"/>
      <c r="AI43" s="391"/>
      <c r="AJ43" s="101"/>
      <c r="AK43" s="101"/>
      <c r="AL43" s="101"/>
      <c r="AM43" s="101"/>
      <c r="AN43" s="101"/>
      <c r="AO43" s="101"/>
      <c r="AP43" s="101"/>
      <c r="AQ43" s="101"/>
      <c r="AR43" s="101"/>
      <c r="AS43" s="101"/>
      <c r="AT43" s="101"/>
      <c r="AU43" s="101"/>
      <c r="AV43" s="101"/>
      <c r="AW43" s="101"/>
      <c r="AX43" s="101"/>
      <c r="AY43" s="392"/>
    </row>
    <row r="44" spans="1:51">
      <c r="A44" s="391"/>
      <c r="B44" s="101"/>
      <c r="C44" s="101"/>
      <c r="D44" s="101"/>
      <c r="E44" s="101"/>
      <c r="F44" s="101"/>
      <c r="G44" s="101"/>
      <c r="H44" s="101"/>
      <c r="I44" s="101"/>
      <c r="J44" s="101"/>
      <c r="K44" s="101"/>
      <c r="L44" s="101"/>
      <c r="M44" s="101"/>
      <c r="N44" s="101"/>
      <c r="O44" s="101"/>
      <c r="P44" s="101"/>
      <c r="Q44" s="392"/>
      <c r="R44" s="391"/>
      <c r="S44" s="101"/>
      <c r="T44" s="101"/>
      <c r="U44" s="101"/>
      <c r="V44" s="101"/>
      <c r="W44" s="101"/>
      <c r="X44" s="101"/>
      <c r="Y44" s="101"/>
      <c r="Z44" s="101"/>
      <c r="AA44" s="101"/>
      <c r="AB44" s="101"/>
      <c r="AC44" s="101"/>
      <c r="AD44" s="101"/>
      <c r="AE44" s="101"/>
      <c r="AF44" s="101"/>
      <c r="AG44" s="101"/>
      <c r="AH44" s="392"/>
      <c r="AI44" s="391"/>
      <c r="AJ44" s="101"/>
      <c r="AK44" s="101"/>
      <c r="AL44" s="101"/>
      <c r="AM44" s="101"/>
      <c r="AN44" s="101"/>
      <c r="AO44" s="101"/>
      <c r="AP44" s="101"/>
      <c r="AQ44" s="101"/>
      <c r="AR44" s="101"/>
      <c r="AS44" s="101"/>
      <c r="AT44" s="101"/>
      <c r="AU44" s="101"/>
      <c r="AV44" s="101"/>
      <c r="AW44" s="101"/>
      <c r="AX44" s="101"/>
      <c r="AY44" s="392"/>
    </row>
    <row r="45" spans="1:51">
      <c r="A45" s="391"/>
      <c r="B45" s="101"/>
      <c r="C45" s="101"/>
      <c r="D45" s="101"/>
      <c r="E45" s="101"/>
      <c r="F45" s="101"/>
      <c r="G45" s="101"/>
      <c r="H45" s="101"/>
      <c r="I45" s="101"/>
      <c r="J45" s="101"/>
      <c r="K45" s="101"/>
      <c r="L45" s="101"/>
      <c r="M45" s="101"/>
      <c r="N45" s="101"/>
      <c r="O45" s="101"/>
      <c r="P45" s="101"/>
      <c r="Q45" s="392"/>
      <c r="R45" s="391"/>
      <c r="S45" s="101"/>
      <c r="T45" s="101"/>
      <c r="U45" s="101"/>
      <c r="V45" s="101"/>
      <c r="W45" s="101"/>
      <c r="X45" s="101"/>
      <c r="Y45" s="101"/>
      <c r="Z45" s="101"/>
      <c r="AA45" s="101"/>
      <c r="AB45" s="101"/>
      <c r="AC45" s="101"/>
      <c r="AD45" s="101"/>
      <c r="AE45" s="101"/>
      <c r="AF45" s="101"/>
      <c r="AG45" s="101"/>
      <c r="AH45" s="392"/>
      <c r="AI45" s="391"/>
      <c r="AJ45" s="101"/>
      <c r="AK45" s="101"/>
      <c r="AL45" s="101"/>
      <c r="AM45" s="101"/>
      <c r="AN45" s="101"/>
      <c r="AO45" s="101"/>
      <c r="AP45" s="101"/>
      <c r="AQ45" s="101"/>
      <c r="AR45" s="101"/>
      <c r="AS45" s="101"/>
      <c r="AT45" s="101"/>
      <c r="AU45" s="101"/>
      <c r="AV45" s="101"/>
      <c r="AW45" s="101"/>
      <c r="AX45" s="101"/>
      <c r="AY45" s="392"/>
    </row>
    <row r="46" spans="1:51">
      <c r="A46" s="391"/>
      <c r="B46" s="101"/>
      <c r="C46" s="101"/>
      <c r="D46" s="101"/>
      <c r="E46" s="101"/>
      <c r="F46" s="101"/>
      <c r="G46" s="101"/>
      <c r="H46" s="101"/>
      <c r="I46" s="101"/>
      <c r="J46" s="101"/>
      <c r="K46" s="101"/>
      <c r="L46" s="101"/>
      <c r="M46" s="101"/>
      <c r="N46" s="101"/>
      <c r="O46" s="101"/>
      <c r="P46" s="101"/>
      <c r="Q46" s="392"/>
      <c r="R46" s="391"/>
      <c r="S46" s="101"/>
      <c r="T46" s="101"/>
      <c r="U46" s="101"/>
      <c r="V46" s="101"/>
      <c r="W46" s="101"/>
      <c r="X46" s="101"/>
      <c r="Y46" s="101"/>
      <c r="Z46" s="101"/>
      <c r="AA46" s="101"/>
      <c r="AB46" s="101"/>
      <c r="AC46" s="101"/>
      <c r="AD46" s="101"/>
      <c r="AE46" s="101"/>
      <c r="AF46" s="101"/>
      <c r="AG46" s="101"/>
      <c r="AH46" s="392"/>
      <c r="AI46" s="391"/>
      <c r="AJ46" s="101"/>
      <c r="AK46" s="101"/>
      <c r="AL46" s="101"/>
      <c r="AM46" s="101"/>
      <c r="AN46" s="101"/>
      <c r="AO46" s="101"/>
      <c r="AP46" s="101"/>
      <c r="AQ46" s="101"/>
      <c r="AR46" s="101"/>
      <c r="AS46" s="101"/>
      <c r="AT46" s="101"/>
      <c r="AU46" s="101"/>
      <c r="AV46" s="101"/>
      <c r="AW46" s="101"/>
      <c r="AX46" s="101"/>
      <c r="AY46" s="392"/>
    </row>
    <row r="47" spans="1:51">
      <c r="A47" s="391"/>
      <c r="B47" s="101"/>
      <c r="C47" s="101"/>
      <c r="D47" s="101"/>
      <c r="E47" s="101"/>
      <c r="F47" s="101"/>
      <c r="G47" s="101"/>
      <c r="H47" s="101"/>
      <c r="I47" s="101"/>
      <c r="J47" s="101"/>
      <c r="K47" s="101"/>
      <c r="L47" s="101"/>
      <c r="M47" s="101"/>
      <c r="N47" s="101"/>
      <c r="O47" s="101"/>
      <c r="P47" s="101"/>
      <c r="Q47" s="392"/>
      <c r="R47" s="391"/>
      <c r="S47" s="101"/>
      <c r="T47" s="101"/>
      <c r="U47" s="101"/>
      <c r="V47" s="101"/>
      <c r="W47" s="101"/>
      <c r="X47" s="101"/>
      <c r="Y47" s="101"/>
      <c r="Z47" s="101"/>
      <c r="AA47" s="101"/>
      <c r="AB47" s="101"/>
      <c r="AC47" s="101"/>
      <c r="AD47" s="101"/>
      <c r="AE47" s="101"/>
      <c r="AF47" s="101"/>
      <c r="AG47" s="101"/>
      <c r="AH47" s="392"/>
      <c r="AI47" s="391"/>
      <c r="AJ47" s="101"/>
      <c r="AK47" s="101"/>
      <c r="AL47" s="101"/>
      <c r="AM47" s="101"/>
      <c r="AN47" s="101"/>
      <c r="AO47" s="101"/>
      <c r="AP47" s="101"/>
      <c r="AQ47" s="101"/>
      <c r="AR47" s="101"/>
      <c r="AS47" s="101"/>
      <c r="AT47" s="101"/>
      <c r="AU47" s="101"/>
      <c r="AV47" s="101"/>
      <c r="AW47" s="101"/>
      <c r="AX47" s="101"/>
      <c r="AY47" s="392"/>
    </row>
    <row r="48" spans="1:51">
      <c r="A48" s="391"/>
      <c r="B48" s="101"/>
      <c r="C48" s="101"/>
      <c r="D48" s="101"/>
      <c r="E48" s="101"/>
      <c r="F48" s="101"/>
      <c r="G48" s="101"/>
      <c r="H48" s="101"/>
      <c r="I48" s="101"/>
      <c r="J48" s="101"/>
      <c r="K48" s="101"/>
      <c r="L48" s="101"/>
      <c r="M48" s="101"/>
      <c r="N48" s="101"/>
      <c r="O48" s="101"/>
      <c r="P48" s="101"/>
      <c r="Q48" s="392"/>
      <c r="R48" s="391"/>
      <c r="S48" s="101"/>
      <c r="T48" s="101"/>
      <c r="U48" s="101"/>
      <c r="V48" s="101"/>
      <c r="W48" s="101"/>
      <c r="X48" s="101"/>
      <c r="Y48" s="101"/>
      <c r="Z48" s="101"/>
      <c r="AA48" s="101"/>
      <c r="AB48" s="101"/>
      <c r="AC48" s="101"/>
      <c r="AD48" s="101"/>
      <c r="AE48" s="101"/>
      <c r="AF48" s="101"/>
      <c r="AG48" s="101"/>
      <c r="AH48" s="392"/>
      <c r="AI48" s="391"/>
      <c r="AJ48" s="101"/>
      <c r="AK48" s="101"/>
      <c r="AL48" s="101"/>
      <c r="AM48" s="101"/>
      <c r="AN48" s="101"/>
      <c r="AO48" s="101"/>
      <c r="AP48" s="101"/>
      <c r="AQ48" s="101"/>
      <c r="AR48" s="101"/>
      <c r="AS48" s="101"/>
      <c r="AT48" s="101"/>
      <c r="AU48" s="101"/>
      <c r="AV48" s="101"/>
      <c r="AW48" s="101"/>
      <c r="AX48" s="101"/>
      <c r="AY48" s="392"/>
    </row>
    <row r="49" spans="1:51">
      <c r="A49" s="391"/>
      <c r="B49" s="101"/>
      <c r="C49" s="101"/>
      <c r="D49" s="101"/>
      <c r="E49" s="101"/>
      <c r="F49" s="101"/>
      <c r="G49" s="101"/>
      <c r="H49" s="101"/>
      <c r="I49" s="101"/>
      <c r="J49" s="101"/>
      <c r="K49" s="101"/>
      <c r="L49" s="101"/>
      <c r="M49" s="101"/>
      <c r="N49" s="101"/>
      <c r="O49" s="101"/>
      <c r="P49" s="101"/>
      <c r="Q49" s="392"/>
      <c r="R49" s="391"/>
      <c r="S49" s="101"/>
      <c r="T49" s="101"/>
      <c r="U49" s="101"/>
      <c r="V49" s="101"/>
      <c r="W49" s="101"/>
      <c r="X49" s="101"/>
      <c r="Y49" s="101"/>
      <c r="Z49" s="101"/>
      <c r="AA49" s="101"/>
      <c r="AB49" s="101"/>
      <c r="AC49" s="101"/>
      <c r="AD49" s="101"/>
      <c r="AE49" s="101"/>
      <c r="AF49" s="101"/>
      <c r="AG49" s="101"/>
      <c r="AH49" s="392"/>
      <c r="AI49" s="391"/>
      <c r="AJ49" s="101"/>
      <c r="AK49" s="101"/>
      <c r="AL49" s="101"/>
      <c r="AM49" s="101"/>
      <c r="AN49" s="101"/>
      <c r="AO49" s="101"/>
      <c r="AP49" s="101"/>
      <c r="AQ49" s="101"/>
      <c r="AR49" s="101"/>
      <c r="AS49" s="101"/>
      <c r="AT49" s="101"/>
      <c r="AU49" s="101"/>
      <c r="AV49" s="101"/>
      <c r="AW49" s="101"/>
      <c r="AX49" s="101"/>
      <c r="AY49" s="392"/>
    </row>
    <row r="50" spans="1:51">
      <c r="A50" s="391"/>
      <c r="B50" s="101"/>
      <c r="C50" s="101"/>
      <c r="D50" s="101"/>
      <c r="E50" s="101"/>
      <c r="F50" s="101"/>
      <c r="G50" s="101"/>
      <c r="H50" s="101"/>
      <c r="I50" s="101"/>
      <c r="J50" s="101"/>
      <c r="K50" s="101"/>
      <c r="L50" s="101"/>
      <c r="M50" s="101"/>
      <c r="N50" s="101"/>
      <c r="O50" s="101"/>
      <c r="P50" s="101"/>
      <c r="Q50" s="392"/>
      <c r="R50" s="391"/>
      <c r="S50" s="101"/>
      <c r="T50" s="101"/>
      <c r="U50" s="101"/>
      <c r="V50" s="101"/>
      <c r="W50" s="101"/>
      <c r="X50" s="101"/>
      <c r="Y50" s="101"/>
      <c r="Z50" s="101"/>
      <c r="AA50" s="101"/>
      <c r="AB50" s="101"/>
      <c r="AC50" s="101"/>
      <c r="AD50" s="101"/>
      <c r="AE50" s="101"/>
      <c r="AF50" s="101"/>
      <c r="AG50" s="101"/>
      <c r="AH50" s="392"/>
      <c r="AI50" s="391"/>
      <c r="AJ50" s="101"/>
      <c r="AK50" s="101"/>
      <c r="AL50" s="101"/>
      <c r="AM50" s="101"/>
      <c r="AN50" s="101"/>
      <c r="AO50" s="101"/>
      <c r="AP50" s="101"/>
      <c r="AQ50" s="101"/>
      <c r="AR50" s="101"/>
      <c r="AS50" s="101"/>
      <c r="AT50" s="101"/>
      <c r="AU50" s="101"/>
      <c r="AV50" s="101"/>
      <c r="AW50" s="101"/>
      <c r="AX50" s="101"/>
      <c r="AY50" s="392"/>
    </row>
    <row r="51" spans="1:51">
      <c r="A51" s="391"/>
      <c r="B51" s="101"/>
      <c r="C51" s="101"/>
      <c r="D51" s="101"/>
      <c r="E51" s="101"/>
      <c r="F51" s="101"/>
      <c r="G51" s="101"/>
      <c r="H51" s="101"/>
      <c r="I51" s="101"/>
      <c r="J51" s="101"/>
      <c r="K51" s="101"/>
      <c r="L51" s="101"/>
      <c r="M51" s="101"/>
      <c r="N51" s="101"/>
      <c r="O51" s="101"/>
      <c r="P51" s="101"/>
      <c r="Q51" s="392"/>
      <c r="R51" s="391"/>
      <c r="S51" s="101"/>
      <c r="T51" s="101"/>
      <c r="U51" s="101"/>
      <c r="V51" s="101"/>
      <c r="W51" s="101"/>
      <c r="X51" s="101"/>
      <c r="Y51" s="101"/>
      <c r="Z51" s="101"/>
      <c r="AA51" s="101"/>
      <c r="AB51" s="101"/>
      <c r="AC51" s="101"/>
      <c r="AD51" s="101"/>
      <c r="AE51" s="101"/>
      <c r="AF51" s="101"/>
      <c r="AG51" s="101"/>
      <c r="AH51" s="392"/>
      <c r="AI51" s="391"/>
      <c r="AJ51" s="101"/>
      <c r="AK51" s="101"/>
      <c r="AL51" s="101"/>
      <c r="AM51" s="101"/>
      <c r="AN51" s="101"/>
      <c r="AO51" s="101"/>
      <c r="AP51" s="101"/>
      <c r="AQ51" s="101"/>
      <c r="AR51" s="101"/>
      <c r="AS51" s="101"/>
      <c r="AT51" s="101"/>
      <c r="AU51" s="101"/>
      <c r="AV51" s="101"/>
      <c r="AW51" s="101"/>
      <c r="AX51" s="101"/>
      <c r="AY51" s="392"/>
    </row>
    <row r="52" spans="1:51">
      <c r="A52" s="391"/>
      <c r="B52" s="101"/>
      <c r="C52" s="101"/>
      <c r="D52" s="101"/>
      <c r="E52" s="101"/>
      <c r="F52" s="101"/>
      <c r="G52" s="101"/>
      <c r="H52" s="101"/>
      <c r="I52" s="101"/>
      <c r="J52" s="101"/>
      <c r="K52" s="101"/>
      <c r="L52" s="101"/>
      <c r="M52" s="101"/>
      <c r="N52" s="101"/>
      <c r="O52" s="101"/>
      <c r="P52" s="101"/>
      <c r="Q52" s="392"/>
      <c r="R52" s="391"/>
      <c r="S52" s="101"/>
      <c r="T52" s="101"/>
      <c r="U52" s="101"/>
      <c r="V52" s="101"/>
      <c r="W52" s="101"/>
      <c r="X52" s="101"/>
      <c r="Y52" s="101"/>
      <c r="Z52" s="101"/>
      <c r="AA52" s="101"/>
      <c r="AB52" s="101"/>
      <c r="AC52" s="101"/>
      <c r="AD52" s="101"/>
      <c r="AE52" s="101"/>
      <c r="AF52" s="101"/>
      <c r="AG52" s="101"/>
      <c r="AH52" s="392"/>
      <c r="AI52" s="391"/>
      <c r="AJ52" s="101"/>
      <c r="AK52" s="101"/>
      <c r="AL52" s="101"/>
      <c r="AM52" s="101"/>
      <c r="AN52" s="101"/>
      <c r="AO52" s="101"/>
      <c r="AP52" s="101"/>
      <c r="AQ52" s="101"/>
      <c r="AR52" s="101"/>
      <c r="AS52" s="101"/>
      <c r="AT52" s="101"/>
      <c r="AU52" s="101"/>
      <c r="AV52" s="101"/>
      <c r="AW52" s="101"/>
      <c r="AX52" s="101"/>
      <c r="AY52" s="392"/>
    </row>
    <row r="53" spans="1:51">
      <c r="A53" s="391"/>
      <c r="B53" s="101"/>
      <c r="C53" s="101"/>
      <c r="D53" s="101"/>
      <c r="E53" s="101"/>
      <c r="F53" s="101"/>
      <c r="G53" s="101"/>
      <c r="H53" s="101"/>
      <c r="I53" s="101"/>
      <c r="J53" s="101"/>
      <c r="K53" s="101"/>
      <c r="L53" s="101"/>
      <c r="M53" s="101"/>
      <c r="N53" s="101"/>
      <c r="O53" s="101"/>
      <c r="P53" s="101"/>
      <c r="Q53" s="392"/>
      <c r="R53" s="391"/>
      <c r="S53" s="101"/>
      <c r="T53" s="101"/>
      <c r="U53" s="101"/>
      <c r="V53" s="101"/>
      <c r="W53" s="101"/>
      <c r="X53" s="101"/>
      <c r="Y53" s="101"/>
      <c r="Z53" s="101"/>
      <c r="AA53" s="101"/>
      <c r="AB53" s="101"/>
      <c r="AC53" s="101"/>
      <c r="AD53" s="101"/>
      <c r="AE53" s="101"/>
      <c r="AF53" s="101"/>
      <c r="AG53" s="101"/>
      <c r="AH53" s="392"/>
      <c r="AI53" s="391"/>
      <c r="AJ53" s="101"/>
      <c r="AK53" s="101"/>
      <c r="AL53" s="101"/>
      <c r="AM53" s="101"/>
      <c r="AN53" s="101"/>
      <c r="AO53" s="101"/>
      <c r="AP53" s="101"/>
      <c r="AQ53" s="101"/>
      <c r="AR53" s="101"/>
      <c r="AS53" s="101"/>
      <c r="AT53" s="101"/>
      <c r="AU53" s="101"/>
      <c r="AV53" s="101"/>
      <c r="AW53" s="101"/>
      <c r="AX53" s="101"/>
      <c r="AY53" s="392"/>
    </row>
    <row r="54" spans="1:51">
      <c r="A54" s="391"/>
      <c r="B54" s="101"/>
      <c r="C54" s="101"/>
      <c r="D54" s="101"/>
      <c r="E54" s="101"/>
      <c r="F54" s="101"/>
      <c r="G54" s="101"/>
      <c r="H54" s="101"/>
      <c r="I54" s="101"/>
      <c r="J54" s="101"/>
      <c r="K54" s="101"/>
      <c r="L54" s="101"/>
      <c r="M54" s="101"/>
      <c r="N54" s="101"/>
      <c r="O54" s="101"/>
      <c r="P54" s="101"/>
      <c r="Q54" s="392"/>
      <c r="R54" s="391"/>
      <c r="S54" s="101"/>
      <c r="T54" s="101"/>
      <c r="U54" s="101"/>
      <c r="V54" s="101"/>
      <c r="W54" s="101"/>
      <c r="X54" s="101"/>
      <c r="Y54" s="101"/>
      <c r="Z54" s="101"/>
      <c r="AA54" s="101"/>
      <c r="AB54" s="101"/>
      <c r="AC54" s="101"/>
      <c r="AD54" s="101"/>
      <c r="AE54" s="101"/>
      <c r="AF54" s="101"/>
      <c r="AG54" s="101"/>
      <c r="AH54" s="392"/>
      <c r="AI54" s="391"/>
      <c r="AJ54" s="101"/>
      <c r="AK54" s="101"/>
      <c r="AL54" s="101"/>
      <c r="AM54" s="101"/>
      <c r="AN54" s="101"/>
      <c r="AO54" s="101"/>
      <c r="AP54" s="101"/>
      <c r="AQ54" s="101"/>
      <c r="AR54" s="101"/>
      <c r="AS54" s="101"/>
      <c r="AT54" s="101"/>
      <c r="AU54" s="101"/>
      <c r="AV54" s="101"/>
      <c r="AW54" s="101"/>
      <c r="AX54" s="101"/>
      <c r="AY54" s="392"/>
    </row>
    <row r="55" spans="1:51">
      <c r="A55" s="391"/>
      <c r="B55" s="101"/>
      <c r="C55" s="101"/>
      <c r="D55" s="101"/>
      <c r="E55" s="101"/>
      <c r="F55" s="101"/>
      <c r="G55" s="101"/>
      <c r="H55" s="101"/>
      <c r="I55" s="101"/>
      <c r="J55" s="101"/>
      <c r="K55" s="101"/>
      <c r="L55" s="101"/>
      <c r="M55" s="101"/>
      <c r="N55" s="101"/>
      <c r="O55" s="101"/>
      <c r="P55" s="101"/>
      <c r="Q55" s="392"/>
      <c r="R55" s="391"/>
      <c r="S55" s="101"/>
      <c r="T55" s="101"/>
      <c r="U55" s="101"/>
      <c r="V55" s="101"/>
      <c r="W55" s="101"/>
      <c r="X55" s="101"/>
      <c r="Y55" s="101"/>
      <c r="Z55" s="101"/>
      <c r="AA55" s="101"/>
      <c r="AB55" s="101"/>
      <c r="AC55" s="101"/>
      <c r="AD55" s="101"/>
      <c r="AE55" s="101"/>
      <c r="AF55" s="101"/>
      <c r="AG55" s="101"/>
      <c r="AH55" s="392"/>
      <c r="AI55" s="391"/>
      <c r="AJ55" s="101"/>
      <c r="AK55" s="101"/>
      <c r="AL55" s="101"/>
      <c r="AM55" s="101"/>
      <c r="AN55" s="101"/>
      <c r="AO55" s="101"/>
      <c r="AP55" s="101"/>
      <c r="AQ55" s="101"/>
      <c r="AR55" s="101"/>
      <c r="AS55" s="101"/>
      <c r="AT55" s="101"/>
      <c r="AU55" s="101"/>
      <c r="AV55" s="101"/>
      <c r="AW55" s="101"/>
      <c r="AX55" s="101"/>
      <c r="AY55" s="392"/>
    </row>
    <row r="56" spans="1:51">
      <c r="A56" s="391"/>
      <c r="B56" s="101"/>
      <c r="C56" s="101"/>
      <c r="D56" s="101"/>
      <c r="E56" s="101"/>
      <c r="F56" s="101"/>
      <c r="G56" s="101"/>
      <c r="H56" s="101"/>
      <c r="I56" s="101"/>
      <c r="J56" s="101"/>
      <c r="K56" s="101"/>
      <c r="L56" s="101"/>
      <c r="M56" s="101"/>
      <c r="N56" s="101"/>
      <c r="O56" s="101"/>
      <c r="P56" s="101"/>
      <c r="Q56" s="392"/>
      <c r="R56" s="391"/>
      <c r="S56" s="101"/>
      <c r="T56" s="101"/>
      <c r="U56" s="101"/>
      <c r="V56" s="101"/>
      <c r="W56" s="101"/>
      <c r="X56" s="101"/>
      <c r="Y56" s="101"/>
      <c r="Z56" s="101"/>
      <c r="AA56" s="101"/>
      <c r="AB56" s="101"/>
      <c r="AC56" s="101"/>
      <c r="AD56" s="101"/>
      <c r="AE56" s="101"/>
      <c r="AF56" s="101"/>
      <c r="AG56" s="101"/>
      <c r="AH56" s="392"/>
      <c r="AI56" s="391"/>
      <c r="AJ56" s="101"/>
      <c r="AK56" s="101"/>
      <c r="AL56" s="101"/>
      <c r="AM56" s="101"/>
      <c r="AN56" s="101"/>
      <c r="AO56" s="101"/>
      <c r="AP56" s="101"/>
      <c r="AQ56" s="101"/>
      <c r="AR56" s="101"/>
      <c r="AS56" s="101"/>
      <c r="AT56" s="101"/>
      <c r="AU56" s="101"/>
      <c r="AV56" s="101"/>
      <c r="AW56" s="101"/>
      <c r="AX56" s="101"/>
      <c r="AY56" s="392"/>
    </row>
    <row r="57" spans="1:51">
      <c r="A57" s="391"/>
      <c r="B57" s="101"/>
      <c r="C57" s="101"/>
      <c r="D57" s="101"/>
      <c r="E57" s="101"/>
      <c r="F57" s="101"/>
      <c r="G57" s="101"/>
      <c r="H57" s="101"/>
      <c r="I57" s="101"/>
      <c r="J57" s="101"/>
      <c r="K57" s="101"/>
      <c r="L57" s="101"/>
      <c r="M57" s="101"/>
      <c r="N57" s="101"/>
      <c r="O57" s="101"/>
      <c r="P57" s="101"/>
      <c r="Q57" s="392"/>
      <c r="R57" s="391"/>
      <c r="S57" s="101"/>
      <c r="T57" s="101"/>
      <c r="U57" s="101"/>
      <c r="V57" s="101"/>
      <c r="W57" s="101"/>
      <c r="X57" s="101"/>
      <c r="Y57" s="101"/>
      <c r="Z57" s="101"/>
      <c r="AA57" s="101"/>
      <c r="AB57" s="101"/>
      <c r="AC57" s="101"/>
      <c r="AD57" s="101"/>
      <c r="AE57" s="101"/>
      <c r="AF57" s="101"/>
      <c r="AG57" s="101"/>
      <c r="AH57" s="392"/>
      <c r="AI57" s="391"/>
      <c r="AJ57" s="101"/>
      <c r="AK57" s="101"/>
      <c r="AL57" s="101"/>
      <c r="AM57" s="101"/>
      <c r="AN57" s="101"/>
      <c r="AO57" s="101"/>
      <c r="AP57" s="101"/>
      <c r="AQ57" s="101"/>
      <c r="AR57" s="101"/>
      <c r="AS57" s="101"/>
      <c r="AT57" s="101"/>
      <c r="AU57" s="101"/>
      <c r="AV57" s="101"/>
      <c r="AW57" s="101"/>
      <c r="AX57" s="101"/>
      <c r="AY57" s="392"/>
    </row>
    <row r="58" spans="1:51">
      <c r="A58" s="393"/>
      <c r="B58" s="394"/>
      <c r="C58" s="394"/>
      <c r="D58" s="394"/>
      <c r="E58" s="394"/>
      <c r="F58" s="394"/>
      <c r="G58" s="394"/>
      <c r="H58" s="394"/>
      <c r="I58" s="394"/>
      <c r="J58" s="394"/>
      <c r="K58" s="394"/>
      <c r="L58" s="394"/>
      <c r="M58" s="394"/>
      <c r="N58" s="394"/>
      <c r="O58" s="394"/>
      <c r="P58" s="394"/>
      <c r="Q58" s="395"/>
      <c r="R58" s="393"/>
      <c r="S58" s="394"/>
      <c r="T58" s="394"/>
      <c r="U58" s="394"/>
      <c r="V58" s="394"/>
      <c r="W58" s="394"/>
      <c r="X58" s="394"/>
      <c r="Y58" s="394"/>
      <c r="Z58" s="394"/>
      <c r="AA58" s="394"/>
      <c r="AB58" s="394"/>
      <c r="AC58" s="394"/>
      <c r="AD58" s="394"/>
      <c r="AE58" s="394"/>
      <c r="AF58" s="394"/>
      <c r="AG58" s="394"/>
      <c r="AH58" s="395"/>
      <c r="AI58" s="393"/>
      <c r="AJ58" s="394"/>
      <c r="AK58" s="394"/>
      <c r="AL58" s="394"/>
      <c r="AM58" s="394"/>
      <c r="AN58" s="394"/>
      <c r="AO58" s="394"/>
      <c r="AP58" s="394"/>
      <c r="AQ58" s="394"/>
      <c r="AR58" s="394"/>
      <c r="AS58" s="394"/>
      <c r="AT58" s="394"/>
      <c r="AU58" s="394"/>
      <c r="AV58" s="394"/>
      <c r="AW58" s="394"/>
      <c r="AX58" s="394"/>
      <c r="AY58" s="395"/>
    </row>
    <row r="59" spans="1:51" ht="12.75" customHeight="1">
      <c r="A59" s="824" t="s">
        <v>258</v>
      </c>
      <c r="B59" s="825"/>
      <c r="C59" s="825"/>
      <c r="D59" s="825"/>
      <c r="E59" s="825"/>
      <c r="F59" s="825"/>
      <c r="G59" s="826"/>
      <c r="H59" s="834"/>
      <c r="I59" s="835"/>
      <c r="J59" s="827" t="str">
        <f>IF(H59&lt;&gt;"No","--&gt; Must follow T10 completely in any case.",IF(H60&lt;&gt;"No","--&gt; Must follow T10 with exception of T10.1.2.","--&gt; Do not have to follow T10."))</f>
        <v>--&gt; Must follow T10 completely in any case.</v>
      </c>
      <c r="K59" s="827"/>
      <c r="L59" s="827"/>
      <c r="M59" s="827"/>
      <c r="N59" s="827"/>
      <c r="O59" s="827"/>
      <c r="P59" s="827"/>
      <c r="Q59" s="828"/>
      <c r="R59" s="824" t="s">
        <v>258</v>
      </c>
      <c r="S59" s="825"/>
      <c r="T59" s="825"/>
      <c r="U59" s="825"/>
      <c r="V59" s="825"/>
      <c r="W59" s="825"/>
      <c r="X59" s="826"/>
      <c r="Y59" s="815"/>
      <c r="Z59" s="807"/>
      <c r="AA59" s="827" t="str">
        <f>IF(Y59&lt;&gt;"No","--&gt; Must follow T10 completely in any case.",IF(Y60&lt;&gt;"No","--&gt; Must follow T10 with exception of T10.1.2.","--&gt; Do not have to follow T10."))</f>
        <v>--&gt; Must follow T10 completely in any case.</v>
      </c>
      <c r="AB59" s="827"/>
      <c r="AC59" s="827"/>
      <c r="AD59" s="827"/>
      <c r="AE59" s="827"/>
      <c r="AF59" s="827"/>
      <c r="AG59" s="827"/>
      <c r="AH59" s="828"/>
      <c r="AI59" s="824" t="s">
        <v>258</v>
      </c>
      <c r="AJ59" s="825"/>
      <c r="AK59" s="825"/>
      <c r="AL59" s="825"/>
      <c r="AM59" s="825"/>
      <c r="AN59" s="825"/>
      <c r="AO59" s="826"/>
      <c r="AP59" s="815"/>
      <c r="AQ59" s="807"/>
      <c r="AR59" s="827" t="str">
        <f>IF(AP59&lt;&gt;"No","--&gt; Must follow T10 completely in any case.",IF(AP60&lt;&gt;"No","--&gt; Must follow T10 with exception of T10.1.2.","--&gt; Do not have to follow T10."))</f>
        <v>--&gt; Must follow T10 completely in any case.</v>
      </c>
      <c r="AS59" s="827"/>
      <c r="AT59" s="827"/>
      <c r="AU59" s="827"/>
      <c r="AV59" s="827"/>
      <c r="AW59" s="827"/>
      <c r="AX59" s="827"/>
      <c r="AY59" s="828"/>
    </row>
    <row r="60" spans="1:51">
      <c r="A60" s="831" t="s">
        <v>430</v>
      </c>
      <c r="B60" s="832"/>
      <c r="C60" s="832"/>
      <c r="D60" s="832"/>
      <c r="E60" s="832"/>
      <c r="F60" s="832"/>
      <c r="G60" s="833"/>
      <c r="H60" s="815"/>
      <c r="I60" s="807"/>
      <c r="J60" s="829"/>
      <c r="K60" s="829"/>
      <c r="L60" s="829"/>
      <c r="M60" s="829"/>
      <c r="N60" s="829"/>
      <c r="O60" s="829"/>
      <c r="P60" s="829"/>
      <c r="Q60" s="830"/>
      <c r="R60" s="831" t="s">
        <v>430</v>
      </c>
      <c r="S60" s="832"/>
      <c r="T60" s="832"/>
      <c r="U60" s="832"/>
      <c r="V60" s="832"/>
      <c r="W60" s="832"/>
      <c r="X60" s="833"/>
      <c r="Y60" s="815"/>
      <c r="Z60" s="807"/>
      <c r="AA60" s="829"/>
      <c r="AB60" s="829"/>
      <c r="AC60" s="829"/>
      <c r="AD60" s="829"/>
      <c r="AE60" s="829"/>
      <c r="AF60" s="829"/>
      <c r="AG60" s="829"/>
      <c r="AH60" s="830"/>
      <c r="AI60" s="831" t="s">
        <v>430</v>
      </c>
      <c r="AJ60" s="832"/>
      <c r="AK60" s="832"/>
      <c r="AL60" s="832"/>
      <c r="AM60" s="832"/>
      <c r="AN60" s="832"/>
      <c r="AO60" s="833"/>
      <c r="AP60" s="815"/>
      <c r="AQ60" s="807"/>
      <c r="AR60" s="829"/>
      <c r="AS60" s="829"/>
      <c r="AT60" s="829"/>
      <c r="AU60" s="829"/>
      <c r="AV60" s="829"/>
      <c r="AW60" s="829"/>
      <c r="AX60" s="829"/>
      <c r="AY60" s="830"/>
    </row>
    <row r="61" spans="1:51">
      <c r="A61" s="462" t="s">
        <v>259</v>
      </c>
      <c r="B61" s="465"/>
      <c r="C61" s="465"/>
      <c r="D61" s="465"/>
      <c r="E61" s="465"/>
      <c r="F61" s="465"/>
      <c r="G61" s="823"/>
      <c r="H61" s="821"/>
      <c r="I61" s="821"/>
      <c r="J61" s="821"/>
      <c r="K61" s="821"/>
      <c r="L61" s="821"/>
      <c r="M61" s="821"/>
      <c r="N61" s="821"/>
      <c r="O61" s="821"/>
      <c r="P61" s="821"/>
      <c r="Q61" s="822"/>
      <c r="R61" s="462" t="s">
        <v>259</v>
      </c>
      <c r="S61" s="465"/>
      <c r="T61" s="465"/>
      <c r="U61" s="465"/>
      <c r="V61" s="465"/>
      <c r="W61" s="465"/>
      <c r="X61" s="823"/>
      <c r="Y61" s="821"/>
      <c r="Z61" s="821"/>
      <c r="AA61" s="821"/>
      <c r="AB61" s="821"/>
      <c r="AC61" s="821"/>
      <c r="AD61" s="821"/>
      <c r="AE61" s="821"/>
      <c r="AF61" s="821"/>
      <c r="AG61" s="821"/>
      <c r="AH61" s="822"/>
      <c r="AI61" s="462" t="s">
        <v>259</v>
      </c>
      <c r="AJ61" s="465"/>
      <c r="AK61" s="465"/>
      <c r="AL61" s="465"/>
      <c r="AM61" s="465"/>
      <c r="AN61" s="465"/>
      <c r="AO61" s="823"/>
      <c r="AP61" s="821"/>
      <c r="AQ61" s="821"/>
      <c r="AR61" s="821"/>
      <c r="AS61" s="821"/>
      <c r="AT61" s="821"/>
      <c r="AU61" s="821"/>
      <c r="AV61" s="821"/>
      <c r="AW61" s="821"/>
      <c r="AX61" s="821"/>
      <c r="AY61" s="822"/>
    </row>
    <row r="62" spans="1:51">
      <c r="A62" s="388" t="s">
        <v>260</v>
      </c>
      <c r="B62" s="389"/>
      <c r="C62" s="389"/>
      <c r="D62" s="389"/>
      <c r="E62" s="389"/>
      <c r="F62" s="389"/>
      <c r="G62" s="389"/>
      <c r="H62" s="389"/>
      <c r="I62" s="389"/>
      <c r="J62" s="389"/>
      <c r="K62" s="389"/>
      <c r="L62" s="389"/>
      <c r="M62" s="389"/>
      <c r="N62" s="389"/>
      <c r="O62" s="389"/>
      <c r="P62" s="389"/>
      <c r="Q62" s="390"/>
      <c r="R62" s="388" t="s">
        <v>260</v>
      </c>
      <c r="S62" s="389"/>
      <c r="T62" s="389"/>
      <c r="U62" s="389"/>
      <c r="V62" s="389"/>
      <c r="W62" s="389"/>
      <c r="X62" s="389"/>
      <c r="Y62" s="389"/>
      <c r="Z62" s="389"/>
      <c r="AA62" s="389"/>
      <c r="AB62" s="389"/>
      <c r="AC62" s="389"/>
      <c r="AD62" s="389"/>
      <c r="AE62" s="389"/>
      <c r="AF62" s="389"/>
      <c r="AG62" s="389"/>
      <c r="AH62" s="390"/>
      <c r="AI62" s="388" t="s">
        <v>260</v>
      </c>
      <c r="AJ62" s="389"/>
      <c r="AK62" s="389"/>
      <c r="AL62" s="389"/>
      <c r="AM62" s="389"/>
      <c r="AN62" s="389"/>
      <c r="AO62" s="389"/>
      <c r="AP62" s="389"/>
      <c r="AQ62" s="389"/>
      <c r="AR62" s="389"/>
      <c r="AS62" s="389"/>
      <c r="AT62" s="389"/>
      <c r="AU62" s="389"/>
      <c r="AV62" s="389"/>
      <c r="AW62" s="389"/>
      <c r="AX62" s="389"/>
      <c r="AY62" s="390"/>
    </row>
    <row r="63" spans="1:51">
      <c r="A63" s="391"/>
      <c r="B63" s="101"/>
      <c r="C63" s="101"/>
      <c r="D63" s="101"/>
      <c r="E63" s="101"/>
      <c r="F63" s="101"/>
      <c r="G63" s="101"/>
      <c r="H63" s="101"/>
      <c r="I63" s="101"/>
      <c r="J63" s="101"/>
      <c r="K63" s="101"/>
      <c r="L63" s="101"/>
      <c r="M63" s="101"/>
      <c r="N63" s="101"/>
      <c r="O63" s="101"/>
      <c r="P63" s="101"/>
      <c r="Q63" s="392"/>
      <c r="R63" s="391"/>
      <c r="S63" s="101"/>
      <c r="T63" s="101"/>
      <c r="U63" s="101"/>
      <c r="V63" s="101"/>
      <c r="W63" s="101"/>
      <c r="X63" s="101"/>
      <c r="Y63" s="101"/>
      <c r="Z63" s="101"/>
      <c r="AA63" s="101"/>
      <c r="AB63" s="101"/>
      <c r="AC63" s="101"/>
      <c r="AD63" s="101"/>
      <c r="AE63" s="101"/>
      <c r="AF63" s="101"/>
      <c r="AG63" s="101"/>
      <c r="AH63" s="392"/>
      <c r="AI63" s="391"/>
      <c r="AJ63" s="101"/>
      <c r="AK63" s="101"/>
      <c r="AL63" s="101"/>
      <c r="AM63" s="101"/>
      <c r="AN63" s="101"/>
      <c r="AO63" s="101"/>
      <c r="AP63" s="101"/>
      <c r="AQ63" s="101"/>
      <c r="AR63" s="101"/>
      <c r="AS63" s="101"/>
      <c r="AT63" s="101"/>
      <c r="AU63" s="101"/>
      <c r="AV63" s="101"/>
      <c r="AW63" s="101"/>
      <c r="AX63" s="101"/>
      <c r="AY63" s="392"/>
    </row>
    <row r="64" spans="1:51">
      <c r="A64" s="391"/>
      <c r="B64" s="101"/>
      <c r="C64" s="101"/>
      <c r="D64" s="101"/>
      <c r="E64" s="101"/>
      <c r="F64" s="101"/>
      <c r="G64" s="101"/>
      <c r="H64" s="101"/>
      <c r="I64" s="101"/>
      <c r="J64" s="101"/>
      <c r="K64" s="101"/>
      <c r="L64" s="101"/>
      <c r="M64" s="101"/>
      <c r="N64" s="101"/>
      <c r="O64" s="101"/>
      <c r="P64" s="101"/>
      <c r="Q64" s="392"/>
      <c r="R64" s="391"/>
      <c r="S64" s="101"/>
      <c r="T64" s="101"/>
      <c r="U64" s="101"/>
      <c r="V64" s="101"/>
      <c r="W64" s="101"/>
      <c r="X64" s="101"/>
      <c r="Y64" s="101"/>
      <c r="Z64" s="101"/>
      <c r="AA64" s="101"/>
      <c r="AB64" s="101"/>
      <c r="AC64" s="101"/>
      <c r="AD64" s="101"/>
      <c r="AE64" s="101"/>
      <c r="AF64" s="101"/>
      <c r="AG64" s="101"/>
      <c r="AH64" s="392"/>
      <c r="AI64" s="391"/>
      <c r="AJ64" s="101"/>
      <c r="AK64" s="101"/>
      <c r="AL64" s="101"/>
      <c r="AM64" s="101"/>
      <c r="AN64" s="101"/>
      <c r="AO64" s="101"/>
      <c r="AP64" s="101"/>
      <c r="AQ64" s="101"/>
      <c r="AR64" s="101"/>
      <c r="AS64" s="101"/>
      <c r="AT64" s="101"/>
      <c r="AU64" s="101"/>
      <c r="AV64" s="101"/>
      <c r="AW64" s="101"/>
      <c r="AX64" s="101"/>
      <c r="AY64" s="392"/>
    </row>
    <row r="65" spans="1:51">
      <c r="A65" s="391"/>
      <c r="B65" s="101"/>
      <c r="C65" s="101"/>
      <c r="D65" s="101"/>
      <c r="E65" s="101"/>
      <c r="F65" s="101"/>
      <c r="G65" s="101"/>
      <c r="H65" s="101"/>
      <c r="I65" s="101"/>
      <c r="J65" s="101"/>
      <c r="K65" s="101"/>
      <c r="L65" s="101"/>
      <c r="M65" s="101"/>
      <c r="N65" s="101"/>
      <c r="O65" s="101"/>
      <c r="P65" s="101"/>
      <c r="Q65" s="392"/>
      <c r="R65" s="391"/>
      <c r="S65" s="101"/>
      <c r="T65" s="101"/>
      <c r="U65" s="101"/>
      <c r="V65" s="101"/>
      <c r="W65" s="101"/>
      <c r="X65" s="101"/>
      <c r="Y65" s="101"/>
      <c r="Z65" s="101"/>
      <c r="AA65" s="101"/>
      <c r="AB65" s="101"/>
      <c r="AC65" s="101"/>
      <c r="AD65" s="101"/>
      <c r="AE65" s="101"/>
      <c r="AF65" s="101"/>
      <c r="AG65" s="101"/>
      <c r="AH65" s="392"/>
      <c r="AI65" s="391"/>
      <c r="AJ65" s="101"/>
      <c r="AK65" s="101"/>
      <c r="AL65" s="101"/>
      <c r="AM65" s="101"/>
      <c r="AN65" s="101"/>
      <c r="AO65" s="101"/>
      <c r="AP65" s="101"/>
      <c r="AQ65" s="101"/>
      <c r="AR65" s="101"/>
      <c r="AS65" s="101"/>
      <c r="AT65" s="101"/>
      <c r="AU65" s="101"/>
      <c r="AV65" s="101"/>
      <c r="AW65" s="101"/>
      <c r="AX65" s="101"/>
      <c r="AY65" s="392"/>
    </row>
    <row r="66" spans="1:51">
      <c r="A66" s="391"/>
      <c r="B66" s="101"/>
      <c r="C66" s="101"/>
      <c r="D66" s="101"/>
      <c r="E66" s="101"/>
      <c r="F66" s="101"/>
      <c r="G66" s="101"/>
      <c r="H66" s="101"/>
      <c r="I66" s="101"/>
      <c r="J66" s="101"/>
      <c r="K66" s="101"/>
      <c r="L66" s="101"/>
      <c r="M66" s="101"/>
      <c r="N66" s="101"/>
      <c r="O66" s="101"/>
      <c r="P66" s="101"/>
      <c r="Q66" s="392"/>
      <c r="R66" s="391"/>
      <c r="S66" s="101"/>
      <c r="T66" s="101"/>
      <c r="U66" s="101"/>
      <c r="V66" s="101"/>
      <c r="W66" s="101"/>
      <c r="X66" s="101"/>
      <c r="Y66" s="101"/>
      <c r="Z66" s="101"/>
      <c r="AA66" s="101"/>
      <c r="AB66" s="101"/>
      <c r="AC66" s="101"/>
      <c r="AD66" s="101"/>
      <c r="AE66" s="101"/>
      <c r="AF66" s="101"/>
      <c r="AG66" s="101"/>
      <c r="AH66" s="392"/>
      <c r="AI66" s="391"/>
      <c r="AJ66" s="101"/>
      <c r="AK66" s="101"/>
      <c r="AL66" s="101"/>
      <c r="AM66" s="101"/>
      <c r="AN66" s="101"/>
      <c r="AO66" s="101"/>
      <c r="AP66" s="101"/>
      <c r="AQ66" s="101"/>
      <c r="AR66" s="101"/>
      <c r="AS66" s="101"/>
      <c r="AT66" s="101"/>
      <c r="AU66" s="101"/>
      <c r="AV66" s="101"/>
      <c r="AW66" s="101"/>
      <c r="AX66" s="101"/>
      <c r="AY66" s="392"/>
    </row>
    <row r="67" spans="1:51">
      <c r="A67" s="391"/>
      <c r="B67" s="101"/>
      <c r="C67" s="101"/>
      <c r="D67" s="101"/>
      <c r="E67" s="101"/>
      <c r="F67" s="101"/>
      <c r="G67" s="101"/>
      <c r="H67" s="101"/>
      <c r="I67" s="101"/>
      <c r="J67" s="101"/>
      <c r="K67" s="101"/>
      <c r="L67" s="101"/>
      <c r="M67" s="101"/>
      <c r="N67" s="101"/>
      <c r="O67" s="101"/>
      <c r="P67" s="101"/>
      <c r="Q67" s="392"/>
      <c r="R67" s="391"/>
      <c r="S67" s="101"/>
      <c r="T67" s="101"/>
      <c r="U67" s="101"/>
      <c r="V67" s="101"/>
      <c r="W67" s="101"/>
      <c r="X67" s="101"/>
      <c r="Y67" s="101"/>
      <c r="Z67" s="101"/>
      <c r="AA67" s="101"/>
      <c r="AB67" s="101"/>
      <c r="AC67" s="101"/>
      <c r="AD67" s="101"/>
      <c r="AE67" s="101"/>
      <c r="AF67" s="101"/>
      <c r="AG67" s="101"/>
      <c r="AH67" s="392"/>
      <c r="AI67" s="391"/>
      <c r="AJ67" s="101"/>
      <c r="AK67" s="101"/>
      <c r="AL67" s="101"/>
      <c r="AM67" s="101"/>
      <c r="AN67" s="101"/>
      <c r="AO67" s="101"/>
      <c r="AP67" s="101"/>
      <c r="AQ67" s="101"/>
      <c r="AR67" s="101"/>
      <c r="AS67" s="101"/>
      <c r="AT67" s="101"/>
      <c r="AU67" s="101"/>
      <c r="AV67" s="101"/>
      <c r="AW67" s="101"/>
      <c r="AX67" s="101"/>
      <c r="AY67" s="392"/>
    </row>
    <row r="68" spans="1:51">
      <c r="A68" s="391"/>
      <c r="B68" s="101"/>
      <c r="C68" s="101"/>
      <c r="D68" s="101"/>
      <c r="E68" s="101"/>
      <c r="F68" s="101"/>
      <c r="G68" s="101"/>
      <c r="H68" s="101"/>
      <c r="I68" s="101"/>
      <c r="J68" s="101"/>
      <c r="K68" s="101"/>
      <c r="L68" s="101"/>
      <c r="M68" s="101"/>
      <c r="N68" s="101"/>
      <c r="O68" s="101"/>
      <c r="P68" s="101"/>
      <c r="Q68" s="392"/>
      <c r="R68" s="391"/>
      <c r="S68" s="101"/>
      <c r="T68" s="101"/>
      <c r="U68" s="101"/>
      <c r="V68" s="101"/>
      <c r="W68" s="101"/>
      <c r="X68" s="101"/>
      <c r="Y68" s="101"/>
      <c r="Z68" s="101"/>
      <c r="AA68" s="101"/>
      <c r="AB68" s="101"/>
      <c r="AC68" s="101"/>
      <c r="AD68" s="101"/>
      <c r="AE68" s="101"/>
      <c r="AF68" s="101"/>
      <c r="AG68" s="101"/>
      <c r="AH68" s="392"/>
      <c r="AI68" s="391"/>
      <c r="AJ68" s="101"/>
      <c r="AK68" s="101"/>
      <c r="AL68" s="101"/>
      <c r="AM68" s="101"/>
      <c r="AN68" s="101"/>
      <c r="AO68" s="101"/>
      <c r="AP68" s="101"/>
      <c r="AQ68" s="101"/>
      <c r="AR68" s="101"/>
      <c r="AS68" s="101"/>
      <c r="AT68" s="101"/>
      <c r="AU68" s="101"/>
      <c r="AV68" s="101"/>
      <c r="AW68" s="101"/>
      <c r="AX68" s="101"/>
      <c r="AY68" s="392"/>
    </row>
    <row r="69" spans="1:51">
      <c r="A69" s="391"/>
      <c r="B69" s="101"/>
      <c r="C69" s="101"/>
      <c r="D69" s="101"/>
      <c r="E69" s="101"/>
      <c r="F69" s="101"/>
      <c r="G69" s="101"/>
      <c r="H69" s="101"/>
      <c r="I69" s="101"/>
      <c r="J69" s="101"/>
      <c r="K69" s="101"/>
      <c r="L69" s="101"/>
      <c r="M69" s="101"/>
      <c r="N69" s="101"/>
      <c r="O69" s="101"/>
      <c r="P69" s="101"/>
      <c r="Q69" s="392"/>
      <c r="R69" s="391"/>
      <c r="S69" s="101"/>
      <c r="T69" s="101"/>
      <c r="U69" s="101"/>
      <c r="V69" s="101"/>
      <c r="W69" s="101"/>
      <c r="X69" s="101"/>
      <c r="Y69" s="101"/>
      <c r="Z69" s="101"/>
      <c r="AA69" s="101"/>
      <c r="AB69" s="101"/>
      <c r="AC69" s="101"/>
      <c r="AD69" s="101"/>
      <c r="AE69" s="101"/>
      <c r="AF69" s="101"/>
      <c r="AG69" s="101"/>
      <c r="AH69" s="392"/>
      <c r="AI69" s="391"/>
      <c r="AJ69" s="101"/>
      <c r="AK69" s="101"/>
      <c r="AL69" s="101"/>
      <c r="AM69" s="101"/>
      <c r="AN69" s="101"/>
      <c r="AO69" s="101"/>
      <c r="AP69" s="101"/>
      <c r="AQ69" s="101"/>
      <c r="AR69" s="101"/>
      <c r="AS69" s="101"/>
      <c r="AT69" s="101"/>
      <c r="AU69" s="101"/>
      <c r="AV69" s="101"/>
      <c r="AW69" s="101"/>
      <c r="AX69" s="101"/>
      <c r="AY69" s="392"/>
    </row>
    <row r="70" spans="1:51">
      <c r="A70" s="391"/>
      <c r="B70" s="101"/>
      <c r="C70" s="101"/>
      <c r="D70" s="101"/>
      <c r="E70" s="101"/>
      <c r="F70" s="101"/>
      <c r="G70" s="101"/>
      <c r="H70" s="101"/>
      <c r="I70" s="101"/>
      <c r="J70" s="101"/>
      <c r="K70" s="101"/>
      <c r="L70" s="101"/>
      <c r="M70" s="101"/>
      <c r="N70" s="101"/>
      <c r="O70" s="101"/>
      <c r="P70" s="101"/>
      <c r="Q70" s="392"/>
      <c r="R70" s="391"/>
      <c r="S70" s="101"/>
      <c r="T70" s="101"/>
      <c r="U70" s="101"/>
      <c r="V70" s="101"/>
      <c r="W70" s="101"/>
      <c r="X70" s="101"/>
      <c r="Y70" s="101"/>
      <c r="Z70" s="101"/>
      <c r="AA70" s="101"/>
      <c r="AB70" s="101"/>
      <c r="AC70" s="101"/>
      <c r="AD70" s="101"/>
      <c r="AE70" s="101"/>
      <c r="AF70" s="101"/>
      <c r="AG70" s="101"/>
      <c r="AH70" s="392"/>
      <c r="AI70" s="391"/>
      <c r="AJ70" s="101"/>
      <c r="AK70" s="101"/>
      <c r="AL70" s="101"/>
      <c r="AM70" s="101"/>
      <c r="AN70" s="101"/>
      <c r="AO70" s="101"/>
      <c r="AP70" s="101"/>
      <c r="AQ70" s="101"/>
      <c r="AR70" s="101"/>
      <c r="AS70" s="101"/>
      <c r="AT70" s="101"/>
      <c r="AU70" s="101"/>
      <c r="AV70" s="101"/>
      <c r="AW70" s="101"/>
      <c r="AX70" s="101"/>
      <c r="AY70" s="392"/>
    </row>
    <row r="71" spans="1:51">
      <c r="A71" s="391"/>
      <c r="B71" s="101"/>
      <c r="C71" s="101"/>
      <c r="D71" s="101"/>
      <c r="E71" s="101"/>
      <c r="F71" s="101"/>
      <c r="G71" s="101"/>
      <c r="H71" s="101"/>
      <c r="I71" s="101"/>
      <c r="J71" s="101"/>
      <c r="K71" s="101"/>
      <c r="L71" s="101"/>
      <c r="M71" s="101"/>
      <c r="N71" s="101"/>
      <c r="O71" s="101"/>
      <c r="P71" s="101"/>
      <c r="Q71" s="392"/>
      <c r="R71" s="391"/>
      <c r="S71" s="101"/>
      <c r="T71" s="101"/>
      <c r="U71" s="101"/>
      <c r="V71" s="101"/>
      <c r="W71" s="101"/>
      <c r="X71" s="101"/>
      <c r="Y71" s="101"/>
      <c r="Z71" s="101"/>
      <c r="AA71" s="101"/>
      <c r="AB71" s="101"/>
      <c r="AC71" s="101"/>
      <c r="AD71" s="101"/>
      <c r="AE71" s="101"/>
      <c r="AF71" s="101"/>
      <c r="AG71" s="101"/>
      <c r="AH71" s="392"/>
      <c r="AI71" s="391"/>
      <c r="AJ71" s="101"/>
      <c r="AK71" s="101"/>
      <c r="AL71" s="101"/>
      <c r="AM71" s="101"/>
      <c r="AN71" s="101"/>
      <c r="AO71" s="101"/>
      <c r="AP71" s="101"/>
      <c r="AQ71" s="101"/>
      <c r="AR71" s="101"/>
      <c r="AS71" s="101"/>
      <c r="AT71" s="101"/>
      <c r="AU71" s="101"/>
      <c r="AV71" s="101"/>
      <c r="AW71" s="101"/>
      <c r="AX71" s="101"/>
      <c r="AY71" s="392"/>
    </row>
    <row r="72" spans="1:51">
      <c r="A72" s="391"/>
      <c r="B72" s="101"/>
      <c r="C72" s="101"/>
      <c r="D72" s="101"/>
      <c r="E72" s="101"/>
      <c r="F72" s="101"/>
      <c r="G72" s="101"/>
      <c r="H72" s="101"/>
      <c r="I72" s="101"/>
      <c r="J72" s="101"/>
      <c r="K72" s="101"/>
      <c r="L72" s="101"/>
      <c r="M72" s="101"/>
      <c r="N72" s="101"/>
      <c r="O72" s="101"/>
      <c r="P72" s="101"/>
      <c r="Q72" s="392"/>
      <c r="R72" s="391"/>
      <c r="S72" s="101"/>
      <c r="T72" s="101"/>
      <c r="U72" s="101"/>
      <c r="V72" s="101"/>
      <c r="W72" s="101"/>
      <c r="X72" s="101"/>
      <c r="Y72" s="101"/>
      <c r="Z72" s="101"/>
      <c r="AA72" s="101"/>
      <c r="AB72" s="101"/>
      <c r="AC72" s="101"/>
      <c r="AD72" s="101"/>
      <c r="AE72" s="101"/>
      <c r="AF72" s="101"/>
      <c r="AG72" s="101"/>
      <c r="AH72" s="392"/>
      <c r="AI72" s="391"/>
      <c r="AJ72" s="101"/>
      <c r="AK72" s="101"/>
      <c r="AL72" s="101"/>
      <c r="AM72" s="101"/>
      <c r="AN72" s="101"/>
      <c r="AO72" s="101"/>
      <c r="AP72" s="101"/>
      <c r="AQ72" s="101"/>
      <c r="AR72" s="101"/>
      <c r="AS72" s="101"/>
      <c r="AT72" s="101"/>
      <c r="AU72" s="101"/>
      <c r="AV72" s="101"/>
      <c r="AW72" s="101"/>
      <c r="AX72" s="101"/>
      <c r="AY72" s="392"/>
    </row>
    <row r="73" spans="1:51">
      <c r="A73" s="391"/>
      <c r="B73" s="101"/>
      <c r="C73" s="101"/>
      <c r="D73" s="101"/>
      <c r="E73" s="101"/>
      <c r="F73" s="101"/>
      <c r="G73" s="101"/>
      <c r="H73" s="101"/>
      <c r="I73" s="101"/>
      <c r="J73" s="101"/>
      <c r="K73" s="101"/>
      <c r="L73" s="101"/>
      <c r="M73" s="101"/>
      <c r="N73" s="101"/>
      <c r="O73" s="101"/>
      <c r="P73" s="101"/>
      <c r="Q73" s="392"/>
      <c r="R73" s="391"/>
      <c r="S73" s="101"/>
      <c r="T73" s="101"/>
      <c r="U73" s="101"/>
      <c r="V73" s="101"/>
      <c r="W73" s="101"/>
      <c r="X73" s="101"/>
      <c r="Y73" s="101"/>
      <c r="Z73" s="101"/>
      <c r="AA73" s="101"/>
      <c r="AB73" s="101"/>
      <c r="AC73" s="101"/>
      <c r="AD73" s="101"/>
      <c r="AE73" s="101"/>
      <c r="AF73" s="101"/>
      <c r="AG73" s="101"/>
      <c r="AH73" s="392"/>
      <c r="AI73" s="391"/>
      <c r="AJ73" s="101"/>
      <c r="AK73" s="101"/>
      <c r="AL73" s="101"/>
      <c r="AM73" s="101"/>
      <c r="AN73" s="101"/>
      <c r="AO73" s="101"/>
      <c r="AP73" s="101"/>
      <c r="AQ73" s="101"/>
      <c r="AR73" s="101"/>
      <c r="AS73" s="101"/>
      <c r="AT73" s="101"/>
      <c r="AU73" s="101"/>
      <c r="AV73" s="101"/>
      <c r="AW73" s="101"/>
      <c r="AX73" s="101"/>
      <c r="AY73" s="392"/>
    </row>
    <row r="74" spans="1:51">
      <c r="A74" s="391"/>
      <c r="B74" s="101"/>
      <c r="C74" s="101"/>
      <c r="D74" s="101"/>
      <c r="E74" s="101"/>
      <c r="F74" s="101"/>
      <c r="G74" s="101"/>
      <c r="H74" s="101"/>
      <c r="I74" s="101"/>
      <c r="J74" s="101"/>
      <c r="K74" s="101"/>
      <c r="L74" s="101"/>
      <c r="M74" s="101"/>
      <c r="N74" s="101"/>
      <c r="O74" s="101"/>
      <c r="P74" s="101"/>
      <c r="Q74" s="392"/>
      <c r="R74" s="391"/>
      <c r="S74" s="101"/>
      <c r="T74" s="101"/>
      <c r="U74" s="101"/>
      <c r="V74" s="101"/>
      <c r="W74" s="101"/>
      <c r="X74" s="101"/>
      <c r="Y74" s="101"/>
      <c r="Z74" s="101"/>
      <c r="AA74" s="101"/>
      <c r="AB74" s="101"/>
      <c r="AC74" s="101"/>
      <c r="AD74" s="101"/>
      <c r="AE74" s="101"/>
      <c r="AF74" s="101"/>
      <c r="AG74" s="101"/>
      <c r="AH74" s="392"/>
      <c r="AI74" s="391"/>
      <c r="AJ74" s="101"/>
      <c r="AK74" s="101"/>
      <c r="AL74" s="101"/>
      <c r="AM74" s="101"/>
      <c r="AN74" s="101"/>
      <c r="AO74" s="101"/>
      <c r="AP74" s="101"/>
      <c r="AQ74" s="101"/>
      <c r="AR74" s="101"/>
      <c r="AS74" s="101"/>
      <c r="AT74" s="101"/>
      <c r="AU74" s="101"/>
      <c r="AV74" s="101"/>
      <c r="AW74" s="101"/>
      <c r="AX74" s="101"/>
      <c r="AY74" s="392"/>
    </row>
    <row r="75" spans="1:51">
      <c r="A75" s="391"/>
      <c r="B75" s="101"/>
      <c r="C75" s="101"/>
      <c r="D75" s="101"/>
      <c r="E75" s="101"/>
      <c r="F75" s="101"/>
      <c r="G75" s="101"/>
      <c r="H75" s="101"/>
      <c r="I75" s="101"/>
      <c r="J75" s="101"/>
      <c r="K75" s="101"/>
      <c r="L75" s="101"/>
      <c r="M75" s="101"/>
      <c r="N75" s="101"/>
      <c r="O75" s="101"/>
      <c r="P75" s="101"/>
      <c r="Q75" s="392"/>
      <c r="R75" s="391"/>
      <c r="S75" s="101"/>
      <c r="T75" s="101"/>
      <c r="U75" s="101"/>
      <c r="V75" s="101"/>
      <c r="W75" s="101"/>
      <c r="X75" s="101"/>
      <c r="Y75" s="101"/>
      <c r="Z75" s="101"/>
      <c r="AA75" s="101"/>
      <c r="AB75" s="101"/>
      <c r="AC75" s="101"/>
      <c r="AD75" s="101"/>
      <c r="AE75" s="101"/>
      <c r="AF75" s="101"/>
      <c r="AG75" s="101"/>
      <c r="AH75" s="392"/>
      <c r="AI75" s="391"/>
      <c r="AJ75" s="101"/>
      <c r="AK75" s="101"/>
      <c r="AL75" s="101"/>
      <c r="AM75" s="101"/>
      <c r="AN75" s="101"/>
      <c r="AO75" s="101"/>
      <c r="AP75" s="101"/>
      <c r="AQ75" s="101"/>
      <c r="AR75" s="101"/>
      <c r="AS75" s="101"/>
      <c r="AT75" s="101"/>
      <c r="AU75" s="101"/>
      <c r="AV75" s="101"/>
      <c r="AW75" s="101"/>
      <c r="AX75" s="101"/>
      <c r="AY75" s="392"/>
    </row>
    <row r="76" spans="1:51">
      <c r="A76" s="391"/>
      <c r="B76" s="101"/>
      <c r="C76" s="101"/>
      <c r="D76" s="101"/>
      <c r="E76" s="101"/>
      <c r="F76" s="101"/>
      <c r="G76" s="101"/>
      <c r="H76" s="101"/>
      <c r="I76" s="101"/>
      <c r="J76" s="101"/>
      <c r="K76" s="101"/>
      <c r="L76" s="101"/>
      <c r="M76" s="101"/>
      <c r="N76" s="101"/>
      <c r="O76" s="101"/>
      <c r="P76" s="101"/>
      <c r="Q76" s="392"/>
      <c r="R76" s="391"/>
      <c r="S76" s="101"/>
      <c r="T76" s="101"/>
      <c r="U76" s="101"/>
      <c r="V76" s="101"/>
      <c r="W76" s="101"/>
      <c r="X76" s="101"/>
      <c r="Y76" s="101"/>
      <c r="Z76" s="101"/>
      <c r="AA76" s="101"/>
      <c r="AB76" s="101"/>
      <c r="AC76" s="101"/>
      <c r="AD76" s="101"/>
      <c r="AE76" s="101"/>
      <c r="AF76" s="101"/>
      <c r="AG76" s="101"/>
      <c r="AH76" s="392"/>
      <c r="AI76" s="391"/>
      <c r="AJ76" s="101"/>
      <c r="AK76" s="101"/>
      <c r="AL76" s="101"/>
      <c r="AM76" s="101"/>
      <c r="AN76" s="101"/>
      <c r="AO76" s="101"/>
      <c r="AP76" s="101"/>
      <c r="AQ76" s="101"/>
      <c r="AR76" s="101"/>
      <c r="AS76" s="101"/>
      <c r="AT76" s="101"/>
      <c r="AU76" s="101"/>
      <c r="AV76" s="101"/>
      <c r="AW76" s="101"/>
      <c r="AX76" s="101"/>
      <c r="AY76" s="392"/>
    </row>
    <row r="77" spans="1:51">
      <c r="A77" s="391"/>
      <c r="B77" s="101"/>
      <c r="C77" s="101"/>
      <c r="D77" s="101"/>
      <c r="E77" s="101"/>
      <c r="F77" s="101"/>
      <c r="G77" s="101"/>
      <c r="H77" s="101"/>
      <c r="I77" s="101"/>
      <c r="J77" s="101"/>
      <c r="K77" s="101"/>
      <c r="L77" s="101"/>
      <c r="M77" s="101"/>
      <c r="N77" s="101"/>
      <c r="O77" s="101"/>
      <c r="P77" s="101"/>
      <c r="Q77" s="392"/>
      <c r="R77" s="391"/>
      <c r="S77" s="101"/>
      <c r="T77" s="101"/>
      <c r="U77" s="101"/>
      <c r="V77" s="101"/>
      <c r="W77" s="101"/>
      <c r="X77" s="101"/>
      <c r="Y77" s="101"/>
      <c r="Z77" s="101"/>
      <c r="AA77" s="101"/>
      <c r="AB77" s="101"/>
      <c r="AC77" s="101"/>
      <c r="AD77" s="101"/>
      <c r="AE77" s="101"/>
      <c r="AF77" s="101"/>
      <c r="AG77" s="101"/>
      <c r="AH77" s="392"/>
      <c r="AI77" s="391"/>
      <c r="AJ77" s="101"/>
      <c r="AK77" s="101"/>
      <c r="AL77" s="101"/>
      <c r="AM77" s="101"/>
      <c r="AN77" s="101"/>
      <c r="AO77" s="101"/>
      <c r="AP77" s="101"/>
      <c r="AQ77" s="101"/>
      <c r="AR77" s="101"/>
      <c r="AS77" s="101"/>
      <c r="AT77" s="101"/>
      <c r="AU77" s="101"/>
      <c r="AV77" s="101"/>
      <c r="AW77" s="101"/>
      <c r="AX77" s="101"/>
      <c r="AY77" s="392"/>
    </row>
    <row r="78" spans="1:51">
      <c r="A78" s="391"/>
      <c r="B78" s="101"/>
      <c r="C78" s="101"/>
      <c r="D78" s="101"/>
      <c r="E78" s="101"/>
      <c r="F78" s="101"/>
      <c r="G78" s="101"/>
      <c r="H78" s="101"/>
      <c r="I78" s="101"/>
      <c r="J78" s="101"/>
      <c r="K78" s="101"/>
      <c r="L78" s="101"/>
      <c r="M78" s="101"/>
      <c r="N78" s="101"/>
      <c r="O78" s="101"/>
      <c r="P78" s="101"/>
      <c r="Q78" s="392"/>
      <c r="R78" s="391"/>
      <c r="S78" s="101"/>
      <c r="T78" s="101"/>
      <c r="U78" s="101"/>
      <c r="V78" s="101"/>
      <c r="W78" s="101"/>
      <c r="X78" s="101"/>
      <c r="Y78" s="101"/>
      <c r="Z78" s="101"/>
      <c r="AA78" s="101"/>
      <c r="AB78" s="101"/>
      <c r="AC78" s="101"/>
      <c r="AD78" s="101"/>
      <c r="AE78" s="101"/>
      <c r="AF78" s="101"/>
      <c r="AG78" s="101"/>
      <c r="AH78" s="392"/>
      <c r="AI78" s="391"/>
      <c r="AJ78" s="101"/>
      <c r="AK78" s="101"/>
      <c r="AL78" s="101"/>
      <c r="AM78" s="101"/>
      <c r="AN78" s="101"/>
      <c r="AO78" s="101"/>
      <c r="AP78" s="101"/>
      <c r="AQ78" s="101"/>
      <c r="AR78" s="101"/>
      <c r="AS78" s="101"/>
      <c r="AT78" s="101"/>
      <c r="AU78" s="101"/>
      <c r="AV78" s="101"/>
      <c r="AW78" s="101"/>
      <c r="AX78" s="101"/>
      <c r="AY78" s="392"/>
    </row>
    <row r="79" spans="1:51">
      <c r="A79" s="391"/>
      <c r="B79" s="101"/>
      <c r="C79" s="101"/>
      <c r="D79" s="101"/>
      <c r="E79" s="101"/>
      <c r="F79" s="101"/>
      <c r="G79" s="101"/>
      <c r="H79" s="101"/>
      <c r="I79" s="101"/>
      <c r="J79" s="101"/>
      <c r="K79" s="101"/>
      <c r="L79" s="101"/>
      <c r="M79" s="101"/>
      <c r="N79" s="101"/>
      <c r="O79" s="101"/>
      <c r="P79" s="101"/>
      <c r="Q79" s="392"/>
      <c r="R79" s="391"/>
      <c r="S79" s="101"/>
      <c r="T79" s="101"/>
      <c r="U79" s="101"/>
      <c r="V79" s="101"/>
      <c r="W79" s="101"/>
      <c r="X79" s="101"/>
      <c r="Y79" s="101"/>
      <c r="Z79" s="101"/>
      <c r="AA79" s="101"/>
      <c r="AB79" s="101"/>
      <c r="AC79" s="101"/>
      <c r="AD79" s="101"/>
      <c r="AE79" s="101"/>
      <c r="AF79" s="101"/>
      <c r="AG79" s="101"/>
      <c r="AH79" s="392"/>
      <c r="AI79" s="391"/>
      <c r="AJ79" s="101"/>
      <c r="AK79" s="101"/>
      <c r="AL79" s="101"/>
      <c r="AM79" s="101"/>
      <c r="AN79" s="101"/>
      <c r="AO79" s="101"/>
      <c r="AP79" s="101"/>
      <c r="AQ79" s="101"/>
      <c r="AR79" s="101"/>
      <c r="AS79" s="101"/>
      <c r="AT79" s="101"/>
      <c r="AU79" s="101"/>
      <c r="AV79" s="101"/>
      <c r="AW79" s="101"/>
      <c r="AX79" s="101"/>
      <c r="AY79" s="392"/>
    </row>
    <row r="80" spans="1:51">
      <c r="A80" s="391"/>
      <c r="B80" s="101"/>
      <c r="C80" s="101"/>
      <c r="D80" s="101"/>
      <c r="E80" s="101"/>
      <c r="F80" s="101"/>
      <c r="G80" s="101"/>
      <c r="H80" s="101"/>
      <c r="I80" s="101"/>
      <c r="J80" s="101"/>
      <c r="K80" s="101"/>
      <c r="L80" s="101"/>
      <c r="M80" s="101"/>
      <c r="N80" s="101"/>
      <c r="O80" s="101"/>
      <c r="P80" s="101"/>
      <c r="Q80" s="392"/>
      <c r="R80" s="391"/>
      <c r="S80" s="101"/>
      <c r="T80" s="101"/>
      <c r="U80" s="101"/>
      <c r="V80" s="101"/>
      <c r="W80" s="101"/>
      <c r="X80" s="101"/>
      <c r="Y80" s="101"/>
      <c r="Z80" s="101"/>
      <c r="AA80" s="101"/>
      <c r="AB80" s="101"/>
      <c r="AC80" s="101"/>
      <c r="AD80" s="101"/>
      <c r="AE80" s="101"/>
      <c r="AF80" s="101"/>
      <c r="AG80" s="101"/>
      <c r="AH80" s="392"/>
      <c r="AI80" s="391"/>
      <c r="AJ80" s="101"/>
      <c r="AK80" s="101"/>
      <c r="AL80" s="101"/>
      <c r="AM80" s="101"/>
      <c r="AN80" s="101"/>
      <c r="AO80" s="101"/>
      <c r="AP80" s="101"/>
      <c r="AQ80" s="101"/>
      <c r="AR80" s="101"/>
      <c r="AS80" s="101"/>
      <c r="AT80" s="101"/>
      <c r="AU80" s="101"/>
      <c r="AV80" s="101"/>
      <c r="AW80" s="101"/>
      <c r="AX80" s="101"/>
      <c r="AY80" s="392"/>
    </row>
    <row r="81" spans="1:51">
      <c r="A81" s="391"/>
      <c r="B81" s="101"/>
      <c r="C81" s="101"/>
      <c r="D81" s="101"/>
      <c r="E81" s="101"/>
      <c r="F81" s="101"/>
      <c r="G81" s="101"/>
      <c r="H81" s="101"/>
      <c r="I81" s="101"/>
      <c r="J81" s="101"/>
      <c r="K81" s="101"/>
      <c r="L81" s="101"/>
      <c r="M81" s="101"/>
      <c r="N81" s="101"/>
      <c r="O81" s="101"/>
      <c r="P81" s="101"/>
      <c r="Q81" s="392"/>
      <c r="R81" s="391"/>
      <c r="S81" s="101"/>
      <c r="T81" s="101"/>
      <c r="U81" s="101"/>
      <c r="V81" s="101"/>
      <c r="W81" s="101"/>
      <c r="X81" s="101"/>
      <c r="Y81" s="101"/>
      <c r="Z81" s="101"/>
      <c r="AA81" s="101"/>
      <c r="AB81" s="101"/>
      <c r="AC81" s="101"/>
      <c r="AD81" s="101"/>
      <c r="AE81" s="101"/>
      <c r="AF81" s="101"/>
      <c r="AG81" s="101"/>
      <c r="AH81" s="392"/>
      <c r="AI81" s="391"/>
      <c r="AJ81" s="101"/>
      <c r="AK81" s="101"/>
      <c r="AL81" s="101"/>
      <c r="AM81" s="101"/>
      <c r="AN81" s="101"/>
      <c r="AO81" s="101"/>
      <c r="AP81" s="101"/>
      <c r="AQ81" s="101"/>
      <c r="AR81" s="101"/>
      <c r="AS81" s="101"/>
      <c r="AT81" s="101"/>
      <c r="AU81" s="101"/>
      <c r="AV81" s="101"/>
      <c r="AW81" s="101"/>
      <c r="AX81" s="101"/>
      <c r="AY81" s="392"/>
    </row>
    <row r="82" spans="1:51">
      <c r="A82" s="393"/>
      <c r="B82" s="394"/>
      <c r="C82" s="394"/>
      <c r="D82" s="394"/>
      <c r="E82" s="394"/>
      <c r="F82" s="394"/>
      <c r="G82" s="394"/>
      <c r="H82" s="394"/>
      <c r="I82" s="394"/>
      <c r="J82" s="394"/>
      <c r="K82" s="394"/>
      <c r="L82" s="394"/>
      <c r="M82" s="394"/>
      <c r="N82" s="394"/>
      <c r="O82" s="394"/>
      <c r="P82" s="394"/>
      <c r="Q82" s="395"/>
      <c r="R82" s="393"/>
      <c r="S82" s="394"/>
      <c r="T82" s="394"/>
      <c r="U82" s="394"/>
      <c r="V82" s="394"/>
      <c r="W82" s="394"/>
      <c r="X82" s="394"/>
      <c r="Y82" s="394"/>
      <c r="Z82" s="394"/>
      <c r="AA82" s="394"/>
      <c r="AB82" s="394"/>
      <c r="AC82" s="394"/>
      <c r="AD82" s="394"/>
      <c r="AE82" s="394"/>
      <c r="AF82" s="394"/>
      <c r="AG82" s="394"/>
      <c r="AH82" s="395"/>
      <c r="AI82" s="393"/>
      <c r="AJ82" s="394"/>
      <c r="AK82" s="394"/>
      <c r="AL82" s="394"/>
      <c r="AM82" s="394"/>
      <c r="AN82" s="394"/>
      <c r="AO82" s="394"/>
      <c r="AP82" s="394"/>
      <c r="AQ82" s="394"/>
      <c r="AR82" s="394"/>
      <c r="AS82" s="394"/>
      <c r="AT82" s="394"/>
      <c r="AU82" s="394"/>
      <c r="AV82" s="394"/>
      <c r="AW82" s="394"/>
      <c r="AX82" s="394"/>
      <c r="AY82" s="395"/>
    </row>
    <row r="83" spans="1:51" ht="12.75" customHeight="1">
      <c r="A83" s="824" t="s">
        <v>258</v>
      </c>
      <c r="B83" s="825"/>
      <c r="C83" s="825"/>
      <c r="D83" s="825"/>
      <c r="E83" s="825"/>
      <c r="F83" s="825"/>
      <c r="G83" s="826"/>
      <c r="H83" s="834"/>
      <c r="I83" s="835"/>
      <c r="J83" s="827" t="str">
        <f>IF(H83&lt;&gt;"No","--&gt; Must follow T10 completely in any case.",IF(H84&lt;&gt;"No","--&gt; Must follow T10 with exception of T10.1.2.","--&gt; Do not have to follow T10."))</f>
        <v>--&gt; Must follow T10 completely in any case.</v>
      </c>
      <c r="K83" s="827"/>
      <c r="L83" s="827"/>
      <c r="M83" s="827"/>
      <c r="N83" s="827"/>
      <c r="O83" s="827"/>
      <c r="P83" s="827"/>
      <c r="Q83" s="828"/>
      <c r="R83" s="824" t="s">
        <v>258</v>
      </c>
      <c r="S83" s="825"/>
      <c r="T83" s="825"/>
      <c r="U83" s="825"/>
      <c r="V83" s="825"/>
      <c r="W83" s="825"/>
      <c r="X83" s="826"/>
      <c r="Y83" s="815"/>
      <c r="Z83" s="807"/>
      <c r="AA83" s="827" t="str">
        <f>IF(Y83&lt;&gt;"No","--&gt; Must follow T10 completely in any case.",IF(Y84&lt;&gt;"No","--&gt; Must follow T10 with exception of T10.1.2.","--&gt; Do not have to follow T10."))</f>
        <v>--&gt; Must follow T10 completely in any case.</v>
      </c>
      <c r="AB83" s="827"/>
      <c r="AC83" s="827"/>
      <c r="AD83" s="827"/>
      <c r="AE83" s="827"/>
      <c r="AF83" s="827"/>
      <c r="AG83" s="827"/>
      <c r="AH83" s="828"/>
      <c r="AI83" s="824" t="s">
        <v>258</v>
      </c>
      <c r="AJ83" s="825"/>
      <c r="AK83" s="825"/>
      <c r="AL83" s="825"/>
      <c r="AM83" s="825"/>
      <c r="AN83" s="825"/>
      <c r="AO83" s="826"/>
      <c r="AP83" s="815"/>
      <c r="AQ83" s="807"/>
      <c r="AR83" s="827" t="str">
        <f>IF(AP83&lt;&gt;"No","--&gt; Must follow T10 completely in any case.",IF(AP84&lt;&gt;"No","--&gt; Must follow T10 with exception of T10.1.2.","--&gt; Do not have to follow T10."))</f>
        <v>--&gt; Must follow T10 completely in any case.</v>
      </c>
      <c r="AS83" s="827"/>
      <c r="AT83" s="827"/>
      <c r="AU83" s="827"/>
      <c r="AV83" s="827"/>
      <c r="AW83" s="827"/>
      <c r="AX83" s="827"/>
      <c r="AY83" s="828"/>
    </row>
    <row r="84" spans="1:51">
      <c r="A84" s="831" t="s">
        <v>430</v>
      </c>
      <c r="B84" s="832"/>
      <c r="C84" s="832"/>
      <c r="D84" s="832"/>
      <c r="E84" s="832"/>
      <c r="F84" s="832"/>
      <c r="G84" s="833"/>
      <c r="H84" s="815"/>
      <c r="I84" s="807"/>
      <c r="J84" s="829"/>
      <c r="K84" s="829"/>
      <c r="L84" s="829"/>
      <c r="M84" s="829"/>
      <c r="N84" s="829"/>
      <c r="O84" s="829"/>
      <c r="P84" s="829"/>
      <c r="Q84" s="830"/>
      <c r="R84" s="831" t="s">
        <v>430</v>
      </c>
      <c r="S84" s="832"/>
      <c r="T84" s="832"/>
      <c r="U84" s="832"/>
      <c r="V84" s="832"/>
      <c r="W84" s="832"/>
      <c r="X84" s="833"/>
      <c r="Y84" s="815"/>
      <c r="Z84" s="807"/>
      <c r="AA84" s="829"/>
      <c r="AB84" s="829"/>
      <c r="AC84" s="829"/>
      <c r="AD84" s="829"/>
      <c r="AE84" s="829"/>
      <c r="AF84" s="829"/>
      <c r="AG84" s="829"/>
      <c r="AH84" s="830"/>
      <c r="AI84" s="831" t="s">
        <v>430</v>
      </c>
      <c r="AJ84" s="832"/>
      <c r="AK84" s="832"/>
      <c r="AL84" s="832"/>
      <c r="AM84" s="832"/>
      <c r="AN84" s="832"/>
      <c r="AO84" s="833"/>
      <c r="AP84" s="815"/>
      <c r="AQ84" s="807"/>
      <c r="AR84" s="829"/>
      <c r="AS84" s="829"/>
      <c r="AT84" s="829"/>
      <c r="AU84" s="829"/>
      <c r="AV84" s="829"/>
      <c r="AW84" s="829"/>
      <c r="AX84" s="829"/>
      <c r="AY84" s="830"/>
    </row>
    <row r="85" spans="1:51">
      <c r="A85" s="462" t="s">
        <v>259</v>
      </c>
      <c r="B85" s="465"/>
      <c r="C85" s="465"/>
      <c r="D85" s="465"/>
      <c r="E85" s="465"/>
      <c r="F85" s="465"/>
      <c r="G85" s="823"/>
      <c r="H85" s="821"/>
      <c r="I85" s="821"/>
      <c r="J85" s="821"/>
      <c r="K85" s="821"/>
      <c r="L85" s="821"/>
      <c r="M85" s="821"/>
      <c r="N85" s="821"/>
      <c r="O85" s="821"/>
      <c r="P85" s="821"/>
      <c r="Q85" s="822"/>
      <c r="R85" s="462" t="s">
        <v>259</v>
      </c>
      <c r="S85" s="465"/>
      <c r="T85" s="465"/>
      <c r="U85" s="465"/>
      <c r="V85" s="465"/>
      <c r="W85" s="465"/>
      <c r="X85" s="823"/>
      <c r="Y85" s="821"/>
      <c r="Z85" s="821"/>
      <c r="AA85" s="821"/>
      <c r="AB85" s="821"/>
      <c r="AC85" s="821"/>
      <c r="AD85" s="821"/>
      <c r="AE85" s="821"/>
      <c r="AF85" s="821"/>
      <c r="AG85" s="821"/>
      <c r="AH85" s="822"/>
      <c r="AI85" s="462" t="s">
        <v>259</v>
      </c>
      <c r="AJ85" s="465"/>
      <c r="AK85" s="465"/>
      <c r="AL85" s="465"/>
      <c r="AM85" s="465"/>
      <c r="AN85" s="465"/>
      <c r="AO85" s="823"/>
      <c r="AP85" s="821"/>
      <c r="AQ85" s="821"/>
      <c r="AR85" s="821"/>
      <c r="AS85" s="821"/>
      <c r="AT85" s="821"/>
      <c r="AU85" s="821"/>
      <c r="AV85" s="821"/>
      <c r="AW85" s="821"/>
      <c r="AX85" s="821"/>
      <c r="AY85" s="822"/>
    </row>
    <row r="86" spans="1:51">
      <c r="A86" s="388" t="s">
        <v>260</v>
      </c>
      <c r="B86" s="389"/>
      <c r="C86" s="389"/>
      <c r="D86" s="389"/>
      <c r="E86" s="389"/>
      <c r="F86" s="389"/>
      <c r="G86" s="389"/>
      <c r="H86" s="389"/>
      <c r="I86" s="389"/>
      <c r="J86" s="389"/>
      <c r="K86" s="389"/>
      <c r="L86" s="389"/>
      <c r="M86" s="389"/>
      <c r="N86" s="389"/>
      <c r="O86" s="389"/>
      <c r="P86" s="389"/>
      <c r="Q86" s="390"/>
      <c r="R86" s="388" t="s">
        <v>260</v>
      </c>
      <c r="S86" s="389"/>
      <c r="T86" s="389"/>
      <c r="U86" s="389"/>
      <c r="V86" s="389"/>
      <c r="W86" s="389"/>
      <c r="X86" s="389"/>
      <c r="Y86" s="389"/>
      <c r="Z86" s="389"/>
      <c r="AA86" s="389"/>
      <c r="AB86" s="389"/>
      <c r="AC86" s="389"/>
      <c r="AD86" s="389"/>
      <c r="AE86" s="389"/>
      <c r="AF86" s="389"/>
      <c r="AG86" s="389"/>
      <c r="AH86" s="390"/>
      <c r="AI86" s="388" t="s">
        <v>260</v>
      </c>
      <c r="AJ86" s="389"/>
      <c r="AK86" s="389"/>
      <c r="AL86" s="389"/>
      <c r="AM86" s="389"/>
      <c r="AN86" s="389"/>
      <c r="AO86" s="389"/>
      <c r="AP86" s="389"/>
      <c r="AQ86" s="389"/>
      <c r="AR86" s="389"/>
      <c r="AS86" s="389"/>
      <c r="AT86" s="389"/>
      <c r="AU86" s="389"/>
      <c r="AV86" s="389"/>
      <c r="AW86" s="389"/>
      <c r="AX86" s="389"/>
      <c r="AY86" s="390"/>
    </row>
    <row r="87" spans="1:51">
      <c r="A87" s="391"/>
      <c r="B87" s="101"/>
      <c r="C87" s="101"/>
      <c r="D87" s="101"/>
      <c r="E87" s="101"/>
      <c r="F87" s="101"/>
      <c r="G87" s="101"/>
      <c r="H87" s="101"/>
      <c r="I87" s="101"/>
      <c r="J87" s="101"/>
      <c r="K87" s="101"/>
      <c r="L87" s="101"/>
      <c r="M87" s="101"/>
      <c r="N87" s="101"/>
      <c r="O87" s="101"/>
      <c r="P87" s="101"/>
      <c r="Q87" s="392"/>
      <c r="R87" s="391"/>
      <c r="S87" s="101"/>
      <c r="T87" s="101"/>
      <c r="U87" s="101"/>
      <c r="V87" s="101"/>
      <c r="W87" s="101"/>
      <c r="X87" s="101"/>
      <c r="Y87" s="101"/>
      <c r="Z87" s="101"/>
      <c r="AA87" s="101"/>
      <c r="AB87" s="101"/>
      <c r="AC87" s="101"/>
      <c r="AD87" s="101"/>
      <c r="AE87" s="101"/>
      <c r="AF87" s="101"/>
      <c r="AG87" s="101"/>
      <c r="AH87" s="392"/>
      <c r="AI87" s="391"/>
      <c r="AJ87" s="101"/>
      <c r="AK87" s="101"/>
      <c r="AL87" s="101"/>
      <c r="AM87" s="101"/>
      <c r="AN87" s="101"/>
      <c r="AO87" s="101"/>
      <c r="AP87" s="101"/>
      <c r="AQ87" s="101"/>
      <c r="AR87" s="101"/>
      <c r="AS87" s="101"/>
      <c r="AT87" s="101"/>
      <c r="AU87" s="101"/>
      <c r="AV87" s="101"/>
      <c r="AW87" s="101"/>
      <c r="AX87" s="101"/>
      <c r="AY87" s="392"/>
    </row>
    <row r="88" spans="1:51">
      <c r="A88" s="391"/>
      <c r="B88" s="101"/>
      <c r="C88" s="101"/>
      <c r="D88" s="101"/>
      <c r="E88" s="101"/>
      <c r="F88" s="101"/>
      <c r="G88" s="101"/>
      <c r="H88" s="101"/>
      <c r="I88" s="101"/>
      <c r="J88" s="101"/>
      <c r="K88" s="101"/>
      <c r="L88" s="101"/>
      <c r="M88" s="101"/>
      <c r="N88" s="101"/>
      <c r="O88" s="101"/>
      <c r="P88" s="101"/>
      <c r="Q88" s="392"/>
      <c r="R88" s="391"/>
      <c r="S88" s="101"/>
      <c r="T88" s="101"/>
      <c r="U88" s="101"/>
      <c r="V88" s="101"/>
      <c r="W88" s="101"/>
      <c r="X88" s="101"/>
      <c r="Y88" s="101"/>
      <c r="Z88" s="101"/>
      <c r="AA88" s="101"/>
      <c r="AB88" s="101"/>
      <c r="AC88" s="101"/>
      <c r="AD88" s="101"/>
      <c r="AE88" s="101"/>
      <c r="AF88" s="101"/>
      <c r="AG88" s="101"/>
      <c r="AH88" s="392"/>
      <c r="AI88" s="391"/>
      <c r="AJ88" s="101"/>
      <c r="AK88" s="101"/>
      <c r="AL88" s="101"/>
      <c r="AM88" s="101"/>
      <c r="AN88" s="101"/>
      <c r="AO88" s="101"/>
      <c r="AP88" s="101"/>
      <c r="AQ88" s="101"/>
      <c r="AR88" s="101"/>
      <c r="AS88" s="101"/>
      <c r="AT88" s="101"/>
      <c r="AU88" s="101"/>
      <c r="AV88" s="101"/>
      <c r="AW88" s="101"/>
      <c r="AX88" s="101"/>
      <c r="AY88" s="392"/>
    </row>
    <row r="89" spans="1:51">
      <c r="A89" s="391"/>
      <c r="B89" s="101"/>
      <c r="C89" s="101"/>
      <c r="D89" s="101"/>
      <c r="E89" s="101"/>
      <c r="F89" s="101"/>
      <c r="G89" s="101"/>
      <c r="H89" s="101"/>
      <c r="I89" s="101"/>
      <c r="J89" s="101"/>
      <c r="K89" s="101"/>
      <c r="L89" s="101"/>
      <c r="M89" s="101"/>
      <c r="N89" s="101"/>
      <c r="O89" s="101"/>
      <c r="P89" s="101"/>
      <c r="Q89" s="392"/>
      <c r="R89" s="391"/>
      <c r="S89" s="101"/>
      <c r="T89" s="101"/>
      <c r="U89" s="101"/>
      <c r="V89" s="101"/>
      <c r="W89" s="101"/>
      <c r="X89" s="101"/>
      <c r="Y89" s="101"/>
      <c r="Z89" s="101"/>
      <c r="AA89" s="101"/>
      <c r="AB89" s="101"/>
      <c r="AC89" s="101"/>
      <c r="AD89" s="101"/>
      <c r="AE89" s="101"/>
      <c r="AF89" s="101"/>
      <c r="AG89" s="101"/>
      <c r="AH89" s="392"/>
      <c r="AI89" s="391"/>
      <c r="AJ89" s="101"/>
      <c r="AK89" s="101"/>
      <c r="AL89" s="101"/>
      <c r="AM89" s="101"/>
      <c r="AN89" s="101"/>
      <c r="AO89" s="101"/>
      <c r="AP89" s="101"/>
      <c r="AQ89" s="101"/>
      <c r="AR89" s="101"/>
      <c r="AS89" s="101"/>
      <c r="AT89" s="101"/>
      <c r="AU89" s="101"/>
      <c r="AV89" s="101"/>
      <c r="AW89" s="101"/>
      <c r="AX89" s="101"/>
      <c r="AY89" s="392"/>
    </row>
    <row r="90" spans="1:51">
      <c r="A90" s="391"/>
      <c r="B90" s="101"/>
      <c r="C90" s="101"/>
      <c r="D90" s="101"/>
      <c r="E90" s="101"/>
      <c r="F90" s="101"/>
      <c r="G90" s="101"/>
      <c r="H90" s="101"/>
      <c r="I90" s="101"/>
      <c r="J90" s="101"/>
      <c r="K90" s="101"/>
      <c r="L90" s="101"/>
      <c r="M90" s="101"/>
      <c r="N90" s="101"/>
      <c r="O90" s="101"/>
      <c r="P90" s="101"/>
      <c r="Q90" s="392"/>
      <c r="R90" s="391"/>
      <c r="S90" s="101"/>
      <c r="T90" s="101"/>
      <c r="U90" s="101"/>
      <c r="V90" s="101"/>
      <c r="W90" s="101"/>
      <c r="X90" s="101"/>
      <c r="Y90" s="101"/>
      <c r="Z90" s="101"/>
      <c r="AA90" s="101"/>
      <c r="AB90" s="101"/>
      <c r="AC90" s="101"/>
      <c r="AD90" s="101"/>
      <c r="AE90" s="101"/>
      <c r="AF90" s="101"/>
      <c r="AG90" s="101"/>
      <c r="AH90" s="392"/>
      <c r="AI90" s="391"/>
      <c r="AJ90" s="101"/>
      <c r="AK90" s="101"/>
      <c r="AL90" s="101"/>
      <c r="AM90" s="101"/>
      <c r="AN90" s="101"/>
      <c r="AO90" s="101"/>
      <c r="AP90" s="101"/>
      <c r="AQ90" s="101"/>
      <c r="AR90" s="101"/>
      <c r="AS90" s="101"/>
      <c r="AT90" s="101"/>
      <c r="AU90" s="101"/>
      <c r="AV90" s="101"/>
      <c r="AW90" s="101"/>
      <c r="AX90" s="101"/>
      <c r="AY90" s="392"/>
    </row>
    <row r="91" spans="1:51">
      <c r="A91" s="391"/>
      <c r="B91" s="101"/>
      <c r="C91" s="101"/>
      <c r="D91" s="101"/>
      <c r="E91" s="101"/>
      <c r="F91" s="101"/>
      <c r="G91" s="101"/>
      <c r="H91" s="101"/>
      <c r="I91" s="101"/>
      <c r="J91" s="101"/>
      <c r="K91" s="101"/>
      <c r="L91" s="101"/>
      <c r="M91" s="101"/>
      <c r="N91" s="101"/>
      <c r="O91" s="101"/>
      <c r="P91" s="101"/>
      <c r="Q91" s="392"/>
      <c r="R91" s="391"/>
      <c r="S91" s="101"/>
      <c r="T91" s="101"/>
      <c r="U91" s="101"/>
      <c r="V91" s="101"/>
      <c r="W91" s="101"/>
      <c r="X91" s="101"/>
      <c r="Y91" s="101"/>
      <c r="Z91" s="101"/>
      <c r="AA91" s="101"/>
      <c r="AB91" s="101"/>
      <c r="AC91" s="101"/>
      <c r="AD91" s="101"/>
      <c r="AE91" s="101"/>
      <c r="AF91" s="101"/>
      <c r="AG91" s="101"/>
      <c r="AH91" s="392"/>
      <c r="AI91" s="391"/>
      <c r="AJ91" s="101"/>
      <c r="AK91" s="101"/>
      <c r="AL91" s="101"/>
      <c r="AM91" s="101"/>
      <c r="AN91" s="101"/>
      <c r="AO91" s="101"/>
      <c r="AP91" s="101"/>
      <c r="AQ91" s="101"/>
      <c r="AR91" s="101"/>
      <c r="AS91" s="101"/>
      <c r="AT91" s="101"/>
      <c r="AU91" s="101"/>
      <c r="AV91" s="101"/>
      <c r="AW91" s="101"/>
      <c r="AX91" s="101"/>
      <c r="AY91" s="392"/>
    </row>
    <row r="92" spans="1:51">
      <c r="A92" s="391"/>
      <c r="B92" s="101"/>
      <c r="C92" s="101"/>
      <c r="D92" s="101"/>
      <c r="E92" s="101"/>
      <c r="F92" s="101"/>
      <c r="G92" s="101"/>
      <c r="H92" s="101"/>
      <c r="I92" s="101"/>
      <c r="J92" s="101"/>
      <c r="K92" s="101"/>
      <c r="L92" s="101"/>
      <c r="M92" s="101"/>
      <c r="N92" s="101"/>
      <c r="O92" s="101"/>
      <c r="P92" s="101"/>
      <c r="Q92" s="392"/>
      <c r="R92" s="391"/>
      <c r="S92" s="101"/>
      <c r="T92" s="101"/>
      <c r="U92" s="101"/>
      <c r="V92" s="101"/>
      <c r="W92" s="101"/>
      <c r="X92" s="101"/>
      <c r="Y92" s="101"/>
      <c r="Z92" s="101"/>
      <c r="AA92" s="101"/>
      <c r="AB92" s="101"/>
      <c r="AC92" s="101"/>
      <c r="AD92" s="101"/>
      <c r="AE92" s="101"/>
      <c r="AF92" s="101"/>
      <c r="AG92" s="101"/>
      <c r="AH92" s="392"/>
      <c r="AI92" s="391"/>
      <c r="AJ92" s="101"/>
      <c r="AK92" s="101"/>
      <c r="AL92" s="101"/>
      <c r="AM92" s="101"/>
      <c r="AN92" s="101"/>
      <c r="AO92" s="101"/>
      <c r="AP92" s="101"/>
      <c r="AQ92" s="101"/>
      <c r="AR92" s="101"/>
      <c r="AS92" s="101"/>
      <c r="AT92" s="101"/>
      <c r="AU92" s="101"/>
      <c r="AV92" s="101"/>
      <c r="AW92" s="101"/>
      <c r="AX92" s="101"/>
      <c r="AY92" s="392"/>
    </row>
    <row r="93" spans="1:51">
      <c r="A93" s="391"/>
      <c r="B93" s="101"/>
      <c r="C93" s="101"/>
      <c r="D93" s="101"/>
      <c r="E93" s="101"/>
      <c r="F93" s="101"/>
      <c r="G93" s="101"/>
      <c r="H93" s="101"/>
      <c r="I93" s="101"/>
      <c r="J93" s="101"/>
      <c r="K93" s="101"/>
      <c r="L93" s="101"/>
      <c r="M93" s="101"/>
      <c r="N93" s="101"/>
      <c r="O93" s="101"/>
      <c r="P93" s="101"/>
      <c r="Q93" s="392"/>
      <c r="R93" s="391"/>
      <c r="S93" s="101"/>
      <c r="T93" s="101"/>
      <c r="U93" s="101"/>
      <c r="V93" s="101"/>
      <c r="W93" s="101"/>
      <c r="X93" s="101"/>
      <c r="Y93" s="101"/>
      <c r="Z93" s="101"/>
      <c r="AA93" s="101"/>
      <c r="AB93" s="101"/>
      <c r="AC93" s="101"/>
      <c r="AD93" s="101"/>
      <c r="AE93" s="101"/>
      <c r="AF93" s="101"/>
      <c r="AG93" s="101"/>
      <c r="AH93" s="392"/>
      <c r="AI93" s="391"/>
      <c r="AJ93" s="101"/>
      <c r="AK93" s="101"/>
      <c r="AL93" s="101"/>
      <c r="AM93" s="101"/>
      <c r="AN93" s="101"/>
      <c r="AO93" s="101"/>
      <c r="AP93" s="101"/>
      <c r="AQ93" s="101"/>
      <c r="AR93" s="101"/>
      <c r="AS93" s="101"/>
      <c r="AT93" s="101"/>
      <c r="AU93" s="101"/>
      <c r="AV93" s="101"/>
      <c r="AW93" s="101"/>
      <c r="AX93" s="101"/>
      <c r="AY93" s="392"/>
    </row>
    <row r="94" spans="1:51">
      <c r="A94" s="391"/>
      <c r="B94" s="101"/>
      <c r="C94" s="101"/>
      <c r="D94" s="101"/>
      <c r="E94" s="101"/>
      <c r="F94" s="101"/>
      <c r="G94" s="101"/>
      <c r="H94" s="101"/>
      <c r="I94" s="101"/>
      <c r="J94" s="101"/>
      <c r="K94" s="101"/>
      <c r="L94" s="101"/>
      <c r="M94" s="101"/>
      <c r="N94" s="101"/>
      <c r="O94" s="101"/>
      <c r="P94" s="101"/>
      <c r="Q94" s="392"/>
      <c r="R94" s="391"/>
      <c r="S94" s="101"/>
      <c r="T94" s="101"/>
      <c r="U94" s="101"/>
      <c r="V94" s="101"/>
      <c r="W94" s="101"/>
      <c r="X94" s="101"/>
      <c r="Y94" s="101"/>
      <c r="Z94" s="101"/>
      <c r="AA94" s="101"/>
      <c r="AB94" s="101"/>
      <c r="AC94" s="101"/>
      <c r="AD94" s="101"/>
      <c r="AE94" s="101"/>
      <c r="AF94" s="101"/>
      <c r="AG94" s="101"/>
      <c r="AH94" s="392"/>
      <c r="AI94" s="391"/>
      <c r="AJ94" s="101"/>
      <c r="AK94" s="101"/>
      <c r="AL94" s="101"/>
      <c r="AM94" s="101"/>
      <c r="AN94" s="101"/>
      <c r="AO94" s="101"/>
      <c r="AP94" s="101"/>
      <c r="AQ94" s="101"/>
      <c r="AR94" s="101"/>
      <c r="AS94" s="101"/>
      <c r="AT94" s="101"/>
      <c r="AU94" s="101"/>
      <c r="AV94" s="101"/>
      <c r="AW94" s="101"/>
      <c r="AX94" s="101"/>
      <c r="AY94" s="392"/>
    </row>
    <row r="95" spans="1:51">
      <c r="A95" s="391"/>
      <c r="B95" s="101"/>
      <c r="C95" s="101"/>
      <c r="D95" s="101"/>
      <c r="E95" s="101"/>
      <c r="F95" s="101"/>
      <c r="G95" s="101"/>
      <c r="H95" s="101"/>
      <c r="I95" s="101"/>
      <c r="J95" s="101"/>
      <c r="K95" s="101"/>
      <c r="L95" s="101"/>
      <c r="M95" s="101"/>
      <c r="N95" s="101"/>
      <c r="O95" s="101"/>
      <c r="P95" s="101"/>
      <c r="Q95" s="392"/>
      <c r="R95" s="391"/>
      <c r="S95" s="101"/>
      <c r="T95" s="101"/>
      <c r="U95" s="101"/>
      <c r="V95" s="101"/>
      <c r="W95" s="101"/>
      <c r="X95" s="101"/>
      <c r="Y95" s="101"/>
      <c r="Z95" s="101"/>
      <c r="AA95" s="101"/>
      <c r="AB95" s="101"/>
      <c r="AC95" s="101"/>
      <c r="AD95" s="101"/>
      <c r="AE95" s="101"/>
      <c r="AF95" s="101"/>
      <c r="AG95" s="101"/>
      <c r="AH95" s="392"/>
      <c r="AI95" s="391"/>
      <c r="AJ95" s="101"/>
      <c r="AK95" s="101"/>
      <c r="AL95" s="101"/>
      <c r="AM95" s="101"/>
      <c r="AN95" s="101"/>
      <c r="AO95" s="101"/>
      <c r="AP95" s="101"/>
      <c r="AQ95" s="101"/>
      <c r="AR95" s="101"/>
      <c r="AS95" s="101"/>
      <c r="AT95" s="101"/>
      <c r="AU95" s="101"/>
      <c r="AV95" s="101"/>
      <c r="AW95" s="101"/>
      <c r="AX95" s="101"/>
      <c r="AY95" s="392"/>
    </row>
    <row r="96" spans="1:51">
      <c r="A96" s="391"/>
      <c r="B96" s="101"/>
      <c r="C96" s="101"/>
      <c r="D96" s="101"/>
      <c r="E96" s="101"/>
      <c r="F96" s="101"/>
      <c r="G96" s="101"/>
      <c r="H96" s="101"/>
      <c r="I96" s="101"/>
      <c r="J96" s="101"/>
      <c r="K96" s="101"/>
      <c r="L96" s="101"/>
      <c r="M96" s="101"/>
      <c r="N96" s="101"/>
      <c r="O96" s="101"/>
      <c r="P96" s="101"/>
      <c r="Q96" s="392"/>
      <c r="R96" s="391"/>
      <c r="S96" s="101"/>
      <c r="T96" s="101"/>
      <c r="U96" s="101"/>
      <c r="V96" s="101"/>
      <c r="W96" s="101"/>
      <c r="X96" s="101"/>
      <c r="Y96" s="101"/>
      <c r="Z96" s="101"/>
      <c r="AA96" s="101"/>
      <c r="AB96" s="101"/>
      <c r="AC96" s="101"/>
      <c r="AD96" s="101"/>
      <c r="AE96" s="101"/>
      <c r="AF96" s="101"/>
      <c r="AG96" s="101"/>
      <c r="AH96" s="392"/>
      <c r="AI96" s="391"/>
      <c r="AJ96" s="101"/>
      <c r="AK96" s="101"/>
      <c r="AL96" s="101"/>
      <c r="AM96" s="101"/>
      <c r="AN96" s="101"/>
      <c r="AO96" s="101"/>
      <c r="AP96" s="101"/>
      <c r="AQ96" s="101"/>
      <c r="AR96" s="101"/>
      <c r="AS96" s="101"/>
      <c r="AT96" s="101"/>
      <c r="AU96" s="101"/>
      <c r="AV96" s="101"/>
      <c r="AW96" s="101"/>
      <c r="AX96" s="101"/>
      <c r="AY96" s="392"/>
    </row>
    <row r="97" spans="1:51">
      <c r="A97" s="391"/>
      <c r="B97" s="101"/>
      <c r="C97" s="101"/>
      <c r="D97" s="101"/>
      <c r="E97" s="101"/>
      <c r="F97" s="101"/>
      <c r="G97" s="101"/>
      <c r="H97" s="101"/>
      <c r="I97" s="101"/>
      <c r="J97" s="101"/>
      <c r="K97" s="101"/>
      <c r="L97" s="101"/>
      <c r="M97" s="101"/>
      <c r="N97" s="101"/>
      <c r="O97" s="101"/>
      <c r="P97" s="101"/>
      <c r="Q97" s="392"/>
      <c r="R97" s="391"/>
      <c r="S97" s="101"/>
      <c r="T97" s="101"/>
      <c r="U97" s="101"/>
      <c r="V97" s="101"/>
      <c r="W97" s="101"/>
      <c r="X97" s="101"/>
      <c r="Y97" s="101"/>
      <c r="Z97" s="101"/>
      <c r="AA97" s="101"/>
      <c r="AB97" s="101"/>
      <c r="AC97" s="101"/>
      <c r="AD97" s="101"/>
      <c r="AE97" s="101"/>
      <c r="AF97" s="101"/>
      <c r="AG97" s="101"/>
      <c r="AH97" s="392"/>
      <c r="AI97" s="391"/>
      <c r="AJ97" s="101"/>
      <c r="AK97" s="101"/>
      <c r="AL97" s="101"/>
      <c r="AM97" s="101"/>
      <c r="AN97" s="101"/>
      <c r="AO97" s="101"/>
      <c r="AP97" s="101"/>
      <c r="AQ97" s="101"/>
      <c r="AR97" s="101"/>
      <c r="AS97" s="101"/>
      <c r="AT97" s="101"/>
      <c r="AU97" s="101"/>
      <c r="AV97" s="101"/>
      <c r="AW97" s="101"/>
      <c r="AX97" s="101"/>
      <c r="AY97" s="392"/>
    </row>
    <row r="98" spans="1:51">
      <c r="A98" s="391"/>
      <c r="B98" s="101"/>
      <c r="C98" s="101"/>
      <c r="D98" s="101"/>
      <c r="E98" s="101"/>
      <c r="F98" s="101"/>
      <c r="G98" s="101"/>
      <c r="H98" s="101"/>
      <c r="I98" s="101"/>
      <c r="J98" s="101"/>
      <c r="K98" s="101"/>
      <c r="L98" s="101"/>
      <c r="M98" s="101"/>
      <c r="N98" s="101"/>
      <c r="O98" s="101"/>
      <c r="P98" s="101"/>
      <c r="Q98" s="392"/>
      <c r="R98" s="391"/>
      <c r="S98" s="101"/>
      <c r="T98" s="101"/>
      <c r="U98" s="101"/>
      <c r="V98" s="101"/>
      <c r="W98" s="101"/>
      <c r="X98" s="101"/>
      <c r="Y98" s="101"/>
      <c r="Z98" s="101"/>
      <c r="AA98" s="101"/>
      <c r="AB98" s="101"/>
      <c r="AC98" s="101"/>
      <c r="AD98" s="101"/>
      <c r="AE98" s="101"/>
      <c r="AF98" s="101"/>
      <c r="AG98" s="101"/>
      <c r="AH98" s="392"/>
      <c r="AI98" s="391"/>
      <c r="AJ98" s="101"/>
      <c r="AK98" s="101"/>
      <c r="AL98" s="101"/>
      <c r="AM98" s="101"/>
      <c r="AN98" s="101"/>
      <c r="AO98" s="101"/>
      <c r="AP98" s="101"/>
      <c r="AQ98" s="101"/>
      <c r="AR98" s="101"/>
      <c r="AS98" s="101"/>
      <c r="AT98" s="101"/>
      <c r="AU98" s="101"/>
      <c r="AV98" s="101"/>
      <c r="AW98" s="101"/>
      <c r="AX98" s="101"/>
      <c r="AY98" s="392"/>
    </row>
    <row r="99" spans="1:51">
      <c r="A99" s="391"/>
      <c r="B99" s="101"/>
      <c r="C99" s="101"/>
      <c r="D99" s="101"/>
      <c r="E99" s="101"/>
      <c r="F99" s="101"/>
      <c r="G99" s="101"/>
      <c r="H99" s="101"/>
      <c r="I99" s="101"/>
      <c r="J99" s="101"/>
      <c r="K99" s="101"/>
      <c r="L99" s="101"/>
      <c r="M99" s="101"/>
      <c r="N99" s="101"/>
      <c r="O99" s="101"/>
      <c r="P99" s="101"/>
      <c r="Q99" s="392"/>
      <c r="R99" s="391"/>
      <c r="S99" s="101"/>
      <c r="T99" s="101"/>
      <c r="U99" s="101"/>
      <c r="V99" s="101"/>
      <c r="W99" s="101"/>
      <c r="X99" s="101"/>
      <c r="Y99" s="101"/>
      <c r="Z99" s="101"/>
      <c r="AA99" s="101"/>
      <c r="AB99" s="101"/>
      <c r="AC99" s="101"/>
      <c r="AD99" s="101"/>
      <c r="AE99" s="101"/>
      <c r="AF99" s="101"/>
      <c r="AG99" s="101"/>
      <c r="AH99" s="392"/>
      <c r="AI99" s="391"/>
      <c r="AJ99" s="101"/>
      <c r="AK99" s="101"/>
      <c r="AL99" s="101"/>
      <c r="AM99" s="101"/>
      <c r="AN99" s="101"/>
      <c r="AO99" s="101"/>
      <c r="AP99" s="101"/>
      <c r="AQ99" s="101"/>
      <c r="AR99" s="101"/>
      <c r="AS99" s="101"/>
      <c r="AT99" s="101"/>
      <c r="AU99" s="101"/>
      <c r="AV99" s="101"/>
      <c r="AW99" s="101"/>
      <c r="AX99" s="101"/>
      <c r="AY99" s="392"/>
    </row>
    <row r="100" spans="1:51">
      <c r="A100" s="391"/>
      <c r="B100" s="101"/>
      <c r="C100" s="101"/>
      <c r="D100" s="101"/>
      <c r="E100" s="101"/>
      <c r="F100" s="101"/>
      <c r="G100" s="101"/>
      <c r="H100" s="101"/>
      <c r="I100" s="101"/>
      <c r="J100" s="101"/>
      <c r="K100" s="101"/>
      <c r="L100" s="101"/>
      <c r="M100" s="101"/>
      <c r="N100" s="101"/>
      <c r="O100" s="101"/>
      <c r="P100" s="101"/>
      <c r="Q100" s="392"/>
      <c r="R100" s="391"/>
      <c r="S100" s="101"/>
      <c r="T100" s="101"/>
      <c r="U100" s="101"/>
      <c r="V100" s="101"/>
      <c r="W100" s="101"/>
      <c r="X100" s="101"/>
      <c r="Y100" s="101"/>
      <c r="Z100" s="101"/>
      <c r="AA100" s="101"/>
      <c r="AB100" s="101"/>
      <c r="AC100" s="101"/>
      <c r="AD100" s="101"/>
      <c r="AE100" s="101"/>
      <c r="AF100" s="101"/>
      <c r="AG100" s="101"/>
      <c r="AH100" s="392"/>
      <c r="AI100" s="391"/>
      <c r="AJ100" s="101"/>
      <c r="AK100" s="101"/>
      <c r="AL100" s="101"/>
      <c r="AM100" s="101"/>
      <c r="AN100" s="101"/>
      <c r="AO100" s="101"/>
      <c r="AP100" s="101"/>
      <c r="AQ100" s="101"/>
      <c r="AR100" s="101"/>
      <c r="AS100" s="101"/>
      <c r="AT100" s="101"/>
      <c r="AU100" s="101"/>
      <c r="AV100" s="101"/>
      <c r="AW100" s="101"/>
      <c r="AX100" s="101"/>
      <c r="AY100" s="392"/>
    </row>
    <row r="101" spans="1:51">
      <c r="A101" s="391"/>
      <c r="B101" s="101"/>
      <c r="C101" s="101"/>
      <c r="D101" s="101"/>
      <c r="E101" s="101"/>
      <c r="F101" s="101"/>
      <c r="G101" s="101"/>
      <c r="H101" s="101"/>
      <c r="I101" s="101"/>
      <c r="J101" s="101"/>
      <c r="K101" s="101"/>
      <c r="L101" s="101"/>
      <c r="M101" s="101"/>
      <c r="N101" s="101"/>
      <c r="O101" s="101"/>
      <c r="P101" s="101"/>
      <c r="Q101" s="392"/>
      <c r="R101" s="391"/>
      <c r="S101" s="101"/>
      <c r="T101" s="101"/>
      <c r="U101" s="101"/>
      <c r="V101" s="101"/>
      <c r="W101" s="101"/>
      <c r="X101" s="101"/>
      <c r="Y101" s="101"/>
      <c r="Z101" s="101"/>
      <c r="AA101" s="101"/>
      <c r="AB101" s="101"/>
      <c r="AC101" s="101"/>
      <c r="AD101" s="101"/>
      <c r="AE101" s="101"/>
      <c r="AF101" s="101"/>
      <c r="AG101" s="101"/>
      <c r="AH101" s="392"/>
      <c r="AI101" s="391"/>
      <c r="AJ101" s="101"/>
      <c r="AK101" s="101"/>
      <c r="AL101" s="101"/>
      <c r="AM101" s="101"/>
      <c r="AN101" s="101"/>
      <c r="AO101" s="101"/>
      <c r="AP101" s="101"/>
      <c r="AQ101" s="101"/>
      <c r="AR101" s="101"/>
      <c r="AS101" s="101"/>
      <c r="AT101" s="101"/>
      <c r="AU101" s="101"/>
      <c r="AV101" s="101"/>
      <c r="AW101" s="101"/>
      <c r="AX101" s="101"/>
      <c r="AY101" s="392"/>
    </row>
    <row r="102" spans="1:51">
      <c r="A102" s="391"/>
      <c r="B102" s="101"/>
      <c r="C102" s="101"/>
      <c r="D102" s="101"/>
      <c r="E102" s="101"/>
      <c r="F102" s="101"/>
      <c r="G102" s="101"/>
      <c r="H102" s="101"/>
      <c r="I102" s="101"/>
      <c r="J102" s="101"/>
      <c r="K102" s="101"/>
      <c r="L102" s="101"/>
      <c r="M102" s="101"/>
      <c r="N102" s="101"/>
      <c r="O102" s="101"/>
      <c r="P102" s="101"/>
      <c r="Q102" s="392"/>
      <c r="R102" s="391"/>
      <c r="S102" s="101"/>
      <c r="T102" s="101"/>
      <c r="U102" s="101"/>
      <c r="V102" s="101"/>
      <c r="W102" s="101"/>
      <c r="X102" s="101"/>
      <c r="Y102" s="101"/>
      <c r="Z102" s="101"/>
      <c r="AA102" s="101"/>
      <c r="AB102" s="101"/>
      <c r="AC102" s="101"/>
      <c r="AD102" s="101"/>
      <c r="AE102" s="101"/>
      <c r="AF102" s="101"/>
      <c r="AG102" s="101"/>
      <c r="AH102" s="392"/>
      <c r="AI102" s="391"/>
      <c r="AJ102" s="101"/>
      <c r="AK102" s="101"/>
      <c r="AL102" s="101"/>
      <c r="AM102" s="101"/>
      <c r="AN102" s="101"/>
      <c r="AO102" s="101"/>
      <c r="AP102" s="101"/>
      <c r="AQ102" s="101"/>
      <c r="AR102" s="101"/>
      <c r="AS102" s="101"/>
      <c r="AT102" s="101"/>
      <c r="AU102" s="101"/>
      <c r="AV102" s="101"/>
      <c r="AW102" s="101"/>
      <c r="AX102" s="101"/>
      <c r="AY102" s="392"/>
    </row>
    <row r="103" spans="1:51">
      <c r="A103" s="391"/>
      <c r="B103" s="101"/>
      <c r="C103" s="101"/>
      <c r="D103" s="101"/>
      <c r="E103" s="101"/>
      <c r="F103" s="101"/>
      <c r="G103" s="101"/>
      <c r="H103" s="101"/>
      <c r="I103" s="101"/>
      <c r="J103" s="101"/>
      <c r="K103" s="101"/>
      <c r="L103" s="101"/>
      <c r="M103" s="101"/>
      <c r="N103" s="101"/>
      <c r="O103" s="101"/>
      <c r="P103" s="101"/>
      <c r="Q103" s="392"/>
      <c r="R103" s="391"/>
      <c r="S103" s="101"/>
      <c r="T103" s="101"/>
      <c r="U103" s="101"/>
      <c r="V103" s="101"/>
      <c r="W103" s="101"/>
      <c r="X103" s="101"/>
      <c r="Y103" s="101"/>
      <c r="Z103" s="101"/>
      <c r="AA103" s="101"/>
      <c r="AB103" s="101"/>
      <c r="AC103" s="101"/>
      <c r="AD103" s="101"/>
      <c r="AE103" s="101"/>
      <c r="AF103" s="101"/>
      <c r="AG103" s="101"/>
      <c r="AH103" s="392"/>
      <c r="AI103" s="391"/>
      <c r="AJ103" s="101"/>
      <c r="AK103" s="101"/>
      <c r="AL103" s="101"/>
      <c r="AM103" s="101"/>
      <c r="AN103" s="101"/>
      <c r="AO103" s="101"/>
      <c r="AP103" s="101"/>
      <c r="AQ103" s="101"/>
      <c r="AR103" s="101"/>
      <c r="AS103" s="101"/>
      <c r="AT103" s="101"/>
      <c r="AU103" s="101"/>
      <c r="AV103" s="101"/>
      <c r="AW103" s="101"/>
      <c r="AX103" s="101"/>
      <c r="AY103" s="392"/>
    </row>
    <row r="104" spans="1:51">
      <c r="A104" s="391"/>
      <c r="B104" s="101"/>
      <c r="C104" s="101"/>
      <c r="D104" s="101"/>
      <c r="E104" s="101"/>
      <c r="F104" s="101"/>
      <c r="G104" s="101"/>
      <c r="H104" s="101"/>
      <c r="I104" s="101"/>
      <c r="J104" s="101"/>
      <c r="K104" s="101"/>
      <c r="L104" s="101"/>
      <c r="M104" s="101"/>
      <c r="N104" s="101"/>
      <c r="O104" s="101"/>
      <c r="P104" s="101"/>
      <c r="Q104" s="392"/>
      <c r="R104" s="391"/>
      <c r="S104" s="101"/>
      <c r="T104" s="101"/>
      <c r="U104" s="101"/>
      <c r="V104" s="101"/>
      <c r="W104" s="101"/>
      <c r="X104" s="101"/>
      <c r="Y104" s="101"/>
      <c r="Z104" s="101"/>
      <c r="AA104" s="101"/>
      <c r="AB104" s="101"/>
      <c r="AC104" s="101"/>
      <c r="AD104" s="101"/>
      <c r="AE104" s="101"/>
      <c r="AF104" s="101"/>
      <c r="AG104" s="101"/>
      <c r="AH104" s="392"/>
      <c r="AI104" s="391"/>
      <c r="AJ104" s="101"/>
      <c r="AK104" s="101"/>
      <c r="AL104" s="101"/>
      <c r="AM104" s="101"/>
      <c r="AN104" s="101"/>
      <c r="AO104" s="101"/>
      <c r="AP104" s="101"/>
      <c r="AQ104" s="101"/>
      <c r="AR104" s="101"/>
      <c r="AS104" s="101"/>
      <c r="AT104" s="101"/>
      <c r="AU104" s="101"/>
      <c r="AV104" s="101"/>
      <c r="AW104" s="101"/>
      <c r="AX104" s="101"/>
      <c r="AY104" s="392"/>
    </row>
    <row r="105" spans="1:51">
      <c r="A105" s="391"/>
      <c r="B105" s="101"/>
      <c r="C105" s="101"/>
      <c r="D105" s="101"/>
      <c r="E105" s="101"/>
      <c r="F105" s="101"/>
      <c r="G105" s="101"/>
      <c r="H105" s="101"/>
      <c r="I105" s="101"/>
      <c r="J105" s="101"/>
      <c r="K105" s="101"/>
      <c r="L105" s="101"/>
      <c r="M105" s="101"/>
      <c r="N105" s="101"/>
      <c r="O105" s="101"/>
      <c r="P105" s="101"/>
      <c r="Q105" s="392"/>
      <c r="R105" s="391"/>
      <c r="S105" s="101"/>
      <c r="T105" s="101"/>
      <c r="U105" s="101"/>
      <c r="V105" s="101"/>
      <c r="W105" s="101"/>
      <c r="X105" s="101"/>
      <c r="Y105" s="101"/>
      <c r="Z105" s="101"/>
      <c r="AA105" s="101"/>
      <c r="AB105" s="101"/>
      <c r="AC105" s="101"/>
      <c r="AD105" s="101"/>
      <c r="AE105" s="101"/>
      <c r="AF105" s="101"/>
      <c r="AG105" s="101"/>
      <c r="AH105" s="392"/>
      <c r="AI105" s="391"/>
      <c r="AJ105" s="101"/>
      <c r="AK105" s="101"/>
      <c r="AL105" s="101"/>
      <c r="AM105" s="101"/>
      <c r="AN105" s="101"/>
      <c r="AO105" s="101"/>
      <c r="AP105" s="101"/>
      <c r="AQ105" s="101"/>
      <c r="AR105" s="101"/>
      <c r="AS105" s="101"/>
      <c r="AT105" s="101"/>
      <c r="AU105" s="101"/>
      <c r="AV105" s="101"/>
      <c r="AW105" s="101"/>
      <c r="AX105" s="101"/>
      <c r="AY105" s="392"/>
    </row>
    <row r="106" spans="1:51">
      <c r="A106" s="393"/>
      <c r="B106" s="394"/>
      <c r="C106" s="394"/>
      <c r="D106" s="394"/>
      <c r="E106" s="394"/>
      <c r="F106" s="394"/>
      <c r="G106" s="394"/>
      <c r="H106" s="394"/>
      <c r="I106" s="394"/>
      <c r="J106" s="394"/>
      <c r="K106" s="394"/>
      <c r="L106" s="394"/>
      <c r="M106" s="394"/>
      <c r="N106" s="394"/>
      <c r="O106" s="394"/>
      <c r="P106" s="394"/>
      <c r="Q106" s="395"/>
      <c r="R106" s="393"/>
      <c r="S106" s="394"/>
      <c r="T106" s="394"/>
      <c r="U106" s="394"/>
      <c r="V106" s="394"/>
      <c r="W106" s="394"/>
      <c r="X106" s="394"/>
      <c r="Y106" s="394"/>
      <c r="Z106" s="394"/>
      <c r="AA106" s="394"/>
      <c r="AB106" s="394"/>
      <c r="AC106" s="394"/>
      <c r="AD106" s="394"/>
      <c r="AE106" s="394"/>
      <c r="AF106" s="394"/>
      <c r="AG106" s="394"/>
      <c r="AH106" s="395"/>
      <c r="AI106" s="393"/>
      <c r="AJ106" s="394"/>
      <c r="AK106" s="394"/>
      <c r="AL106" s="394"/>
      <c r="AM106" s="394"/>
      <c r="AN106" s="394"/>
      <c r="AO106" s="394"/>
      <c r="AP106" s="394"/>
      <c r="AQ106" s="394"/>
      <c r="AR106" s="394"/>
      <c r="AS106" s="394"/>
      <c r="AT106" s="394"/>
      <c r="AU106" s="394"/>
      <c r="AV106" s="394"/>
      <c r="AW106" s="394"/>
      <c r="AX106" s="394"/>
      <c r="AY106" s="395"/>
    </row>
  </sheetData>
  <sheetProtection algorithmName="SHA-512" hashValue="8mZDpLtFwWNYwfSvUnsUnqYSOhp+9+KFNkVjGsgDZ1EB5MjFCMl5j/zKvXOdAKao7AnQ6KOUrhF6B9wGVGgVrQ==" saltValue="x7txiZ+Nd3HXqbj93kl7Tw==" spinCount="100000" sheet="1" scenarios="1"/>
  <protectedRanges>
    <protectedRange sqref="H11:I12 H13 Y11:Z12 Y13 AP11:AQ12 AP13 A14:AY34 H35:I36 H37 Y35:Z36 Y37 AP35:AQ36 AP37 A38:AY58 H59:I60 Y59:Z60 AP59:AQ60 H61 Y61 AP61 A62:AY82 H83:I84 H85 Y83:Z84 Y85" name="Range1"/>
  </protectedRanges>
  <mergeCells count="87">
    <mergeCell ref="R61:X61"/>
    <mergeCell ref="Y61:AH61"/>
    <mergeCell ref="AI61:AO61"/>
    <mergeCell ref="A35:G35"/>
    <mergeCell ref="H35:I35"/>
    <mergeCell ref="J35:Q36"/>
    <mergeCell ref="A36:G36"/>
    <mergeCell ref="A61:G61"/>
    <mergeCell ref="H61:Q61"/>
    <mergeCell ref="A37:G37"/>
    <mergeCell ref="H37:Q37"/>
    <mergeCell ref="R37:X37"/>
    <mergeCell ref="Y37:AH37"/>
    <mergeCell ref="AI37:AO37"/>
    <mergeCell ref="AI83:AO83"/>
    <mergeCell ref="AP83:AQ83"/>
    <mergeCell ref="AI84:AO84"/>
    <mergeCell ref="AP84:AQ84"/>
    <mergeCell ref="Y13:AH13"/>
    <mergeCell ref="AI13:AO13"/>
    <mergeCell ref="AP13:AY13"/>
    <mergeCell ref="AP37:AY37"/>
    <mergeCell ref="AR35:AY36"/>
    <mergeCell ref="AI36:AO36"/>
    <mergeCell ref="AP36:AQ36"/>
    <mergeCell ref="R83:X83"/>
    <mergeCell ref="Y83:Z83"/>
    <mergeCell ref="AA83:AH84"/>
    <mergeCell ref="R84:X84"/>
    <mergeCell ref="Y84:Z84"/>
    <mergeCell ref="A83:G83"/>
    <mergeCell ref="H83:I83"/>
    <mergeCell ref="J83:Q84"/>
    <mergeCell ref="A84:G84"/>
    <mergeCell ref="H84:I84"/>
    <mergeCell ref="A59:G59"/>
    <mergeCell ref="H59:I59"/>
    <mergeCell ref="J59:Q60"/>
    <mergeCell ref="A60:G60"/>
    <mergeCell ref="H60:I60"/>
    <mergeCell ref="R59:X59"/>
    <mergeCell ref="Y59:Z59"/>
    <mergeCell ref="AA59:AH60"/>
    <mergeCell ref="R60:X60"/>
    <mergeCell ref="Y60:Z60"/>
    <mergeCell ref="Y36:Z36"/>
    <mergeCell ref="AI59:AO59"/>
    <mergeCell ref="AP59:AQ59"/>
    <mergeCell ref="AR59:AY60"/>
    <mergeCell ref="AP11:AQ11"/>
    <mergeCell ref="AR11:AY12"/>
    <mergeCell ref="AI12:AO12"/>
    <mergeCell ref="AP12:AQ12"/>
    <mergeCell ref="AI35:AO35"/>
    <mergeCell ref="AP35:AQ35"/>
    <mergeCell ref="AI60:AO60"/>
    <mergeCell ref="AP60:AQ60"/>
    <mergeCell ref="A1:Q1"/>
    <mergeCell ref="D3:I3"/>
    <mergeCell ref="N3:Q3"/>
    <mergeCell ref="J11:Q12"/>
    <mergeCell ref="A11:G11"/>
    <mergeCell ref="A12:G12"/>
    <mergeCell ref="H11:I11"/>
    <mergeCell ref="H12:I12"/>
    <mergeCell ref="H13:Q13"/>
    <mergeCell ref="A13:G13"/>
    <mergeCell ref="R13:X13"/>
    <mergeCell ref="AI11:AO11"/>
    <mergeCell ref="AR83:AY84"/>
    <mergeCell ref="AP61:AY61"/>
    <mergeCell ref="R11:X11"/>
    <mergeCell ref="Y11:Z11"/>
    <mergeCell ref="AA11:AH12"/>
    <mergeCell ref="R12:X12"/>
    <mergeCell ref="Y12:Z12"/>
    <mergeCell ref="H36:I36"/>
    <mergeCell ref="R35:X35"/>
    <mergeCell ref="Y35:Z35"/>
    <mergeCell ref="AA35:AH36"/>
    <mergeCell ref="R36:X36"/>
    <mergeCell ref="Y85:AH85"/>
    <mergeCell ref="AI85:AO85"/>
    <mergeCell ref="AP85:AY85"/>
    <mergeCell ref="A85:G85"/>
    <mergeCell ref="H85:Q85"/>
    <mergeCell ref="R85:X85"/>
  </mergeCells>
  <conditionalFormatting sqref="J11">
    <cfRule type="expression" dxfId="48" priority="104">
      <formula>J11="--&gt; Do not have to follow T10."</formula>
    </cfRule>
    <cfRule type="expression" dxfId="47" priority="105">
      <formula>J11="--&gt; Must follow T10 with exception of T10.1.2."</formula>
    </cfRule>
    <cfRule type="expression" dxfId="46" priority="106">
      <formula>J11="--&gt; Must follow T10 completely in any case."</formula>
    </cfRule>
  </conditionalFormatting>
  <conditionalFormatting sqref="J35">
    <cfRule type="expression" dxfId="45" priority="25">
      <formula>J35="--&gt; Do not have to follow T10."</formula>
    </cfRule>
    <cfRule type="expression" dxfId="44" priority="26">
      <formula>J35="--&gt; Must follow T10 with exception of T10.1.2."</formula>
    </cfRule>
    <cfRule type="expression" dxfId="43" priority="27">
      <formula>J35="--&gt; Must follow T10 completely in any case."</formula>
    </cfRule>
  </conditionalFormatting>
  <conditionalFormatting sqref="J59">
    <cfRule type="expression" dxfId="42" priority="16">
      <formula>J59="--&gt; Do not have to follow T10."</formula>
    </cfRule>
    <cfRule type="expression" dxfId="41" priority="17">
      <formula>J59="--&gt; Must follow T10 with exception of T10.1.2."</formula>
    </cfRule>
    <cfRule type="expression" dxfId="40" priority="18">
      <formula>J59="--&gt; Must follow T10 completely in any case."</formula>
    </cfRule>
  </conditionalFormatting>
  <conditionalFormatting sqref="J83">
    <cfRule type="expression" dxfId="39" priority="7">
      <formula>J83="--&gt; Do not have to follow T10."</formula>
    </cfRule>
    <cfRule type="expression" dxfId="38" priority="8">
      <formula>J83="--&gt; Must follow T10 with exception of T10.1.2."</formula>
    </cfRule>
    <cfRule type="expression" dxfId="37" priority="9">
      <formula>J83="--&gt; Must follow T10 completely in any case."</formula>
    </cfRule>
  </conditionalFormatting>
  <conditionalFormatting sqref="AA11">
    <cfRule type="expression" dxfId="36" priority="31">
      <formula>AA11="--&gt; Do not have to follow T10."</formula>
    </cfRule>
    <cfRule type="expression" dxfId="35" priority="32">
      <formula>AA11="--&gt; Must follow T10 with exception of T10.1.2."</formula>
    </cfRule>
    <cfRule type="expression" dxfId="34" priority="33">
      <formula>AA11="--&gt; Must follow T10 completely in any case."</formula>
    </cfRule>
  </conditionalFormatting>
  <conditionalFormatting sqref="AA35">
    <cfRule type="expression" dxfId="33" priority="22">
      <formula>AA35="--&gt; Do not have to follow T10."</formula>
    </cfRule>
    <cfRule type="expression" dxfId="32" priority="23">
      <formula>AA35="--&gt; Must follow T10 with exception of T10.1.2."</formula>
    </cfRule>
    <cfRule type="expression" dxfId="31" priority="24">
      <formula>AA35="--&gt; Must follow T10 completely in any case."</formula>
    </cfRule>
  </conditionalFormatting>
  <conditionalFormatting sqref="AA59">
    <cfRule type="expression" dxfId="30" priority="13">
      <formula>AA59="--&gt; Do not have to follow T10."</formula>
    </cfRule>
    <cfRule type="expression" dxfId="29" priority="14">
      <formula>AA59="--&gt; Must follow T10 with exception of T10.1.2."</formula>
    </cfRule>
    <cfRule type="expression" dxfId="28" priority="15">
      <formula>AA59="--&gt; Must follow T10 completely in any case."</formula>
    </cfRule>
  </conditionalFormatting>
  <conditionalFormatting sqref="AA83">
    <cfRule type="expression" dxfId="27" priority="4">
      <formula>AA83="--&gt; Do not have to follow T10."</formula>
    </cfRule>
    <cfRule type="expression" dxfId="26" priority="5">
      <formula>AA83="--&gt; Must follow T10 with exception of T10.1.2."</formula>
    </cfRule>
    <cfRule type="expression" dxfId="25" priority="6">
      <formula>AA83="--&gt; Must follow T10 completely in any case."</formula>
    </cfRule>
  </conditionalFormatting>
  <conditionalFormatting sqref="AR11">
    <cfRule type="expression" dxfId="24" priority="28">
      <formula>AR11="--&gt; Do not have to follow T10."</formula>
    </cfRule>
    <cfRule type="expression" dxfId="23" priority="29">
      <formula>AR11="--&gt; Must follow T10 with exception of T10.1.2."</formula>
    </cfRule>
    <cfRule type="expression" dxfId="22" priority="30">
      <formula>AR11="--&gt; Must follow T10 completely in any case."</formula>
    </cfRule>
  </conditionalFormatting>
  <conditionalFormatting sqref="AR35">
    <cfRule type="expression" dxfId="21" priority="19">
      <formula>AR35="--&gt; Do not have to follow T10."</formula>
    </cfRule>
    <cfRule type="expression" dxfId="20" priority="20">
      <formula>AR35="--&gt; Must follow T10 with exception of T10.1.2."</formula>
    </cfRule>
    <cfRule type="expression" dxfId="19" priority="21">
      <formula>AR35="--&gt; Must follow T10 completely in any case."</formula>
    </cfRule>
  </conditionalFormatting>
  <conditionalFormatting sqref="AR59">
    <cfRule type="expression" dxfId="18" priority="10">
      <formula>AR59="--&gt; Do not have to follow T10."</formula>
    </cfRule>
    <cfRule type="expression" dxfId="17" priority="11">
      <formula>AR59="--&gt; Must follow T10 with exception of T10.1.2."</formula>
    </cfRule>
    <cfRule type="expression" dxfId="16" priority="12">
      <formula>AR59="--&gt; Must follow T10 completely in any case."</formula>
    </cfRule>
  </conditionalFormatting>
  <conditionalFormatting sqref="AR83">
    <cfRule type="expression" dxfId="15" priority="1">
      <formula>AR83="--&gt; Do not have to follow T10."</formula>
    </cfRule>
    <cfRule type="expression" dxfId="14" priority="2">
      <formula>AR83="--&gt; Must follow T10 with exception of T10.1.2."</formula>
    </cfRule>
    <cfRule type="expression" dxfId="13" priority="3">
      <formula>AR83="--&gt; Must follow T10 completely in any case."</formula>
    </cfRule>
  </conditionalFormatting>
  <dataValidations count="1">
    <dataValidation type="list" allowBlank="1" showInputMessage="1" showErrorMessage="1" sqref="AF2:AG2 AF6 F10:G10 Y59:Z60 Y11:Z12 H59:I60 H11:I12 Y35:Z36 AP59:AQ60 AP11:AQ12 H35:I36 AP35:AQ36 Y83:Z84 H83:I84 AP83:AQ84" xr:uid="{5159E11C-076C-4878-ADCF-43EA9149573A}">
      <formula1>"Yes,No"</formula1>
    </dataValidation>
  </dataValidations>
  <hyperlinks>
    <hyperlink ref="M10" location="'Cover Sheet'!A1" display="BACK to COVER SHEET" xr:uid="{8EE1D599-36DE-4E83-B118-DB0021692E8E}"/>
  </hyperlinks>
  <pageMargins left="0.7" right="0.7" top="0.78740157499999996" bottom="0.78740157499999996"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5D78F-D77B-4A3D-8E03-82CAA8AEEEAE}">
  <sheetPr codeName="Sheet14">
    <tabColor rgb="FF92D050"/>
  </sheetPr>
  <dimension ref="A1:BX71"/>
  <sheetViews>
    <sheetView showGridLines="0" view="pageBreakPreview" zoomScaleNormal="100" zoomScaleSheetLayoutView="100" workbookViewId="0">
      <selection sqref="A1:S1"/>
    </sheetView>
  </sheetViews>
  <sheetFormatPr defaultColWidth="11.42578125" defaultRowHeight="12.75"/>
  <cols>
    <col min="1" max="17" width="5" customWidth="1"/>
    <col min="18" max="19" width="5.5703125" customWidth="1"/>
    <col min="20" max="22" width="5" customWidth="1"/>
    <col min="23" max="23" width="5" style="183" customWidth="1"/>
    <col min="24" max="76" width="5" customWidth="1"/>
  </cols>
  <sheetData>
    <row r="1" spans="1:76">
      <c r="A1" s="561" t="str">
        <f>CONCATENATE(Read_Me!A1," FS ASES ",Read_Me!B1," - EV5.5.14-18 Openings&amp;Separation")</f>
        <v>2026 FS ASES V1.0 - EV5.5.14-18 Openings&amp;Separation</v>
      </c>
      <c r="B1" s="561"/>
      <c r="C1" s="561"/>
      <c r="D1" s="561"/>
      <c r="E1" s="561"/>
      <c r="F1" s="561"/>
      <c r="G1" s="561"/>
      <c r="H1" s="561"/>
      <c r="I1" s="561"/>
      <c r="J1" s="561"/>
      <c r="K1" s="561"/>
      <c r="L1" s="561"/>
      <c r="M1" s="561"/>
      <c r="N1" s="561"/>
      <c r="O1" s="561"/>
      <c r="P1" s="561"/>
      <c r="Q1" s="561"/>
      <c r="R1" s="561"/>
      <c r="S1" s="863"/>
      <c r="T1" s="146"/>
      <c r="U1" s="108"/>
      <c r="V1" s="108"/>
      <c r="W1" s="184"/>
      <c r="X1" s="108"/>
      <c r="Y1" s="108"/>
      <c r="Z1" s="108"/>
      <c r="AA1" s="108"/>
      <c r="AB1" s="108"/>
      <c r="AC1" s="108"/>
      <c r="AD1" s="108"/>
      <c r="AE1" s="108"/>
      <c r="AF1" s="9"/>
      <c r="AG1" s="9"/>
      <c r="AH1" s="9"/>
      <c r="AI1" s="9"/>
      <c r="AJ1" s="9"/>
      <c r="AK1" s="9"/>
      <c r="AL1" s="10"/>
      <c r="AM1" s="146"/>
      <c r="AN1" s="108"/>
      <c r="AO1" s="108"/>
      <c r="AP1" s="184"/>
      <c r="AQ1" s="108"/>
      <c r="AR1" s="108"/>
      <c r="AS1" s="108"/>
      <c r="AT1" s="108"/>
      <c r="AU1" s="108"/>
      <c r="AV1" s="108"/>
      <c r="AW1" s="108"/>
      <c r="AX1" s="108"/>
      <c r="AY1" s="9"/>
      <c r="AZ1" s="9"/>
      <c r="BA1" s="9"/>
      <c r="BB1" s="9"/>
      <c r="BC1" s="9"/>
      <c r="BD1" s="9"/>
      <c r="BE1" s="10"/>
      <c r="BF1" s="146"/>
      <c r="BG1" s="108"/>
      <c r="BH1" s="108"/>
      <c r="BI1" s="184"/>
      <c r="BJ1" s="108"/>
      <c r="BK1" s="108"/>
      <c r="BL1" s="108"/>
      <c r="BM1" s="108"/>
      <c r="BN1" s="108"/>
      <c r="BO1" s="108"/>
      <c r="BP1" s="108"/>
      <c r="BQ1" s="108"/>
      <c r="BR1" s="9"/>
      <c r="BS1" s="9"/>
      <c r="BT1" s="9"/>
      <c r="BU1" s="9"/>
      <c r="BV1" s="9"/>
      <c r="BW1" s="9"/>
      <c r="BX1" s="10"/>
    </row>
    <row r="2" spans="1:76">
      <c r="A2" s="169"/>
      <c r="B2" s="55"/>
      <c r="C2" s="55"/>
      <c r="D2" s="55"/>
      <c r="E2" s="55"/>
      <c r="F2" s="55"/>
      <c r="G2" s="55"/>
      <c r="H2" s="55"/>
      <c r="I2" s="55"/>
      <c r="J2" s="55"/>
      <c r="K2" s="55"/>
      <c r="L2" s="55"/>
      <c r="M2" s="55"/>
      <c r="N2" s="55"/>
      <c r="O2" s="55"/>
      <c r="P2" s="55"/>
      <c r="Q2" s="55"/>
      <c r="R2" s="55"/>
      <c r="S2" s="170"/>
      <c r="T2" s="147"/>
      <c r="U2" s="81"/>
      <c r="V2" s="81"/>
      <c r="W2" s="148"/>
      <c r="X2" s="81"/>
      <c r="Y2" s="81"/>
      <c r="Z2" s="81"/>
      <c r="AA2" s="81"/>
      <c r="AB2" s="81"/>
      <c r="AC2" s="81"/>
      <c r="AD2" s="81"/>
      <c r="AE2" s="81"/>
      <c r="AF2" s="12"/>
      <c r="AG2" s="12"/>
      <c r="AH2" s="12"/>
      <c r="AI2" s="12"/>
      <c r="AJ2" s="12"/>
      <c r="AK2" s="12"/>
      <c r="AL2" s="13"/>
      <c r="AM2" s="147"/>
      <c r="AN2" s="81"/>
      <c r="AO2" s="81"/>
      <c r="AP2" s="148"/>
      <c r="AQ2" s="81"/>
      <c r="AR2" s="81"/>
      <c r="AS2" s="81"/>
      <c r="AT2" s="81"/>
      <c r="AU2" s="81"/>
      <c r="AV2" s="81"/>
      <c r="AW2" s="81"/>
      <c r="AX2" s="81"/>
      <c r="AY2" s="12"/>
      <c r="AZ2" s="12"/>
      <c r="BA2" s="12"/>
      <c r="BB2" s="12"/>
      <c r="BC2" s="12"/>
      <c r="BD2" s="12"/>
      <c r="BE2" s="13"/>
      <c r="BF2" s="147"/>
      <c r="BG2" s="81"/>
      <c r="BH2" s="81"/>
      <c r="BI2" s="148"/>
      <c r="BJ2" s="81"/>
      <c r="BK2" s="81"/>
      <c r="BL2" s="81"/>
      <c r="BM2" s="81"/>
      <c r="BN2" s="81"/>
      <c r="BO2" s="81"/>
      <c r="BP2" s="81"/>
      <c r="BQ2" s="81"/>
      <c r="BR2" s="12"/>
      <c r="BS2" s="12"/>
      <c r="BT2" s="12"/>
      <c r="BU2" s="12"/>
      <c r="BV2" s="12"/>
      <c r="BW2" s="12"/>
      <c r="BX2" s="13"/>
    </row>
    <row r="3" spans="1:76" ht="12.75" customHeight="1">
      <c r="B3" s="849"/>
      <c r="C3" s="849"/>
      <c r="D3" s="849"/>
      <c r="E3" s="852" t="s">
        <v>330</v>
      </c>
      <c r="F3" s="853"/>
      <c r="G3" s="852" t="s">
        <v>331</v>
      </c>
      <c r="H3" s="865"/>
      <c r="I3" s="854" t="s">
        <v>384</v>
      </c>
      <c r="J3" s="860"/>
      <c r="K3" s="854" t="s">
        <v>385</v>
      </c>
      <c r="L3" s="855"/>
      <c r="M3" s="856"/>
      <c r="N3" s="3"/>
      <c r="O3" s="3"/>
      <c r="P3" s="171"/>
      <c r="Q3" s="172"/>
      <c r="R3" s="172"/>
      <c r="S3" s="170"/>
      <c r="T3" s="147"/>
      <c r="U3" s="81"/>
      <c r="V3" s="81"/>
      <c r="W3" s="148"/>
      <c r="X3" s="81"/>
      <c r="Y3" s="81"/>
      <c r="Z3" s="81"/>
      <c r="AA3" s="81"/>
      <c r="AB3" s="81"/>
      <c r="AC3" s="81"/>
      <c r="AD3" s="81"/>
      <c r="AE3" s="81"/>
      <c r="AF3" s="12"/>
      <c r="AG3" s="12"/>
      <c r="AH3" s="12"/>
      <c r="AI3" s="12"/>
      <c r="AJ3" s="12"/>
      <c r="AK3" s="12"/>
      <c r="AL3" s="13"/>
      <c r="AM3" s="147"/>
      <c r="AN3" s="81"/>
      <c r="AO3" s="81"/>
      <c r="AP3" s="148"/>
      <c r="AQ3" s="81"/>
      <c r="AR3" s="81"/>
      <c r="AS3" s="81"/>
      <c r="AT3" s="81"/>
      <c r="AU3" s="81"/>
      <c r="AV3" s="81"/>
      <c r="AW3" s="81"/>
      <c r="AX3" s="81"/>
      <c r="AY3" s="12"/>
      <c r="AZ3" s="12"/>
      <c r="BA3" s="12"/>
      <c r="BB3" s="12"/>
      <c r="BC3" s="12"/>
      <c r="BD3" s="12"/>
      <c r="BE3" s="13"/>
      <c r="BF3" s="147"/>
      <c r="BG3" s="81"/>
      <c r="BH3" s="81"/>
      <c r="BI3" s="148"/>
      <c r="BJ3" s="81"/>
      <c r="BK3" s="81"/>
      <c r="BL3" s="81"/>
      <c r="BM3" s="81"/>
      <c r="BN3" s="81"/>
      <c r="BO3" s="81"/>
      <c r="BP3" s="81"/>
      <c r="BQ3" s="81"/>
      <c r="BR3" s="12"/>
      <c r="BS3" s="12"/>
      <c r="BT3" s="12"/>
      <c r="BU3" s="12"/>
      <c r="BV3" s="12"/>
      <c r="BW3" s="12"/>
      <c r="BX3" s="13"/>
    </row>
    <row r="4" spans="1:76">
      <c r="B4" s="849"/>
      <c r="C4" s="849"/>
      <c r="D4" s="849"/>
      <c r="E4" s="853"/>
      <c r="F4" s="853"/>
      <c r="G4" s="853"/>
      <c r="H4" s="865"/>
      <c r="I4" s="861"/>
      <c r="J4" s="862"/>
      <c r="K4" s="857"/>
      <c r="L4" s="858"/>
      <c r="M4" s="859"/>
      <c r="N4" s="3"/>
      <c r="O4" s="3"/>
      <c r="P4" s="172"/>
      <c r="Q4" s="172"/>
      <c r="R4" s="172"/>
      <c r="S4" s="170"/>
      <c r="T4" s="147"/>
      <c r="U4" s="81"/>
      <c r="V4" s="81"/>
      <c r="W4" s="148"/>
      <c r="X4" s="81"/>
      <c r="Y4" s="81"/>
      <c r="Z4" s="81"/>
      <c r="AA4" s="81"/>
      <c r="AB4" s="81"/>
      <c r="AC4" s="81"/>
      <c r="AD4" s="81"/>
      <c r="AE4" s="81"/>
      <c r="AF4" s="12"/>
      <c r="AG4" s="12"/>
      <c r="AH4" s="12"/>
      <c r="AI4" s="12"/>
      <c r="AJ4" s="12"/>
      <c r="AK4" s="12"/>
      <c r="AL4" s="13"/>
      <c r="AM4" s="147"/>
      <c r="AN4" s="81"/>
      <c r="AO4" s="81"/>
      <c r="AP4" s="148"/>
      <c r="AQ4" s="81"/>
      <c r="AR4" s="81"/>
      <c r="AS4" s="81"/>
      <c r="AT4" s="81"/>
      <c r="AU4" s="81"/>
      <c r="AV4" s="81"/>
      <c r="AW4" s="81"/>
      <c r="AX4" s="81"/>
      <c r="AY4" s="12"/>
      <c r="AZ4" s="12"/>
      <c r="BA4" s="12"/>
      <c r="BB4" s="12"/>
      <c r="BC4" s="12"/>
      <c r="BD4" s="12"/>
      <c r="BE4" s="13"/>
      <c r="BF4" s="147"/>
      <c r="BG4" s="81"/>
      <c r="BH4" s="81"/>
      <c r="BI4" s="148"/>
      <c r="BJ4" s="81"/>
      <c r="BK4" s="81"/>
      <c r="BL4" s="81"/>
      <c r="BM4" s="81"/>
      <c r="BN4" s="81"/>
      <c r="BO4" s="81"/>
      <c r="BP4" s="81"/>
      <c r="BQ4" s="81"/>
      <c r="BR4" s="12"/>
      <c r="BS4" s="12"/>
      <c r="BT4" s="12"/>
      <c r="BU4" s="12"/>
      <c r="BV4" s="12"/>
      <c r="BW4" s="12"/>
      <c r="BX4" s="13"/>
    </row>
    <row r="5" spans="1:76">
      <c r="B5" s="849" t="s">
        <v>325</v>
      </c>
      <c r="C5" s="849"/>
      <c r="D5" s="849"/>
      <c r="E5" s="850"/>
      <c r="F5" s="850"/>
      <c r="G5" s="850"/>
      <c r="H5" s="850"/>
      <c r="I5" s="866"/>
      <c r="J5" s="867"/>
      <c r="K5" s="851" t="s">
        <v>37</v>
      </c>
      <c r="L5" s="851"/>
      <c r="M5" s="851"/>
      <c r="N5" s="3"/>
      <c r="O5" s="3"/>
      <c r="P5" s="173"/>
      <c r="Q5" s="174"/>
      <c r="S5" s="170"/>
      <c r="T5" s="147"/>
      <c r="U5" s="81"/>
      <c r="V5" s="81"/>
      <c r="W5" s="148"/>
      <c r="X5" s="81"/>
      <c r="Y5" s="81"/>
      <c r="Z5" s="81"/>
      <c r="AA5" s="81"/>
      <c r="AB5" s="81"/>
      <c r="AC5" s="81"/>
      <c r="AD5" s="81"/>
      <c r="AE5" s="81"/>
      <c r="AF5" s="12"/>
      <c r="AG5" s="12"/>
      <c r="AH5" s="12"/>
      <c r="AI5" s="12"/>
      <c r="AJ5" s="12"/>
      <c r="AK5" s="12"/>
      <c r="AL5" s="13"/>
      <c r="AM5" s="147"/>
      <c r="AN5" s="81"/>
      <c r="AO5" s="81"/>
      <c r="AP5" s="148"/>
      <c r="AQ5" s="81"/>
      <c r="AR5" s="81"/>
      <c r="AS5" s="81"/>
      <c r="AT5" s="81"/>
      <c r="AU5" s="81"/>
      <c r="AV5" s="81"/>
      <c r="AW5" s="81"/>
      <c r="AX5" s="81"/>
      <c r="AY5" s="12"/>
      <c r="AZ5" s="12"/>
      <c r="BA5" s="12"/>
      <c r="BB5" s="12"/>
      <c r="BC5" s="12"/>
      <c r="BD5" s="12"/>
      <c r="BE5" s="13"/>
      <c r="BF5" s="147"/>
      <c r="BG5" s="81"/>
      <c r="BH5" s="81"/>
      <c r="BI5" s="148"/>
      <c r="BJ5" s="81"/>
      <c r="BK5" s="81"/>
      <c r="BL5" s="81"/>
      <c r="BM5" s="81"/>
      <c r="BN5" s="81"/>
      <c r="BO5" s="81"/>
      <c r="BP5" s="81"/>
      <c r="BQ5" s="81"/>
      <c r="BR5" s="12"/>
      <c r="BS5" s="12"/>
      <c r="BT5" s="12"/>
      <c r="BU5" s="12"/>
      <c r="BV5" s="12"/>
      <c r="BW5" s="12"/>
      <c r="BX5" s="13"/>
    </row>
    <row r="6" spans="1:76">
      <c r="B6" s="849" t="s">
        <v>326</v>
      </c>
      <c r="C6" s="849"/>
      <c r="D6" s="849"/>
      <c r="E6" s="850"/>
      <c r="F6" s="850"/>
      <c r="G6" s="850"/>
      <c r="H6" s="850"/>
      <c r="I6" s="866"/>
      <c r="J6" s="867"/>
      <c r="K6" s="851" t="s">
        <v>37</v>
      </c>
      <c r="L6" s="851"/>
      <c r="M6" s="851"/>
      <c r="N6" s="3"/>
      <c r="O6" s="3"/>
      <c r="P6" s="173"/>
      <c r="Q6" s="174"/>
      <c r="S6" s="170"/>
      <c r="T6" s="147"/>
      <c r="U6" s="81"/>
      <c r="V6" s="81"/>
      <c r="W6" s="148"/>
      <c r="X6" s="81"/>
      <c r="Y6" s="81"/>
      <c r="Z6" s="81"/>
      <c r="AA6" s="81"/>
      <c r="AB6" s="81"/>
      <c r="AC6" s="81"/>
      <c r="AD6" s="81"/>
      <c r="AE6" s="81"/>
      <c r="AF6" s="12"/>
      <c r="AG6" s="12"/>
      <c r="AH6" s="12"/>
      <c r="AI6" s="12"/>
      <c r="AJ6" s="12"/>
      <c r="AK6" s="12"/>
      <c r="AL6" s="13"/>
      <c r="AM6" s="147"/>
      <c r="AN6" s="81"/>
      <c r="AO6" s="81"/>
      <c r="AP6" s="148"/>
      <c r="AQ6" s="81"/>
      <c r="AR6" s="81"/>
      <c r="AS6" s="81"/>
      <c r="AT6" s="81"/>
      <c r="AU6" s="81"/>
      <c r="AV6" s="81"/>
      <c r="AW6" s="81"/>
      <c r="AX6" s="81"/>
      <c r="AY6" s="12"/>
      <c r="AZ6" s="12"/>
      <c r="BA6" s="12"/>
      <c r="BB6" s="12"/>
      <c r="BC6" s="12"/>
      <c r="BD6" s="12"/>
      <c r="BE6" s="13"/>
      <c r="BF6" s="147"/>
      <c r="BG6" s="81"/>
      <c r="BH6" s="81"/>
      <c r="BI6" s="148"/>
      <c r="BJ6" s="81"/>
      <c r="BK6" s="81"/>
      <c r="BL6" s="81"/>
      <c r="BM6" s="81"/>
      <c r="BN6" s="81"/>
      <c r="BO6" s="81"/>
      <c r="BP6" s="81"/>
      <c r="BQ6" s="81"/>
      <c r="BR6" s="12"/>
      <c r="BS6" s="12"/>
      <c r="BT6" s="12"/>
      <c r="BU6" s="12"/>
      <c r="BV6" s="12"/>
      <c r="BW6" s="12"/>
      <c r="BX6" s="13"/>
    </row>
    <row r="7" spans="1:76">
      <c r="B7" s="849" t="s">
        <v>327</v>
      </c>
      <c r="C7" s="849"/>
      <c r="D7" s="849"/>
      <c r="E7" s="850"/>
      <c r="F7" s="850"/>
      <c r="G7" s="850"/>
      <c r="H7" s="850"/>
      <c r="I7" s="866"/>
      <c r="J7" s="867"/>
      <c r="K7" s="851" t="s">
        <v>37</v>
      </c>
      <c r="L7" s="851"/>
      <c r="M7" s="851"/>
      <c r="N7" s="3"/>
      <c r="O7" s="3"/>
      <c r="P7" s="173"/>
      <c r="Q7" s="174"/>
      <c r="S7" s="170"/>
      <c r="T7" s="147"/>
      <c r="U7" s="81"/>
      <c r="V7" s="81"/>
      <c r="W7" s="148"/>
      <c r="X7" s="81"/>
      <c r="Y7" s="81"/>
      <c r="Z7" s="81"/>
      <c r="AA7" s="81"/>
      <c r="AB7" s="81"/>
      <c r="AC7" s="81"/>
      <c r="AD7" s="81"/>
      <c r="AE7" s="81"/>
      <c r="AF7" s="12"/>
      <c r="AG7" s="12"/>
      <c r="AH7" s="12"/>
      <c r="AI7" s="12"/>
      <c r="AJ7" s="12"/>
      <c r="AK7" s="12"/>
      <c r="AL7" s="13"/>
      <c r="AM7" s="147"/>
      <c r="AN7" s="81"/>
      <c r="AO7" s="81"/>
      <c r="AP7" s="148"/>
      <c r="AQ7" s="81"/>
      <c r="AR7" s="81"/>
      <c r="AS7" s="81"/>
      <c r="AT7" s="81"/>
      <c r="AU7" s="81"/>
      <c r="AV7" s="81"/>
      <c r="AW7" s="81"/>
      <c r="AX7" s="81"/>
      <c r="AY7" s="12"/>
      <c r="AZ7" s="12"/>
      <c r="BA7" s="12"/>
      <c r="BB7" s="12"/>
      <c r="BC7" s="12"/>
      <c r="BD7" s="12"/>
      <c r="BE7" s="13"/>
      <c r="BF7" s="147"/>
      <c r="BG7" s="81"/>
      <c r="BH7" s="81"/>
      <c r="BI7" s="148"/>
      <c r="BJ7" s="81"/>
      <c r="BK7" s="81"/>
      <c r="BL7" s="81"/>
      <c r="BM7" s="81"/>
      <c r="BN7" s="81"/>
      <c r="BO7" s="81"/>
      <c r="BP7" s="81"/>
      <c r="BQ7" s="81"/>
      <c r="BR7" s="12"/>
      <c r="BS7" s="12"/>
      <c r="BT7" s="12"/>
      <c r="BU7" s="12"/>
      <c r="BV7" s="12"/>
      <c r="BW7" s="12"/>
      <c r="BX7" s="13"/>
    </row>
    <row r="8" spans="1:76">
      <c r="B8" s="849" t="s">
        <v>328</v>
      </c>
      <c r="C8" s="849"/>
      <c r="D8" s="849"/>
      <c r="E8" s="850"/>
      <c r="F8" s="850"/>
      <c r="G8" s="850"/>
      <c r="H8" s="850"/>
      <c r="I8" s="866"/>
      <c r="J8" s="867"/>
      <c r="K8" s="851" t="s">
        <v>37</v>
      </c>
      <c r="L8" s="851"/>
      <c r="M8" s="851"/>
      <c r="N8" s="3"/>
      <c r="O8" s="3"/>
      <c r="P8" s="173"/>
      <c r="Q8" s="174"/>
      <c r="S8" s="170"/>
      <c r="T8" s="147"/>
      <c r="U8" s="81"/>
      <c r="V8" s="81"/>
      <c r="W8" s="148"/>
      <c r="X8" s="81"/>
      <c r="Y8" s="81"/>
      <c r="Z8" s="81"/>
      <c r="AA8" s="81"/>
      <c r="AB8" s="81"/>
      <c r="AC8" s="81"/>
      <c r="AD8" s="81"/>
      <c r="AE8" s="81"/>
      <c r="AF8" s="12"/>
      <c r="AG8" s="12"/>
      <c r="AH8" s="12"/>
      <c r="AI8" s="12"/>
      <c r="AJ8" s="12"/>
      <c r="AK8" s="12"/>
      <c r="AL8" s="13"/>
      <c r="AM8" s="147"/>
      <c r="AN8" s="81"/>
      <c r="AO8" s="81"/>
      <c r="AP8" s="148"/>
      <c r="AQ8" s="81"/>
      <c r="AR8" s="81"/>
      <c r="AS8" s="81"/>
      <c r="AT8" s="81"/>
      <c r="AU8" s="81"/>
      <c r="AV8" s="81"/>
      <c r="AW8" s="81"/>
      <c r="AX8" s="81"/>
      <c r="AY8" s="12"/>
      <c r="AZ8" s="12"/>
      <c r="BA8" s="12"/>
      <c r="BB8" s="12"/>
      <c r="BC8" s="12"/>
      <c r="BD8" s="12"/>
      <c r="BE8" s="13"/>
      <c r="BF8" s="147"/>
      <c r="BG8" s="81"/>
      <c r="BH8" s="81"/>
      <c r="BI8" s="148"/>
      <c r="BJ8" s="81"/>
      <c r="BK8" s="81"/>
      <c r="BL8" s="81"/>
      <c r="BM8" s="81"/>
      <c r="BN8" s="81"/>
      <c r="BO8" s="81"/>
      <c r="BP8" s="81"/>
      <c r="BQ8" s="81"/>
      <c r="BR8" s="12"/>
      <c r="BS8" s="12"/>
      <c r="BT8" s="12"/>
      <c r="BU8" s="12"/>
      <c r="BV8" s="12"/>
      <c r="BW8" s="12"/>
      <c r="BX8" s="13"/>
    </row>
    <row r="9" spans="1:76">
      <c r="B9" s="849" t="s">
        <v>329</v>
      </c>
      <c r="C9" s="849"/>
      <c r="D9" s="849"/>
      <c r="E9" s="850"/>
      <c r="F9" s="850"/>
      <c r="G9" s="850"/>
      <c r="H9" s="850"/>
      <c r="I9" s="866"/>
      <c r="J9" s="867"/>
      <c r="K9" s="851" t="s">
        <v>37</v>
      </c>
      <c r="L9" s="851"/>
      <c r="M9" s="851"/>
      <c r="N9" s="3"/>
      <c r="O9" s="3"/>
      <c r="P9" s="173"/>
      <c r="Q9" s="174"/>
      <c r="S9" s="170"/>
      <c r="T9" s="147"/>
      <c r="U9" s="81"/>
      <c r="V9" s="81"/>
      <c r="W9" s="148"/>
      <c r="X9" s="81"/>
      <c r="Y9" s="81"/>
      <c r="Z9" s="81"/>
      <c r="AA9" s="81"/>
      <c r="AB9" s="81"/>
      <c r="AC9" s="81"/>
      <c r="AD9" s="81"/>
      <c r="AE9" s="81"/>
      <c r="AF9" s="12"/>
      <c r="AG9" s="12"/>
      <c r="AH9" s="12"/>
      <c r="AI9" s="12"/>
      <c r="AJ9" s="12"/>
      <c r="AK9" s="12"/>
      <c r="AL9" s="13"/>
      <c r="AM9" s="147"/>
      <c r="AN9" s="81"/>
      <c r="AO9" s="81"/>
      <c r="AP9" s="148"/>
      <c r="AQ9" s="81"/>
      <c r="AR9" s="81"/>
      <c r="AS9" s="81"/>
      <c r="AT9" s="81"/>
      <c r="AU9" s="81"/>
      <c r="AV9" s="81"/>
      <c r="AW9" s="81"/>
      <c r="AX9" s="81"/>
      <c r="AY9" s="12"/>
      <c r="AZ9" s="12"/>
      <c r="BA9" s="12"/>
      <c r="BB9" s="12"/>
      <c r="BC9" s="12"/>
      <c r="BD9" s="12"/>
      <c r="BE9" s="13"/>
      <c r="BF9" s="147"/>
      <c r="BG9" s="81"/>
      <c r="BH9" s="81"/>
      <c r="BI9" s="148"/>
      <c r="BJ9" s="81"/>
      <c r="BK9" s="81"/>
      <c r="BL9" s="81"/>
      <c r="BM9" s="81"/>
      <c r="BN9" s="81"/>
      <c r="BO9" s="81"/>
      <c r="BP9" s="81"/>
      <c r="BQ9" s="81"/>
      <c r="BR9" s="12"/>
      <c r="BS9" s="12"/>
      <c r="BT9" s="12"/>
      <c r="BU9" s="12"/>
      <c r="BV9" s="12"/>
      <c r="BW9" s="12"/>
      <c r="BX9" s="13"/>
    </row>
    <row r="10" spans="1:76">
      <c r="B10" s="849" t="s">
        <v>332</v>
      </c>
      <c r="C10" s="849"/>
      <c r="D10" s="849"/>
      <c r="E10" s="850"/>
      <c r="F10" s="850"/>
      <c r="G10" s="850"/>
      <c r="H10" s="850"/>
      <c r="I10" s="866"/>
      <c r="J10" s="867"/>
      <c r="K10" s="851" t="s">
        <v>37</v>
      </c>
      <c r="L10" s="851"/>
      <c r="M10" s="851"/>
      <c r="N10" s="3"/>
      <c r="O10" s="3"/>
      <c r="P10" s="173"/>
      <c r="Q10" s="174"/>
      <c r="S10" s="170"/>
      <c r="T10" s="147"/>
      <c r="U10" s="81"/>
      <c r="V10" s="81"/>
      <c r="W10" s="148"/>
      <c r="X10" s="81"/>
      <c r="Y10" s="81"/>
      <c r="Z10" s="81"/>
      <c r="AA10" s="81"/>
      <c r="AB10" s="81"/>
      <c r="AC10" s="81"/>
      <c r="AD10" s="81"/>
      <c r="AE10" s="81"/>
      <c r="AF10" s="12"/>
      <c r="AG10" s="12"/>
      <c r="AH10" s="12"/>
      <c r="AI10" s="12"/>
      <c r="AJ10" s="12"/>
      <c r="AK10" s="12"/>
      <c r="AL10" s="13"/>
      <c r="AM10" s="147"/>
      <c r="AN10" s="81"/>
      <c r="AO10" s="81"/>
      <c r="AP10" s="148"/>
      <c r="AQ10" s="81"/>
      <c r="AR10" s="81"/>
      <c r="AS10" s="81"/>
      <c r="AT10" s="81"/>
      <c r="AU10" s="81"/>
      <c r="AV10" s="81"/>
      <c r="AW10" s="81"/>
      <c r="AX10" s="81"/>
      <c r="AY10" s="12"/>
      <c r="AZ10" s="12"/>
      <c r="BA10" s="12"/>
      <c r="BB10" s="12"/>
      <c r="BC10" s="12"/>
      <c r="BD10" s="12"/>
      <c r="BE10" s="13"/>
      <c r="BF10" s="147"/>
      <c r="BG10" s="81"/>
      <c r="BH10" s="81"/>
      <c r="BI10" s="148"/>
      <c r="BJ10" s="81"/>
      <c r="BK10" s="81"/>
      <c r="BL10" s="81"/>
      <c r="BM10" s="81"/>
      <c r="BN10" s="81"/>
      <c r="BO10" s="81"/>
      <c r="BP10" s="81"/>
      <c r="BQ10" s="81"/>
      <c r="BR10" s="12"/>
      <c r="BS10" s="12"/>
      <c r="BT10" s="12"/>
      <c r="BU10" s="12"/>
      <c r="BV10" s="12"/>
      <c r="BW10" s="12"/>
      <c r="BX10" s="13"/>
    </row>
    <row r="11" spans="1:76">
      <c r="B11" s="849" t="s">
        <v>333</v>
      </c>
      <c r="C11" s="849"/>
      <c r="D11" s="849"/>
      <c r="E11" s="850"/>
      <c r="F11" s="850"/>
      <c r="G11" s="850"/>
      <c r="H11" s="850"/>
      <c r="I11" s="866"/>
      <c r="J11" s="867"/>
      <c r="K11" s="851" t="s">
        <v>37</v>
      </c>
      <c r="L11" s="851"/>
      <c r="M11" s="851"/>
      <c r="N11" s="3"/>
      <c r="O11" s="3"/>
      <c r="P11" s="173"/>
      <c r="Q11" s="174"/>
      <c r="S11" s="170"/>
      <c r="T11" s="147"/>
      <c r="U11" s="81"/>
      <c r="V11" s="81"/>
      <c r="W11" s="148"/>
      <c r="X11" s="81"/>
      <c r="Y11" s="81"/>
      <c r="Z11" s="81"/>
      <c r="AA11" s="81"/>
      <c r="AB11" s="81"/>
      <c r="AC11" s="81"/>
      <c r="AD11" s="81"/>
      <c r="AE11" s="81"/>
      <c r="AF11" s="12"/>
      <c r="AG11" s="12"/>
      <c r="AH11" s="12"/>
      <c r="AI11" s="12"/>
      <c r="AJ11" s="12"/>
      <c r="AK11" s="12"/>
      <c r="AL11" s="13"/>
      <c r="AM11" s="147"/>
      <c r="AN11" s="81"/>
      <c r="AO11" s="81"/>
      <c r="AP11" s="148"/>
      <c r="AQ11" s="81"/>
      <c r="AR11" s="81"/>
      <c r="AS11" s="81"/>
      <c r="AT11" s="81"/>
      <c r="AU11" s="81"/>
      <c r="AV11" s="81"/>
      <c r="AW11" s="81"/>
      <c r="AX11" s="81"/>
      <c r="AY11" s="12"/>
      <c r="AZ11" s="12"/>
      <c r="BA11" s="12"/>
      <c r="BB11" s="12"/>
      <c r="BC11" s="12"/>
      <c r="BD11" s="12"/>
      <c r="BE11" s="13"/>
      <c r="BF11" s="147"/>
      <c r="BG11" s="81"/>
      <c r="BH11" s="81"/>
      <c r="BI11" s="148"/>
      <c r="BJ11" s="81"/>
      <c r="BK11" s="81"/>
      <c r="BL11" s="81"/>
      <c r="BM11" s="81"/>
      <c r="BN11" s="81"/>
      <c r="BO11" s="81"/>
      <c r="BP11" s="81"/>
      <c r="BQ11" s="81"/>
      <c r="BR11" s="12"/>
      <c r="BS11" s="12"/>
      <c r="BT11" s="12"/>
      <c r="BU11" s="12"/>
      <c r="BV11" s="12"/>
      <c r="BW11" s="12"/>
      <c r="BX11" s="13"/>
    </row>
    <row r="12" spans="1:76">
      <c r="B12" s="849" t="s">
        <v>334</v>
      </c>
      <c r="C12" s="849"/>
      <c r="D12" s="849"/>
      <c r="E12" s="850"/>
      <c r="F12" s="850"/>
      <c r="G12" s="850"/>
      <c r="H12" s="850"/>
      <c r="I12" s="866"/>
      <c r="J12" s="867"/>
      <c r="K12" s="851" t="s">
        <v>37</v>
      </c>
      <c r="L12" s="851"/>
      <c r="M12" s="851"/>
      <c r="N12" s="3"/>
      <c r="O12" s="3"/>
      <c r="P12" s="173"/>
      <c r="Q12" s="174"/>
      <c r="S12" s="170"/>
      <c r="T12" s="147"/>
      <c r="U12" s="81"/>
      <c r="V12" s="81"/>
      <c r="W12" s="148"/>
      <c r="X12" s="81"/>
      <c r="Y12" s="81"/>
      <c r="Z12" s="81"/>
      <c r="AA12" s="81"/>
      <c r="AB12" s="81"/>
      <c r="AC12" s="81"/>
      <c r="AD12" s="81"/>
      <c r="AE12" s="81"/>
      <c r="AF12" s="12"/>
      <c r="AG12" s="12"/>
      <c r="AH12" s="12"/>
      <c r="AI12" s="12"/>
      <c r="AJ12" s="12"/>
      <c r="AK12" s="12"/>
      <c r="AL12" s="13"/>
      <c r="AM12" s="147"/>
      <c r="AN12" s="81"/>
      <c r="AO12" s="81"/>
      <c r="AP12" s="148"/>
      <c r="AQ12" s="81"/>
      <c r="AR12" s="81"/>
      <c r="AS12" s="81"/>
      <c r="AT12" s="81"/>
      <c r="AU12" s="81"/>
      <c r="AV12" s="81"/>
      <c r="AW12" s="81"/>
      <c r="AX12" s="81"/>
      <c r="AY12" s="12"/>
      <c r="AZ12" s="12"/>
      <c r="BA12" s="12"/>
      <c r="BB12" s="12"/>
      <c r="BC12" s="12"/>
      <c r="BD12" s="12"/>
      <c r="BE12" s="13"/>
      <c r="BF12" s="147"/>
      <c r="BG12" s="81"/>
      <c r="BH12" s="81"/>
      <c r="BI12" s="148"/>
      <c r="BJ12" s="81"/>
      <c r="BK12" s="81"/>
      <c r="BL12" s="81"/>
      <c r="BM12" s="81"/>
      <c r="BN12" s="81"/>
      <c r="BO12" s="81"/>
      <c r="BP12" s="81"/>
      <c r="BQ12" s="81"/>
      <c r="BR12" s="12"/>
      <c r="BS12" s="12"/>
      <c r="BT12" s="12"/>
      <c r="BU12" s="12"/>
      <c r="BV12" s="12"/>
      <c r="BW12" s="12"/>
      <c r="BX12" s="13"/>
    </row>
    <row r="13" spans="1:76">
      <c r="B13" s="849" t="s">
        <v>376</v>
      </c>
      <c r="C13" s="849"/>
      <c r="D13" s="849"/>
      <c r="E13" s="850"/>
      <c r="F13" s="850"/>
      <c r="G13" s="850"/>
      <c r="H13" s="850"/>
      <c r="I13" s="866"/>
      <c r="J13" s="867"/>
      <c r="K13" s="851" t="s">
        <v>37</v>
      </c>
      <c r="L13" s="851"/>
      <c r="M13" s="851"/>
      <c r="N13" s="55"/>
      <c r="O13" s="55"/>
      <c r="P13" s="175"/>
      <c r="Q13" s="176"/>
      <c r="R13" s="177"/>
      <c r="S13" s="170"/>
      <c r="T13" s="147"/>
      <c r="U13" s="81"/>
      <c r="V13" s="81"/>
      <c r="W13" s="148"/>
      <c r="X13" s="81"/>
      <c r="Y13" s="81"/>
      <c r="Z13" s="81"/>
      <c r="AA13" s="81"/>
      <c r="AB13" s="81"/>
      <c r="AC13" s="81"/>
      <c r="AD13" s="81"/>
      <c r="AE13" s="81"/>
      <c r="AF13" s="12"/>
      <c r="AG13" s="12"/>
      <c r="AH13" s="12"/>
      <c r="AI13" s="12"/>
      <c r="AJ13" s="12"/>
      <c r="AK13" s="12"/>
      <c r="AL13" s="13"/>
      <c r="AM13" s="147"/>
      <c r="AN13" s="81"/>
      <c r="AO13" s="81"/>
      <c r="AP13" s="148"/>
      <c r="AQ13" s="81"/>
      <c r="AR13" s="81"/>
      <c r="AS13" s="81"/>
      <c r="AT13" s="81"/>
      <c r="AU13" s="81"/>
      <c r="AV13" s="81"/>
      <c r="AW13" s="81"/>
      <c r="AX13" s="81"/>
      <c r="AY13" s="12"/>
      <c r="AZ13" s="12"/>
      <c r="BA13" s="12"/>
      <c r="BB13" s="12"/>
      <c r="BC13" s="12"/>
      <c r="BD13" s="12"/>
      <c r="BE13" s="13"/>
      <c r="BF13" s="147"/>
      <c r="BG13" s="81"/>
      <c r="BH13" s="81"/>
      <c r="BI13" s="148"/>
      <c r="BJ13" s="81"/>
      <c r="BK13" s="81"/>
      <c r="BL13" s="81"/>
      <c r="BM13" s="81"/>
      <c r="BN13" s="81"/>
      <c r="BO13" s="81"/>
      <c r="BP13" s="81"/>
      <c r="BQ13" s="81"/>
      <c r="BR13" s="12"/>
      <c r="BS13" s="12"/>
      <c r="BT13" s="12"/>
      <c r="BU13" s="12"/>
      <c r="BV13" s="12"/>
      <c r="BW13" s="12"/>
      <c r="BX13" s="13"/>
    </row>
    <row r="14" spans="1:76">
      <c r="B14" s="849" t="s">
        <v>377</v>
      </c>
      <c r="C14" s="849"/>
      <c r="D14" s="849"/>
      <c r="E14" s="850"/>
      <c r="F14" s="850"/>
      <c r="G14" s="850"/>
      <c r="H14" s="850"/>
      <c r="I14" s="866"/>
      <c r="J14" s="867"/>
      <c r="K14" s="851" t="s">
        <v>37</v>
      </c>
      <c r="L14" s="851"/>
      <c r="M14" s="851"/>
      <c r="N14" s="55"/>
      <c r="O14" s="55"/>
      <c r="P14" s="175"/>
      <c r="Q14" s="176"/>
      <c r="R14" s="177"/>
      <c r="S14" s="170"/>
      <c r="T14" s="147"/>
      <c r="U14" s="81"/>
      <c r="V14" s="81"/>
      <c r="W14" s="148"/>
      <c r="X14" s="81"/>
      <c r="Y14" s="81"/>
      <c r="Z14" s="81"/>
      <c r="AA14" s="81"/>
      <c r="AB14" s="81"/>
      <c r="AC14" s="81"/>
      <c r="AD14" s="81"/>
      <c r="AE14" s="81"/>
      <c r="AF14" s="12"/>
      <c r="AG14" s="12"/>
      <c r="AH14" s="12"/>
      <c r="AI14" s="12"/>
      <c r="AJ14" s="12"/>
      <c r="AK14" s="12"/>
      <c r="AL14" s="13"/>
      <c r="AM14" s="147"/>
      <c r="AN14" s="81"/>
      <c r="AO14" s="81"/>
      <c r="AP14" s="148"/>
      <c r="AQ14" s="81"/>
      <c r="AR14" s="81"/>
      <c r="AS14" s="81"/>
      <c r="AT14" s="81"/>
      <c r="AU14" s="81"/>
      <c r="AV14" s="81"/>
      <c r="AW14" s="81"/>
      <c r="AX14" s="81"/>
      <c r="AY14" s="12"/>
      <c r="AZ14" s="12"/>
      <c r="BA14" s="12"/>
      <c r="BB14" s="12"/>
      <c r="BC14" s="12"/>
      <c r="BD14" s="12"/>
      <c r="BE14" s="13"/>
      <c r="BF14" s="147"/>
      <c r="BG14" s="81"/>
      <c r="BH14" s="81"/>
      <c r="BI14" s="148"/>
      <c r="BJ14" s="81"/>
      <c r="BK14" s="81"/>
      <c r="BL14" s="81"/>
      <c r="BM14" s="81"/>
      <c r="BN14" s="81"/>
      <c r="BO14" s="81"/>
      <c r="BP14" s="81"/>
      <c r="BQ14" s="81"/>
      <c r="BR14" s="12"/>
      <c r="BS14" s="12"/>
      <c r="BT14" s="12"/>
      <c r="BU14" s="12"/>
      <c r="BV14" s="12"/>
      <c r="BW14" s="12"/>
      <c r="BX14" s="13"/>
    </row>
    <row r="15" spans="1:76">
      <c r="B15" s="849" t="s">
        <v>378</v>
      </c>
      <c r="C15" s="849"/>
      <c r="D15" s="849"/>
      <c r="E15" s="850"/>
      <c r="F15" s="850"/>
      <c r="G15" s="850"/>
      <c r="H15" s="850"/>
      <c r="I15" s="866"/>
      <c r="J15" s="867"/>
      <c r="K15" s="851" t="s">
        <v>37</v>
      </c>
      <c r="L15" s="851"/>
      <c r="M15" s="851"/>
      <c r="N15" s="55"/>
      <c r="O15" s="55"/>
      <c r="P15" s="175"/>
      <c r="Q15" s="176"/>
      <c r="R15" s="177"/>
      <c r="S15" s="170"/>
      <c r="T15" s="147"/>
      <c r="U15" s="81"/>
      <c r="V15" s="81"/>
      <c r="W15" s="148"/>
      <c r="X15" s="81"/>
      <c r="Y15" s="81"/>
      <c r="Z15" s="81"/>
      <c r="AA15" s="81"/>
      <c r="AB15" s="81"/>
      <c r="AC15" s="81"/>
      <c r="AD15" s="81"/>
      <c r="AE15" s="81"/>
      <c r="AF15" s="12"/>
      <c r="AG15" s="12"/>
      <c r="AH15" s="12"/>
      <c r="AI15" s="12"/>
      <c r="AJ15" s="12"/>
      <c r="AK15" s="12"/>
      <c r="AL15" s="13"/>
      <c r="AM15" s="147"/>
      <c r="AN15" s="81"/>
      <c r="AO15" s="81"/>
      <c r="AP15" s="148"/>
      <c r="AQ15" s="81"/>
      <c r="AR15" s="81"/>
      <c r="AS15" s="81"/>
      <c r="AT15" s="81"/>
      <c r="AU15" s="81"/>
      <c r="AV15" s="81"/>
      <c r="AW15" s="81"/>
      <c r="AX15" s="81"/>
      <c r="AY15" s="12"/>
      <c r="AZ15" s="12"/>
      <c r="BA15" s="12"/>
      <c r="BB15" s="12"/>
      <c r="BC15" s="12"/>
      <c r="BD15" s="12"/>
      <c r="BE15" s="13"/>
      <c r="BF15" s="147"/>
      <c r="BG15" s="81"/>
      <c r="BH15" s="81"/>
      <c r="BI15" s="148"/>
      <c r="BJ15" s="81"/>
      <c r="BK15" s="81"/>
      <c r="BL15" s="81"/>
      <c r="BM15" s="81"/>
      <c r="BN15" s="81"/>
      <c r="BO15" s="81"/>
      <c r="BP15" s="81"/>
      <c r="BQ15" s="81"/>
      <c r="BR15" s="12"/>
      <c r="BS15" s="12"/>
      <c r="BT15" s="12"/>
      <c r="BU15" s="12"/>
      <c r="BV15" s="12"/>
      <c r="BW15" s="12"/>
      <c r="BX15" s="13"/>
    </row>
    <row r="16" spans="1:76">
      <c r="B16" s="849" t="s">
        <v>379</v>
      </c>
      <c r="C16" s="849"/>
      <c r="D16" s="849"/>
      <c r="E16" s="850"/>
      <c r="F16" s="850"/>
      <c r="G16" s="850"/>
      <c r="H16" s="850"/>
      <c r="I16" s="866"/>
      <c r="J16" s="867"/>
      <c r="K16" s="851" t="s">
        <v>37</v>
      </c>
      <c r="L16" s="851"/>
      <c r="M16" s="851"/>
      <c r="N16" s="55"/>
      <c r="O16" s="55"/>
      <c r="P16" s="175"/>
      <c r="Q16" s="176"/>
      <c r="R16" s="177"/>
      <c r="S16" s="170"/>
      <c r="T16" s="147"/>
      <c r="U16" s="81"/>
      <c r="V16" s="81"/>
      <c r="W16" s="148"/>
      <c r="X16" s="81"/>
      <c r="Y16" s="81"/>
      <c r="Z16" s="81"/>
      <c r="AA16" s="81"/>
      <c r="AB16" s="81"/>
      <c r="AC16" s="81"/>
      <c r="AD16" s="81"/>
      <c r="AE16" s="81"/>
      <c r="AF16" s="12"/>
      <c r="AG16" s="12"/>
      <c r="AH16" s="12"/>
      <c r="AI16" s="12"/>
      <c r="AJ16" s="12"/>
      <c r="AK16" s="12"/>
      <c r="AL16" s="13"/>
      <c r="AM16" s="147"/>
      <c r="AN16" s="81"/>
      <c r="AO16" s="81"/>
      <c r="AP16" s="148"/>
      <c r="AQ16" s="81"/>
      <c r="AR16" s="81"/>
      <c r="AS16" s="81"/>
      <c r="AT16" s="81"/>
      <c r="AU16" s="81"/>
      <c r="AV16" s="81"/>
      <c r="AW16" s="81"/>
      <c r="AX16" s="81"/>
      <c r="AY16" s="12"/>
      <c r="AZ16" s="12"/>
      <c r="BA16" s="12"/>
      <c r="BB16" s="12"/>
      <c r="BC16" s="12"/>
      <c r="BD16" s="12"/>
      <c r="BE16" s="13"/>
      <c r="BF16" s="147"/>
      <c r="BG16" s="81"/>
      <c r="BH16" s="81"/>
      <c r="BI16" s="148"/>
      <c r="BJ16" s="81"/>
      <c r="BK16" s="81"/>
      <c r="BL16" s="81"/>
      <c r="BM16" s="81"/>
      <c r="BN16" s="81"/>
      <c r="BO16" s="81"/>
      <c r="BP16" s="81"/>
      <c r="BQ16" s="81"/>
      <c r="BR16" s="12"/>
      <c r="BS16" s="12"/>
      <c r="BT16" s="12"/>
      <c r="BU16" s="12"/>
      <c r="BV16" s="12"/>
      <c r="BW16" s="12"/>
      <c r="BX16" s="13"/>
    </row>
    <row r="17" spans="1:76">
      <c r="B17" s="849" t="s">
        <v>380</v>
      </c>
      <c r="C17" s="849"/>
      <c r="D17" s="849"/>
      <c r="E17" s="850"/>
      <c r="F17" s="850"/>
      <c r="G17" s="850"/>
      <c r="H17" s="850"/>
      <c r="I17" s="866"/>
      <c r="J17" s="867"/>
      <c r="K17" s="851" t="s">
        <v>37</v>
      </c>
      <c r="L17" s="851"/>
      <c r="M17" s="851"/>
      <c r="N17" s="55"/>
      <c r="O17" s="55"/>
      <c r="P17" s="175"/>
      <c r="Q17" s="176"/>
      <c r="R17" s="177"/>
      <c r="S17" s="170"/>
      <c r="T17" s="147"/>
      <c r="U17" s="81"/>
      <c r="V17" s="81"/>
      <c r="W17" s="148"/>
      <c r="X17" s="81"/>
      <c r="Y17" s="81"/>
      <c r="Z17" s="81"/>
      <c r="AA17" s="81"/>
      <c r="AB17" s="81"/>
      <c r="AC17" s="81"/>
      <c r="AD17" s="81"/>
      <c r="AE17" s="81"/>
      <c r="AF17" s="12"/>
      <c r="AG17" s="12"/>
      <c r="AH17" s="12"/>
      <c r="AI17" s="12"/>
      <c r="AJ17" s="12"/>
      <c r="AK17" s="12"/>
      <c r="AL17" s="13"/>
      <c r="AM17" s="147"/>
      <c r="AN17" s="81"/>
      <c r="AO17" s="81"/>
      <c r="AP17" s="148"/>
      <c r="AQ17" s="81"/>
      <c r="AR17" s="81"/>
      <c r="AS17" s="81"/>
      <c r="AT17" s="81"/>
      <c r="AU17" s="81"/>
      <c r="AV17" s="81"/>
      <c r="AW17" s="81"/>
      <c r="AX17" s="81"/>
      <c r="AY17" s="12"/>
      <c r="AZ17" s="12"/>
      <c r="BA17" s="12"/>
      <c r="BB17" s="12"/>
      <c r="BC17" s="12"/>
      <c r="BD17" s="12"/>
      <c r="BE17" s="13"/>
      <c r="BF17" s="147"/>
      <c r="BG17" s="81"/>
      <c r="BH17" s="81"/>
      <c r="BI17" s="148"/>
      <c r="BJ17" s="81"/>
      <c r="BK17" s="81"/>
      <c r="BL17" s="81"/>
      <c r="BM17" s="81"/>
      <c r="BN17" s="81"/>
      <c r="BO17" s="81"/>
      <c r="BP17" s="81"/>
      <c r="BQ17" s="81"/>
      <c r="BR17" s="12"/>
      <c r="BS17" s="12"/>
      <c r="BT17" s="12"/>
      <c r="BU17" s="12"/>
      <c r="BV17" s="12"/>
      <c r="BW17" s="12"/>
      <c r="BX17" s="13"/>
    </row>
    <row r="18" spans="1:76">
      <c r="B18" s="849" t="s">
        <v>381</v>
      </c>
      <c r="C18" s="849"/>
      <c r="D18" s="849"/>
      <c r="E18" s="850"/>
      <c r="F18" s="850"/>
      <c r="G18" s="850"/>
      <c r="H18" s="850"/>
      <c r="I18" s="866"/>
      <c r="J18" s="867"/>
      <c r="K18" s="851" t="s">
        <v>37</v>
      </c>
      <c r="L18" s="851"/>
      <c r="M18" s="851"/>
      <c r="N18" s="55"/>
      <c r="O18" s="55"/>
      <c r="P18" s="175"/>
      <c r="Q18" s="176"/>
      <c r="R18" s="177"/>
      <c r="S18" s="170"/>
      <c r="T18" s="147"/>
      <c r="U18" s="81"/>
      <c r="V18" s="81"/>
      <c r="W18" s="148"/>
      <c r="X18" s="81"/>
      <c r="Y18" s="81"/>
      <c r="Z18" s="81"/>
      <c r="AA18" s="81"/>
      <c r="AB18" s="81"/>
      <c r="AC18" s="81"/>
      <c r="AD18" s="81"/>
      <c r="AE18" s="81"/>
      <c r="AF18" s="12"/>
      <c r="AG18" s="12"/>
      <c r="AH18" s="12"/>
      <c r="AI18" s="12"/>
      <c r="AJ18" s="12"/>
      <c r="AK18" s="12"/>
      <c r="AL18" s="13"/>
      <c r="AM18" s="147"/>
      <c r="AN18" s="81"/>
      <c r="AO18" s="81"/>
      <c r="AP18" s="148"/>
      <c r="AQ18" s="81"/>
      <c r="AR18" s="81"/>
      <c r="AS18" s="81"/>
      <c r="AT18" s="81"/>
      <c r="AU18" s="81"/>
      <c r="AV18" s="81"/>
      <c r="AW18" s="81"/>
      <c r="AX18" s="81"/>
      <c r="AY18" s="12"/>
      <c r="AZ18" s="12"/>
      <c r="BA18" s="12"/>
      <c r="BB18" s="12"/>
      <c r="BC18" s="12"/>
      <c r="BD18" s="12"/>
      <c r="BE18" s="13"/>
      <c r="BF18" s="147"/>
      <c r="BG18" s="81"/>
      <c r="BH18" s="81"/>
      <c r="BI18" s="148"/>
      <c r="BJ18" s="81"/>
      <c r="BK18" s="81"/>
      <c r="BL18" s="81"/>
      <c r="BM18" s="81"/>
      <c r="BN18" s="81"/>
      <c r="BO18" s="81"/>
      <c r="BP18" s="81"/>
      <c r="BQ18" s="81"/>
      <c r="BR18" s="12"/>
      <c r="BS18" s="12"/>
      <c r="BT18" s="12"/>
      <c r="BU18" s="12"/>
      <c r="BV18" s="12"/>
      <c r="BW18" s="12"/>
      <c r="BX18" s="13"/>
    </row>
    <row r="19" spans="1:76">
      <c r="B19" s="849" t="s">
        <v>382</v>
      </c>
      <c r="C19" s="849"/>
      <c r="D19" s="849"/>
      <c r="E19" s="850"/>
      <c r="F19" s="850"/>
      <c r="G19" s="850"/>
      <c r="H19" s="850"/>
      <c r="I19" s="866"/>
      <c r="J19" s="867"/>
      <c r="K19" s="851" t="s">
        <v>37</v>
      </c>
      <c r="L19" s="851"/>
      <c r="M19" s="851"/>
      <c r="N19" s="55"/>
      <c r="O19" s="55"/>
      <c r="P19" s="175"/>
      <c r="Q19" s="176"/>
      <c r="R19" s="177"/>
      <c r="S19" s="170"/>
      <c r="T19" s="147"/>
      <c r="U19" s="81"/>
      <c r="V19" s="81"/>
      <c r="W19" s="148"/>
      <c r="X19" s="81"/>
      <c r="Y19" s="81"/>
      <c r="Z19" s="81"/>
      <c r="AA19" s="81"/>
      <c r="AB19" s="81"/>
      <c r="AC19" s="81"/>
      <c r="AD19" s="81"/>
      <c r="AE19" s="81"/>
      <c r="AF19" s="12"/>
      <c r="AG19" s="12"/>
      <c r="AH19" s="12"/>
      <c r="AI19" s="12"/>
      <c r="AJ19" s="12"/>
      <c r="AK19" s="12"/>
      <c r="AL19" s="13"/>
      <c r="AM19" s="147"/>
      <c r="AN19" s="81"/>
      <c r="AO19" s="81"/>
      <c r="AP19" s="148"/>
      <c r="AQ19" s="81"/>
      <c r="AR19" s="81"/>
      <c r="AS19" s="81"/>
      <c r="AT19" s="81"/>
      <c r="AU19" s="81"/>
      <c r="AV19" s="81"/>
      <c r="AW19" s="81"/>
      <c r="AX19" s="81"/>
      <c r="AY19" s="12"/>
      <c r="AZ19" s="12"/>
      <c r="BA19" s="12"/>
      <c r="BB19" s="12"/>
      <c r="BC19" s="12"/>
      <c r="BD19" s="12"/>
      <c r="BE19" s="13"/>
      <c r="BF19" s="147"/>
      <c r="BG19" s="81"/>
      <c r="BH19" s="81"/>
      <c r="BI19" s="148"/>
      <c r="BJ19" s="81"/>
      <c r="BK19" s="81"/>
      <c r="BL19" s="81"/>
      <c r="BM19" s="81"/>
      <c r="BN19" s="81"/>
      <c r="BO19" s="81"/>
      <c r="BP19" s="81"/>
      <c r="BQ19" s="81"/>
      <c r="BR19" s="12"/>
      <c r="BS19" s="12"/>
      <c r="BT19" s="12"/>
      <c r="BU19" s="12"/>
      <c r="BV19" s="12"/>
      <c r="BW19" s="12"/>
      <c r="BX19" s="13"/>
    </row>
    <row r="20" spans="1:76">
      <c r="B20" s="849" t="s">
        <v>383</v>
      </c>
      <c r="C20" s="849"/>
      <c r="D20" s="849"/>
      <c r="E20" s="850"/>
      <c r="F20" s="850"/>
      <c r="G20" s="850"/>
      <c r="H20" s="850"/>
      <c r="I20" s="866"/>
      <c r="J20" s="867"/>
      <c r="K20" s="851" t="s">
        <v>37</v>
      </c>
      <c r="L20" s="851"/>
      <c r="M20" s="851"/>
      <c r="N20" s="55"/>
      <c r="O20" s="55"/>
      <c r="P20" s="55"/>
      <c r="Q20" s="55"/>
      <c r="R20" s="55"/>
      <c r="S20" s="170"/>
      <c r="T20" s="147"/>
      <c r="U20" s="81"/>
      <c r="V20" s="81"/>
      <c r="W20" s="148"/>
      <c r="X20" s="81"/>
      <c r="Y20" s="81"/>
      <c r="Z20" s="81"/>
      <c r="AA20" s="81"/>
      <c r="AB20" s="81"/>
      <c r="AC20" s="81"/>
      <c r="AD20" s="81"/>
      <c r="AE20" s="81"/>
      <c r="AF20" s="12"/>
      <c r="AG20" s="12"/>
      <c r="AH20" s="12"/>
      <c r="AI20" s="12"/>
      <c r="AJ20" s="12"/>
      <c r="AK20" s="12"/>
      <c r="AL20" s="13"/>
      <c r="AM20" s="147"/>
      <c r="AN20" s="81"/>
      <c r="AO20" s="81"/>
      <c r="AP20" s="148"/>
      <c r="AQ20" s="81"/>
      <c r="AR20" s="81"/>
      <c r="AS20" s="81"/>
      <c r="AT20" s="81"/>
      <c r="AU20" s="81"/>
      <c r="AV20" s="81"/>
      <c r="AW20" s="81"/>
      <c r="AX20" s="81"/>
      <c r="AY20" s="12"/>
      <c r="AZ20" s="12"/>
      <c r="BA20" s="12"/>
      <c r="BB20" s="12"/>
      <c r="BC20" s="12"/>
      <c r="BD20" s="12"/>
      <c r="BE20" s="13"/>
      <c r="BF20" s="147"/>
      <c r="BG20" s="81"/>
      <c r="BH20" s="81"/>
      <c r="BI20" s="148"/>
      <c r="BJ20" s="81"/>
      <c r="BK20" s="81"/>
      <c r="BL20" s="81"/>
      <c r="BM20" s="81"/>
      <c r="BN20" s="81"/>
      <c r="BO20" s="81"/>
      <c r="BP20" s="81"/>
      <c r="BQ20" s="81"/>
      <c r="BR20" s="12"/>
      <c r="BS20" s="12"/>
      <c r="BT20" s="12"/>
      <c r="BU20" s="12"/>
      <c r="BV20" s="12"/>
      <c r="BW20" s="12"/>
      <c r="BX20" s="13"/>
    </row>
    <row r="21" spans="1:76">
      <c r="A21" s="178"/>
      <c r="B21" s="179"/>
      <c r="C21" s="179"/>
      <c r="D21" s="179"/>
      <c r="E21" s="179"/>
      <c r="F21" s="179"/>
      <c r="G21" s="179"/>
      <c r="H21" s="179"/>
      <c r="I21" s="179"/>
      <c r="J21" s="179"/>
      <c r="K21" s="179"/>
      <c r="L21" s="179"/>
      <c r="M21" s="179"/>
      <c r="N21" s="180"/>
      <c r="O21" s="160" t="s">
        <v>77</v>
      </c>
      <c r="P21" s="179"/>
      <c r="Q21" s="179"/>
      <c r="R21" s="55"/>
      <c r="S21" s="170"/>
      <c r="T21" s="11"/>
      <c r="U21" s="81"/>
      <c r="V21" s="81"/>
      <c r="W21" s="81"/>
      <c r="X21" s="81"/>
      <c r="Y21" s="81"/>
      <c r="Z21" s="81"/>
      <c r="AA21" s="81"/>
      <c r="AB21" s="81"/>
      <c r="AC21" s="81"/>
      <c r="AD21" s="81"/>
      <c r="AE21" s="81"/>
      <c r="AF21" s="12"/>
      <c r="AG21" s="12"/>
      <c r="AH21" s="12"/>
      <c r="AI21" s="12"/>
      <c r="AJ21" s="12"/>
      <c r="AK21" s="12"/>
      <c r="AL21" s="13"/>
      <c r="AM21" s="11"/>
      <c r="AN21" s="81"/>
      <c r="AO21" s="81"/>
      <c r="AP21" s="81"/>
      <c r="AQ21" s="81"/>
      <c r="AR21" s="81"/>
      <c r="AS21" s="81"/>
      <c r="AT21" s="81"/>
      <c r="AU21" s="81"/>
      <c r="AV21" s="81"/>
      <c r="AW21" s="81"/>
      <c r="AX21" s="81"/>
      <c r="AY21" s="12"/>
      <c r="AZ21" s="12"/>
      <c r="BA21" s="12"/>
      <c r="BB21" s="12"/>
      <c r="BC21" s="12"/>
      <c r="BD21" s="12"/>
      <c r="BE21" s="13"/>
      <c r="BF21" s="11"/>
      <c r="BG21" s="81"/>
      <c r="BH21" s="81"/>
      <c r="BI21" s="81"/>
      <c r="BJ21" s="81"/>
      <c r="BK21" s="81"/>
      <c r="BL21" s="81"/>
      <c r="BM21" s="81"/>
      <c r="BN21" s="81"/>
      <c r="BO21" s="81"/>
      <c r="BP21" s="81"/>
      <c r="BQ21" s="81"/>
      <c r="BR21" s="12"/>
      <c r="BS21" s="12"/>
      <c r="BT21" s="12"/>
      <c r="BU21" s="12"/>
      <c r="BV21" s="12"/>
      <c r="BW21" s="12"/>
      <c r="BX21" s="13"/>
    </row>
    <row r="22" spans="1:76">
      <c r="A22" s="839" t="s">
        <v>261</v>
      </c>
      <c r="B22" s="840"/>
      <c r="C22" s="840"/>
      <c r="D22" s="840"/>
      <c r="E22" s="840"/>
      <c r="F22" s="840"/>
      <c r="G22" s="840"/>
      <c r="H22" s="840"/>
      <c r="I22" s="840"/>
      <c r="J22" s="840"/>
      <c r="K22" s="840"/>
      <c r="L22" s="840"/>
      <c r="M22" s="840"/>
      <c r="N22" s="840"/>
      <c r="O22" s="840"/>
      <c r="P22" s="840"/>
      <c r="Q22" s="841"/>
      <c r="R22" s="864" t="s">
        <v>28</v>
      </c>
      <c r="S22" s="864"/>
      <c r="T22" s="11"/>
      <c r="U22" s="81"/>
      <c r="V22" s="81"/>
      <c r="W22" s="81"/>
      <c r="X22" s="81"/>
      <c r="Y22" s="81"/>
      <c r="Z22" s="81"/>
      <c r="AA22" s="81"/>
      <c r="AB22" s="81"/>
      <c r="AC22" s="81"/>
      <c r="AD22" s="81"/>
      <c r="AE22" s="81"/>
      <c r="AF22" s="12"/>
      <c r="AG22" s="12"/>
      <c r="AH22" s="12"/>
      <c r="AI22" s="12"/>
      <c r="AJ22" s="12"/>
      <c r="AK22" s="12"/>
      <c r="AL22" s="13"/>
      <c r="AM22" s="11"/>
      <c r="AN22" s="81"/>
      <c r="AO22" s="81"/>
      <c r="AP22" s="81"/>
      <c r="AQ22" s="81"/>
      <c r="AR22" s="81"/>
      <c r="AS22" s="81"/>
      <c r="AT22" s="81"/>
      <c r="AU22" s="81"/>
      <c r="AV22" s="81"/>
      <c r="AW22" s="81"/>
      <c r="AX22" s="81"/>
      <c r="AY22" s="12"/>
      <c r="AZ22" s="12"/>
      <c r="BA22" s="12"/>
      <c r="BB22" s="12"/>
      <c r="BC22" s="12"/>
      <c r="BD22" s="12"/>
      <c r="BE22" s="13"/>
      <c r="BF22" s="11"/>
      <c r="BG22" s="81"/>
      <c r="BH22" s="81"/>
      <c r="BI22" s="81"/>
      <c r="BJ22" s="81"/>
      <c r="BK22" s="81"/>
      <c r="BL22" s="81"/>
      <c r="BM22" s="81"/>
      <c r="BN22" s="81"/>
      <c r="BO22" s="81"/>
      <c r="BP22" s="81"/>
      <c r="BQ22" s="81"/>
      <c r="BR22" s="12"/>
      <c r="BS22" s="12"/>
      <c r="BT22" s="12"/>
      <c r="BU22" s="12"/>
      <c r="BV22" s="12"/>
      <c r="BW22" s="12"/>
      <c r="BX22" s="13"/>
    </row>
    <row r="23" spans="1:76" ht="13.9" customHeight="1">
      <c r="A23" s="842"/>
      <c r="B23" s="843"/>
      <c r="C23" s="843"/>
      <c r="D23" s="843"/>
      <c r="E23" s="843"/>
      <c r="F23" s="843"/>
      <c r="G23" s="843"/>
      <c r="H23" s="843"/>
      <c r="I23" s="843"/>
      <c r="J23" s="843"/>
      <c r="K23" s="843"/>
      <c r="L23" s="843"/>
      <c r="M23" s="843"/>
      <c r="N23" s="843"/>
      <c r="O23" s="843"/>
      <c r="P23" s="843"/>
      <c r="Q23" s="844"/>
      <c r="R23" s="864"/>
      <c r="S23" s="864"/>
      <c r="T23" s="147"/>
      <c r="U23" s="81"/>
      <c r="V23" s="81"/>
      <c r="W23" s="81"/>
      <c r="X23" s="81"/>
      <c r="Y23" s="81"/>
      <c r="Z23" s="81"/>
      <c r="AA23" s="81"/>
      <c r="AB23" s="81"/>
      <c r="AC23" s="81"/>
      <c r="AD23" s="81"/>
      <c r="AE23" s="81"/>
      <c r="AF23" s="12"/>
      <c r="AG23" s="12"/>
      <c r="AH23" s="12"/>
      <c r="AI23" s="12"/>
      <c r="AJ23" s="12"/>
      <c r="AK23" s="12"/>
      <c r="AL23" s="13"/>
      <c r="AM23" s="147"/>
      <c r="AN23" s="81"/>
      <c r="AO23" s="81"/>
      <c r="AP23" s="81"/>
      <c r="AQ23" s="81"/>
      <c r="AR23" s="81"/>
      <c r="AS23" s="81"/>
      <c r="AT23" s="81"/>
      <c r="AU23" s="81"/>
      <c r="AV23" s="81"/>
      <c r="AW23" s="81"/>
      <c r="AX23" s="81"/>
      <c r="AY23" s="12"/>
      <c r="AZ23" s="12"/>
      <c r="BA23" s="12"/>
      <c r="BB23" s="12"/>
      <c r="BC23" s="12"/>
      <c r="BD23" s="12"/>
      <c r="BE23" s="13"/>
      <c r="BF23" s="147"/>
      <c r="BG23" s="81"/>
      <c r="BH23" s="81"/>
      <c r="BI23" s="81"/>
      <c r="BJ23" s="81"/>
      <c r="BK23" s="81"/>
      <c r="BL23" s="81"/>
      <c r="BM23" s="81"/>
      <c r="BN23" s="81"/>
      <c r="BO23" s="81"/>
      <c r="BP23" s="81"/>
      <c r="BQ23" s="81"/>
      <c r="BR23" s="12"/>
      <c r="BS23" s="12"/>
      <c r="BT23" s="12"/>
      <c r="BU23" s="12"/>
      <c r="BV23" s="12"/>
      <c r="BW23" s="12"/>
      <c r="BX23" s="13"/>
    </row>
    <row r="24" spans="1:76" ht="13.9" customHeight="1">
      <c r="A24" s="845" t="s">
        <v>335</v>
      </c>
      <c r="B24" s="845"/>
      <c r="C24" s="845"/>
      <c r="D24" s="845"/>
      <c r="E24" s="845"/>
      <c r="F24" s="845"/>
      <c r="G24" s="845"/>
      <c r="H24" s="845"/>
      <c r="I24" s="845"/>
      <c r="J24" s="845"/>
      <c r="K24" s="845"/>
      <c r="L24" s="845"/>
      <c r="M24" s="845"/>
      <c r="N24" s="845"/>
      <c r="O24" s="845"/>
      <c r="P24" s="845"/>
      <c r="Q24" s="845"/>
      <c r="R24" s="838" t="s">
        <v>37</v>
      </c>
      <c r="S24" s="838"/>
      <c r="T24" s="147"/>
      <c r="U24" s="81"/>
      <c r="V24" s="81"/>
      <c r="W24" s="81"/>
      <c r="X24" s="81"/>
      <c r="Y24" s="81"/>
      <c r="Z24" s="81"/>
      <c r="AA24" s="81"/>
      <c r="AB24" s="81"/>
      <c r="AC24" s="81"/>
      <c r="AD24" s="81"/>
      <c r="AE24" s="81"/>
      <c r="AF24" s="12"/>
      <c r="AG24" s="12"/>
      <c r="AH24" s="12"/>
      <c r="AI24" s="12"/>
      <c r="AJ24" s="12"/>
      <c r="AK24" s="12"/>
      <c r="AL24" s="13"/>
      <c r="AM24" s="147"/>
      <c r="AN24" s="81"/>
      <c r="AO24" s="81"/>
      <c r="AP24" s="81"/>
      <c r="AQ24" s="81"/>
      <c r="AR24" s="81"/>
      <c r="AS24" s="81"/>
      <c r="AT24" s="81"/>
      <c r="AU24" s="81"/>
      <c r="AV24" s="81"/>
      <c r="AW24" s="81"/>
      <c r="AX24" s="81"/>
      <c r="AY24" s="12"/>
      <c r="AZ24" s="12"/>
      <c r="BA24" s="12"/>
      <c r="BB24" s="12"/>
      <c r="BC24" s="12"/>
      <c r="BD24" s="12"/>
      <c r="BE24" s="13"/>
      <c r="BF24" s="147"/>
      <c r="BG24" s="81"/>
      <c r="BH24" s="81"/>
      <c r="BI24" s="81"/>
      <c r="BJ24" s="81"/>
      <c r="BK24" s="81"/>
      <c r="BL24" s="81"/>
      <c r="BM24" s="81"/>
      <c r="BN24" s="81"/>
      <c r="BO24" s="81"/>
      <c r="BP24" s="81"/>
      <c r="BQ24" s="81"/>
      <c r="BR24" s="12"/>
      <c r="BS24" s="12"/>
      <c r="BT24" s="12"/>
      <c r="BU24" s="12"/>
      <c r="BV24" s="12"/>
      <c r="BW24" s="12"/>
      <c r="BX24" s="13"/>
    </row>
    <row r="25" spans="1:76" ht="13.9" customHeight="1">
      <c r="A25" s="845"/>
      <c r="B25" s="845"/>
      <c r="C25" s="845"/>
      <c r="D25" s="845"/>
      <c r="E25" s="845"/>
      <c r="F25" s="845"/>
      <c r="G25" s="845"/>
      <c r="H25" s="845"/>
      <c r="I25" s="845"/>
      <c r="J25" s="845"/>
      <c r="K25" s="845"/>
      <c r="L25" s="845"/>
      <c r="M25" s="845"/>
      <c r="N25" s="845"/>
      <c r="O25" s="845"/>
      <c r="P25" s="845"/>
      <c r="Q25" s="845"/>
      <c r="R25" s="838"/>
      <c r="S25" s="838"/>
      <c r="T25" s="147"/>
      <c r="U25" s="81"/>
      <c r="V25" s="81"/>
      <c r="W25" s="81"/>
      <c r="X25" s="81"/>
      <c r="Y25" s="81"/>
      <c r="Z25" s="81"/>
      <c r="AA25" s="81"/>
      <c r="AB25" s="81"/>
      <c r="AC25" s="81"/>
      <c r="AD25" s="81"/>
      <c r="AE25" s="81"/>
      <c r="AF25" s="12"/>
      <c r="AG25" s="12"/>
      <c r="AH25" s="12"/>
      <c r="AI25" s="12"/>
      <c r="AJ25" s="12"/>
      <c r="AK25" s="12"/>
      <c r="AL25" s="13"/>
      <c r="AM25" s="147"/>
      <c r="AN25" s="81"/>
      <c r="AO25" s="81"/>
      <c r="AP25" s="81"/>
      <c r="AQ25" s="81"/>
      <c r="AR25" s="81"/>
      <c r="AS25" s="81"/>
      <c r="AT25" s="81"/>
      <c r="AU25" s="81"/>
      <c r="AV25" s="81"/>
      <c r="AW25" s="81"/>
      <c r="AX25" s="81"/>
      <c r="AY25" s="12"/>
      <c r="AZ25" s="12"/>
      <c r="BA25" s="12"/>
      <c r="BB25" s="12"/>
      <c r="BC25" s="12"/>
      <c r="BD25" s="12"/>
      <c r="BE25" s="13"/>
      <c r="BF25" s="147"/>
      <c r="BG25" s="81"/>
      <c r="BH25" s="81"/>
      <c r="BI25" s="81"/>
      <c r="BJ25" s="81"/>
      <c r="BK25" s="81"/>
      <c r="BL25" s="81"/>
      <c r="BM25" s="81"/>
      <c r="BN25" s="81"/>
      <c r="BO25" s="81"/>
      <c r="BP25" s="81"/>
      <c r="BQ25" s="81"/>
      <c r="BR25" s="12"/>
      <c r="BS25" s="12"/>
      <c r="BT25" s="12"/>
      <c r="BU25" s="12"/>
      <c r="BV25" s="12"/>
      <c r="BW25" s="12"/>
      <c r="BX25" s="13"/>
    </row>
    <row r="26" spans="1:76" ht="13.9" customHeight="1">
      <c r="A26" s="845" t="s">
        <v>398</v>
      </c>
      <c r="B26" s="496"/>
      <c r="C26" s="496"/>
      <c r="D26" s="496"/>
      <c r="E26" s="496"/>
      <c r="F26" s="496"/>
      <c r="G26" s="496"/>
      <c r="H26" s="496"/>
      <c r="I26" s="496"/>
      <c r="J26" s="496"/>
      <c r="K26" s="496"/>
      <c r="L26" s="496"/>
      <c r="M26" s="496"/>
      <c r="N26" s="496"/>
      <c r="O26" s="496"/>
      <c r="P26" s="496"/>
      <c r="Q26" s="496"/>
      <c r="R26" s="848" t="s">
        <v>37</v>
      </c>
      <c r="S26" s="848"/>
      <c r="T26" s="147"/>
      <c r="U26" s="81"/>
      <c r="V26" s="81"/>
      <c r="W26" s="81"/>
      <c r="X26" s="81"/>
      <c r="Y26" s="81"/>
      <c r="Z26" s="81"/>
      <c r="AA26" s="81"/>
      <c r="AB26" s="81"/>
      <c r="AC26" s="81"/>
      <c r="AD26" s="81"/>
      <c r="AE26" s="81"/>
      <c r="AF26" s="12"/>
      <c r="AG26" s="12"/>
      <c r="AH26" s="12"/>
      <c r="AI26" s="12"/>
      <c r="AJ26" s="12"/>
      <c r="AK26" s="12"/>
      <c r="AL26" s="13"/>
      <c r="AM26" s="147"/>
      <c r="AN26" s="81"/>
      <c r="AO26" s="81"/>
      <c r="AP26" s="81"/>
      <c r="AQ26" s="81"/>
      <c r="AR26" s="81"/>
      <c r="AS26" s="81"/>
      <c r="AT26" s="81"/>
      <c r="AU26" s="81"/>
      <c r="AV26" s="81"/>
      <c r="AW26" s="81"/>
      <c r="AX26" s="81"/>
      <c r="AY26" s="12"/>
      <c r="AZ26" s="12"/>
      <c r="BA26" s="12"/>
      <c r="BB26" s="12"/>
      <c r="BC26" s="12"/>
      <c r="BD26" s="12"/>
      <c r="BE26" s="13"/>
      <c r="BF26" s="147"/>
      <c r="BG26" s="81"/>
      <c r="BH26" s="81"/>
      <c r="BI26" s="81"/>
      <c r="BJ26" s="81"/>
      <c r="BK26" s="81"/>
      <c r="BL26" s="81"/>
      <c r="BM26" s="81"/>
      <c r="BN26" s="81"/>
      <c r="BO26" s="81"/>
      <c r="BP26" s="81"/>
      <c r="BQ26" s="81"/>
      <c r="BR26" s="12"/>
      <c r="BS26" s="12"/>
      <c r="BT26" s="12"/>
      <c r="BU26" s="12"/>
      <c r="BV26" s="12"/>
      <c r="BW26" s="12"/>
      <c r="BX26" s="13"/>
    </row>
    <row r="27" spans="1:76" ht="13.9" customHeight="1">
      <c r="A27" s="846" t="s">
        <v>262</v>
      </c>
      <c r="B27" s="846"/>
      <c r="C27" s="846"/>
      <c r="D27" s="846"/>
      <c r="E27" s="846"/>
      <c r="F27" s="846"/>
      <c r="G27" s="846"/>
      <c r="H27" s="846"/>
      <c r="I27" s="846"/>
      <c r="J27" s="846"/>
      <c r="K27" s="846"/>
      <c r="L27" s="846"/>
      <c r="M27" s="846"/>
      <c r="N27" s="846"/>
      <c r="O27" s="846"/>
      <c r="P27" s="846"/>
      <c r="Q27" s="846"/>
      <c r="R27" s="848" t="s">
        <v>37</v>
      </c>
      <c r="S27" s="848"/>
      <c r="T27" s="147"/>
      <c r="U27" s="81"/>
      <c r="V27" s="81"/>
      <c r="W27" s="81"/>
      <c r="X27" s="81"/>
      <c r="Y27" s="81"/>
      <c r="Z27" s="81"/>
      <c r="AA27" s="81"/>
      <c r="AB27" s="81"/>
      <c r="AC27" s="81"/>
      <c r="AD27" s="81"/>
      <c r="AE27" s="81"/>
      <c r="AF27" s="12"/>
      <c r="AG27" s="12"/>
      <c r="AH27" s="12"/>
      <c r="AI27" s="12"/>
      <c r="AJ27" s="12"/>
      <c r="AK27" s="12"/>
      <c r="AL27" s="13"/>
      <c r="AM27" s="147"/>
      <c r="AN27" s="81"/>
      <c r="AO27" s="81"/>
      <c r="AP27" s="81"/>
      <c r="AQ27" s="81"/>
      <c r="AR27" s="81"/>
      <c r="AS27" s="81"/>
      <c r="AT27" s="81"/>
      <c r="AU27" s="81"/>
      <c r="AV27" s="81"/>
      <c r="AW27" s="81"/>
      <c r="AX27" s="81"/>
      <c r="AY27" s="12"/>
      <c r="AZ27" s="12"/>
      <c r="BA27" s="12"/>
      <c r="BB27" s="12"/>
      <c r="BC27" s="12"/>
      <c r="BD27" s="12"/>
      <c r="BE27" s="13"/>
      <c r="BF27" s="147"/>
      <c r="BG27" s="81"/>
      <c r="BH27" s="81"/>
      <c r="BI27" s="81"/>
      <c r="BJ27" s="81"/>
      <c r="BK27" s="81"/>
      <c r="BL27" s="81"/>
      <c r="BM27" s="81"/>
      <c r="BN27" s="81"/>
      <c r="BO27" s="81"/>
      <c r="BP27" s="81"/>
      <c r="BQ27" s="81"/>
      <c r="BR27" s="12"/>
      <c r="BS27" s="12"/>
      <c r="BT27" s="12"/>
      <c r="BU27" s="12"/>
      <c r="BV27" s="12"/>
      <c r="BW27" s="12"/>
      <c r="BX27" s="13"/>
    </row>
    <row r="28" spans="1:76" ht="13.9" customHeight="1">
      <c r="A28" s="496" t="s">
        <v>263</v>
      </c>
      <c r="B28" s="496"/>
      <c r="C28" s="496"/>
      <c r="D28" s="496"/>
      <c r="E28" s="496"/>
      <c r="F28" s="496"/>
      <c r="G28" s="496"/>
      <c r="H28" s="496"/>
      <c r="I28" s="496"/>
      <c r="J28" s="496"/>
      <c r="K28" s="496"/>
      <c r="L28" s="496"/>
      <c r="M28" s="496"/>
      <c r="N28" s="496"/>
      <c r="O28" s="496"/>
      <c r="P28" s="496"/>
      <c r="Q28" s="496"/>
      <c r="R28" s="848" t="s">
        <v>37</v>
      </c>
      <c r="S28" s="848"/>
      <c r="T28" s="147"/>
      <c r="U28" s="81"/>
      <c r="V28" s="81"/>
      <c r="W28" s="81"/>
      <c r="X28" s="81"/>
      <c r="Y28" s="81"/>
      <c r="Z28" s="81"/>
      <c r="AA28" s="81"/>
      <c r="AB28" s="81"/>
      <c r="AC28" s="81"/>
      <c r="AD28" s="81"/>
      <c r="AE28" s="81"/>
      <c r="AF28" s="12"/>
      <c r="AG28" s="12"/>
      <c r="AH28" s="12"/>
      <c r="AI28" s="12"/>
      <c r="AJ28" s="12"/>
      <c r="AK28" s="12"/>
      <c r="AL28" s="13"/>
      <c r="AM28" s="147"/>
      <c r="AN28" s="81"/>
      <c r="AO28" s="81"/>
      <c r="AP28" s="81"/>
      <c r="AQ28" s="81"/>
      <c r="AR28" s="81"/>
      <c r="AS28" s="81"/>
      <c r="AT28" s="81"/>
      <c r="AU28" s="81"/>
      <c r="AV28" s="81"/>
      <c r="AW28" s="81"/>
      <c r="AX28" s="81"/>
      <c r="AY28" s="12"/>
      <c r="AZ28" s="12"/>
      <c r="BA28" s="12"/>
      <c r="BB28" s="12"/>
      <c r="BC28" s="12"/>
      <c r="BD28" s="12"/>
      <c r="BE28" s="13"/>
      <c r="BF28" s="147"/>
      <c r="BG28" s="81"/>
      <c r="BH28" s="81"/>
      <c r="BI28" s="81"/>
      <c r="BJ28" s="81"/>
      <c r="BK28" s="81"/>
      <c r="BL28" s="81"/>
      <c r="BM28" s="81"/>
      <c r="BN28" s="81"/>
      <c r="BO28" s="81"/>
      <c r="BP28" s="81"/>
      <c r="BQ28" s="81"/>
      <c r="BR28" s="12"/>
      <c r="BS28" s="12"/>
      <c r="BT28" s="12"/>
      <c r="BU28" s="12"/>
      <c r="BV28" s="12"/>
      <c r="BW28" s="12"/>
      <c r="BX28" s="13"/>
    </row>
    <row r="29" spans="1:76" ht="13.9" customHeight="1">
      <c r="A29" s="847" t="s">
        <v>324</v>
      </c>
      <c r="B29" s="847"/>
      <c r="C29" s="847"/>
      <c r="D29" s="847"/>
      <c r="E29" s="847"/>
      <c r="F29" s="847"/>
      <c r="G29" s="847"/>
      <c r="H29" s="847"/>
      <c r="I29" s="847"/>
      <c r="J29" s="847"/>
      <c r="K29" s="847"/>
      <c r="L29" s="847"/>
      <c r="M29" s="847"/>
      <c r="N29" s="847"/>
      <c r="O29" s="847"/>
      <c r="P29" s="847"/>
      <c r="Q29" s="847"/>
      <c r="R29" s="848" t="s">
        <v>37</v>
      </c>
      <c r="S29" s="848"/>
      <c r="T29" s="147"/>
      <c r="U29" s="81"/>
      <c r="V29" s="81"/>
      <c r="W29" s="81"/>
      <c r="X29" s="81"/>
      <c r="Y29" s="81"/>
      <c r="Z29" s="81"/>
      <c r="AA29" s="81"/>
      <c r="AB29" s="81"/>
      <c r="AC29" s="81"/>
      <c r="AD29" s="81"/>
      <c r="AE29" s="81"/>
      <c r="AF29" s="12"/>
      <c r="AG29" s="12"/>
      <c r="AH29" s="12"/>
      <c r="AI29" s="12"/>
      <c r="AJ29" s="12"/>
      <c r="AK29" s="12"/>
      <c r="AL29" s="13"/>
      <c r="AM29" s="147"/>
      <c r="AN29" s="81"/>
      <c r="AO29" s="81"/>
      <c r="AP29" s="81"/>
      <c r="AQ29" s="81"/>
      <c r="AR29" s="81"/>
      <c r="AS29" s="81"/>
      <c r="AT29" s="81"/>
      <c r="AU29" s="81"/>
      <c r="AV29" s="81"/>
      <c r="AW29" s="81"/>
      <c r="AX29" s="81"/>
      <c r="AY29" s="12"/>
      <c r="AZ29" s="12"/>
      <c r="BA29" s="12"/>
      <c r="BB29" s="12"/>
      <c r="BC29" s="12"/>
      <c r="BD29" s="12"/>
      <c r="BE29" s="13"/>
      <c r="BF29" s="147"/>
      <c r="BG29" s="81"/>
      <c r="BH29" s="81"/>
      <c r="BI29" s="81"/>
      <c r="BJ29" s="81"/>
      <c r="BK29" s="81"/>
      <c r="BL29" s="81"/>
      <c r="BM29" s="81"/>
      <c r="BN29" s="81"/>
      <c r="BO29" s="81"/>
      <c r="BP29" s="81"/>
      <c r="BQ29" s="81"/>
      <c r="BR29" s="12"/>
      <c r="BS29" s="12"/>
      <c r="BT29" s="12"/>
      <c r="BU29" s="12"/>
      <c r="BV29" s="12"/>
      <c r="BW29" s="12"/>
      <c r="BX29" s="13"/>
    </row>
    <row r="30" spans="1:76" ht="13.9" customHeight="1">
      <c r="A30" s="496" t="s">
        <v>437</v>
      </c>
      <c r="B30" s="496"/>
      <c r="C30" s="496"/>
      <c r="D30" s="496"/>
      <c r="E30" s="496"/>
      <c r="F30" s="496"/>
      <c r="G30" s="496"/>
      <c r="H30" s="496"/>
      <c r="I30" s="496"/>
      <c r="J30" s="496"/>
      <c r="K30" s="496"/>
      <c r="L30" s="496"/>
      <c r="M30" s="496"/>
      <c r="N30" s="496"/>
      <c r="O30" s="496"/>
      <c r="P30" s="496"/>
      <c r="Q30" s="496"/>
      <c r="R30" s="848" t="s">
        <v>37</v>
      </c>
      <c r="S30" s="848"/>
      <c r="T30" s="147"/>
      <c r="U30" s="81"/>
      <c r="V30" s="81"/>
      <c r="W30" s="81"/>
      <c r="X30" s="81"/>
      <c r="Y30" s="81"/>
      <c r="Z30" s="81"/>
      <c r="AA30" s="81"/>
      <c r="AB30" s="81"/>
      <c r="AC30" s="81"/>
      <c r="AD30" s="81"/>
      <c r="AE30" s="81"/>
      <c r="AF30" s="12"/>
      <c r="AG30" s="12"/>
      <c r="AH30" s="12"/>
      <c r="AI30" s="12"/>
      <c r="AJ30" s="12"/>
      <c r="AK30" s="12"/>
      <c r="AL30" s="13"/>
      <c r="AM30" s="147"/>
      <c r="AN30" s="81"/>
      <c r="AO30" s="81"/>
      <c r="AP30" s="81"/>
      <c r="AQ30" s="81"/>
      <c r="AR30" s="81"/>
      <c r="AS30" s="81"/>
      <c r="AT30" s="81"/>
      <c r="AU30" s="81"/>
      <c r="AV30" s="81"/>
      <c r="AW30" s="81"/>
      <c r="AX30" s="81"/>
      <c r="AY30" s="12"/>
      <c r="AZ30" s="12"/>
      <c r="BA30" s="12"/>
      <c r="BB30" s="12"/>
      <c r="BC30" s="12"/>
      <c r="BD30" s="12"/>
      <c r="BE30" s="13"/>
      <c r="BF30" s="147"/>
      <c r="BG30" s="81"/>
      <c r="BH30" s="81"/>
      <c r="BI30" s="81"/>
      <c r="BJ30" s="81"/>
      <c r="BK30" s="81"/>
      <c r="BL30" s="81"/>
      <c r="BM30" s="81"/>
      <c r="BN30" s="81"/>
      <c r="BO30" s="81"/>
      <c r="BP30" s="81"/>
      <c r="BQ30" s="81"/>
      <c r="BR30" s="12"/>
      <c r="BS30" s="12"/>
      <c r="BT30" s="12"/>
      <c r="BU30" s="12"/>
      <c r="BV30" s="12"/>
      <c r="BW30" s="12"/>
      <c r="BX30" s="13"/>
    </row>
    <row r="31" spans="1:76">
      <c r="A31" s="845" t="s">
        <v>399</v>
      </c>
      <c r="B31" s="845"/>
      <c r="C31" s="845"/>
      <c r="D31" s="845"/>
      <c r="E31" s="845"/>
      <c r="F31" s="845"/>
      <c r="G31" s="845"/>
      <c r="H31" s="845"/>
      <c r="I31" s="845"/>
      <c r="J31" s="845"/>
      <c r="K31" s="845"/>
      <c r="L31" s="845"/>
      <c r="M31" s="845"/>
      <c r="N31" s="845"/>
      <c r="O31" s="845"/>
      <c r="P31" s="845"/>
      <c r="Q31" s="845"/>
      <c r="R31" s="838" t="s">
        <v>37</v>
      </c>
      <c r="S31" s="838"/>
      <c r="T31" s="147"/>
      <c r="U31" s="81"/>
      <c r="V31" s="81"/>
      <c r="W31" s="81"/>
      <c r="X31" s="81"/>
      <c r="Y31" s="81"/>
      <c r="Z31" s="81"/>
      <c r="AA31" s="81"/>
      <c r="AB31" s="81"/>
      <c r="AC31" s="81"/>
      <c r="AD31" s="81"/>
      <c r="AE31" s="81"/>
      <c r="AF31" s="12"/>
      <c r="AG31" s="12"/>
      <c r="AH31" s="12"/>
      <c r="AI31" s="12"/>
      <c r="AJ31" s="12"/>
      <c r="AK31" s="12"/>
      <c r="AL31" s="13"/>
      <c r="AM31" s="147"/>
      <c r="AN31" s="81"/>
      <c r="AO31" s="81"/>
      <c r="AP31" s="81"/>
      <c r="AQ31" s="81"/>
      <c r="AR31" s="81"/>
      <c r="AS31" s="81"/>
      <c r="AT31" s="81"/>
      <c r="AU31" s="81"/>
      <c r="AV31" s="81"/>
      <c r="AW31" s="81"/>
      <c r="AX31" s="81"/>
      <c r="AY31" s="12"/>
      <c r="AZ31" s="12"/>
      <c r="BA31" s="12"/>
      <c r="BB31" s="12"/>
      <c r="BC31" s="12"/>
      <c r="BD31" s="12"/>
      <c r="BE31" s="13"/>
      <c r="BF31" s="147"/>
      <c r="BG31" s="81"/>
      <c r="BH31" s="81"/>
      <c r="BI31" s="81"/>
      <c r="BJ31" s="81"/>
      <c r="BK31" s="81"/>
      <c r="BL31" s="81"/>
      <c r="BM31" s="81"/>
      <c r="BN31" s="81"/>
      <c r="BO31" s="81"/>
      <c r="BP31" s="81"/>
      <c r="BQ31" s="81"/>
      <c r="BR31" s="12"/>
      <c r="BS31" s="12"/>
      <c r="BT31" s="12"/>
      <c r="BU31" s="12"/>
      <c r="BV31" s="12"/>
      <c r="BW31" s="12"/>
      <c r="BX31" s="13"/>
    </row>
    <row r="32" spans="1:76" ht="13.5" customHeight="1">
      <c r="A32" s="845"/>
      <c r="B32" s="845"/>
      <c r="C32" s="845"/>
      <c r="D32" s="845"/>
      <c r="E32" s="845"/>
      <c r="F32" s="845"/>
      <c r="G32" s="845"/>
      <c r="H32" s="845"/>
      <c r="I32" s="845"/>
      <c r="J32" s="845"/>
      <c r="K32" s="845"/>
      <c r="L32" s="845"/>
      <c r="M32" s="845"/>
      <c r="N32" s="845"/>
      <c r="O32" s="845"/>
      <c r="P32" s="845"/>
      <c r="Q32" s="845"/>
      <c r="R32" s="838"/>
      <c r="S32" s="838"/>
      <c r="T32" s="147"/>
      <c r="U32" s="81"/>
      <c r="V32" s="81"/>
      <c r="W32" s="81"/>
      <c r="X32" s="81"/>
      <c r="Y32" s="81"/>
      <c r="Z32" s="81"/>
      <c r="AA32" s="81"/>
      <c r="AB32" s="81"/>
      <c r="AC32" s="81"/>
      <c r="AD32" s="81"/>
      <c r="AE32" s="81"/>
      <c r="AF32" s="12"/>
      <c r="AG32" s="12"/>
      <c r="AH32" s="12"/>
      <c r="AI32" s="12"/>
      <c r="AJ32" s="12"/>
      <c r="AK32" s="12"/>
      <c r="AL32" s="13"/>
      <c r="AM32" s="147"/>
      <c r="AN32" s="81"/>
      <c r="AO32" s="81"/>
      <c r="AP32" s="81"/>
      <c r="AQ32" s="81"/>
      <c r="AR32" s="81"/>
      <c r="AS32" s="81"/>
      <c r="AT32" s="81"/>
      <c r="AU32" s="81"/>
      <c r="AV32" s="81"/>
      <c r="AW32" s="81"/>
      <c r="AX32" s="81"/>
      <c r="AY32" s="12"/>
      <c r="AZ32" s="12"/>
      <c r="BA32" s="12"/>
      <c r="BB32" s="12"/>
      <c r="BC32" s="12"/>
      <c r="BD32" s="12"/>
      <c r="BE32" s="13"/>
      <c r="BF32" s="147"/>
      <c r="BG32" s="81"/>
      <c r="BH32" s="81"/>
      <c r="BI32" s="81"/>
      <c r="BJ32" s="81"/>
      <c r="BK32" s="81"/>
      <c r="BL32" s="81"/>
      <c r="BM32" s="81"/>
      <c r="BN32" s="81"/>
      <c r="BO32" s="81"/>
      <c r="BP32" s="81"/>
      <c r="BQ32" s="81"/>
      <c r="BR32" s="12"/>
      <c r="BS32" s="12"/>
      <c r="BT32" s="12"/>
      <c r="BU32" s="12"/>
      <c r="BV32" s="12"/>
      <c r="BW32" s="12"/>
      <c r="BX32" s="13"/>
    </row>
    <row r="33" spans="1:76" ht="13.5" customHeight="1">
      <c r="A33" s="836" t="s">
        <v>400</v>
      </c>
      <c r="B33" s="837"/>
      <c r="C33" s="837"/>
      <c r="D33" s="837"/>
      <c r="E33" s="837"/>
      <c r="F33" s="837"/>
      <c r="G33" s="837"/>
      <c r="H33" s="837"/>
      <c r="I33" s="837"/>
      <c r="J33" s="837"/>
      <c r="K33" s="837"/>
      <c r="L33" s="837"/>
      <c r="M33" s="837"/>
      <c r="N33" s="837"/>
      <c r="O33" s="837"/>
      <c r="P33" s="837"/>
      <c r="Q33" s="837"/>
      <c r="R33" s="848" t="s">
        <v>37</v>
      </c>
      <c r="S33" s="848"/>
      <c r="T33" s="147"/>
      <c r="U33" s="81"/>
      <c r="V33" s="81"/>
      <c r="W33" s="81"/>
      <c r="X33" s="81"/>
      <c r="Y33" s="81"/>
      <c r="Z33" s="81"/>
      <c r="AA33" s="81"/>
      <c r="AB33" s="81"/>
      <c r="AC33" s="81"/>
      <c r="AD33" s="81"/>
      <c r="AE33" s="81"/>
      <c r="AF33" s="12"/>
      <c r="AG33" s="12"/>
      <c r="AH33" s="12"/>
      <c r="AI33" s="12"/>
      <c r="AJ33" s="12"/>
      <c r="AK33" s="12"/>
      <c r="AL33" s="13"/>
      <c r="AM33" s="147"/>
      <c r="AN33" s="81"/>
      <c r="AO33" s="81"/>
      <c r="AP33" s="81"/>
      <c r="AQ33" s="81"/>
      <c r="AR33" s="81"/>
      <c r="AS33" s="81"/>
      <c r="AT33" s="81"/>
      <c r="AU33" s="81"/>
      <c r="AV33" s="81"/>
      <c r="AW33" s="81"/>
      <c r="AX33" s="81"/>
      <c r="AY33" s="12"/>
      <c r="AZ33" s="12"/>
      <c r="BA33" s="12"/>
      <c r="BB33" s="12"/>
      <c r="BC33" s="12"/>
      <c r="BD33" s="12"/>
      <c r="BE33" s="13"/>
      <c r="BF33" s="147"/>
      <c r="BG33" s="81"/>
      <c r="BH33" s="81"/>
      <c r="BI33" s="81"/>
      <c r="BJ33" s="81"/>
      <c r="BK33" s="81"/>
      <c r="BL33" s="81"/>
      <c r="BM33" s="81"/>
      <c r="BN33" s="81"/>
      <c r="BO33" s="81"/>
      <c r="BP33" s="81"/>
      <c r="BQ33" s="81"/>
      <c r="BR33" s="12"/>
      <c r="BS33" s="12"/>
      <c r="BT33" s="12"/>
      <c r="BU33" s="12"/>
      <c r="BV33" s="12"/>
      <c r="BW33" s="12"/>
      <c r="BX33" s="13"/>
    </row>
    <row r="34" spans="1:76" ht="13.5" customHeight="1">
      <c r="A34" s="8"/>
      <c r="B34" s="9"/>
      <c r="C34" s="9"/>
      <c r="D34" s="9"/>
      <c r="E34" s="9"/>
      <c r="F34" s="9"/>
      <c r="G34" s="9"/>
      <c r="H34" s="9"/>
      <c r="I34" s="9"/>
      <c r="J34" s="9"/>
      <c r="K34" s="9"/>
      <c r="L34" s="9"/>
      <c r="M34" s="9"/>
      <c r="N34" s="9"/>
      <c r="O34" s="9"/>
      <c r="P34" s="9"/>
      <c r="Q34" s="9"/>
      <c r="R34" s="9"/>
      <c r="S34" s="10"/>
      <c r="T34" s="147"/>
      <c r="U34" s="81"/>
      <c r="V34" s="81"/>
      <c r="W34" s="81"/>
      <c r="X34" s="81"/>
      <c r="Y34" s="81"/>
      <c r="Z34" s="81"/>
      <c r="AA34" s="81"/>
      <c r="AB34" s="81"/>
      <c r="AC34" s="81"/>
      <c r="AD34" s="81"/>
      <c r="AE34" s="81"/>
      <c r="AF34" s="12"/>
      <c r="AG34" s="12"/>
      <c r="AH34" s="12"/>
      <c r="AI34" s="12"/>
      <c r="AJ34" s="12"/>
      <c r="AK34" s="12"/>
      <c r="AL34" s="13"/>
      <c r="AM34" s="147"/>
      <c r="AN34" s="81"/>
      <c r="AO34" s="81"/>
      <c r="AP34" s="81"/>
      <c r="AQ34" s="81"/>
      <c r="AR34" s="81"/>
      <c r="AS34" s="81"/>
      <c r="AT34" s="81"/>
      <c r="AU34" s="81"/>
      <c r="AV34" s="81"/>
      <c r="AW34" s="81"/>
      <c r="AX34" s="81"/>
      <c r="AY34" s="12"/>
      <c r="AZ34" s="12"/>
      <c r="BA34" s="12"/>
      <c r="BB34" s="12"/>
      <c r="BC34" s="12"/>
      <c r="BD34" s="12"/>
      <c r="BE34" s="13"/>
      <c r="BF34" s="147"/>
      <c r="BG34" s="81"/>
      <c r="BH34" s="81"/>
      <c r="BI34" s="81"/>
      <c r="BJ34" s="81"/>
      <c r="BK34" s="81"/>
      <c r="BL34" s="81"/>
      <c r="BM34" s="81"/>
      <c r="BN34" s="81"/>
      <c r="BO34" s="81"/>
      <c r="BP34" s="81"/>
      <c r="BQ34" s="81"/>
      <c r="BR34" s="12"/>
      <c r="BS34" s="12"/>
      <c r="BT34" s="12"/>
      <c r="BU34" s="12"/>
      <c r="BV34" s="12"/>
      <c r="BW34" s="12"/>
      <c r="BX34" s="13"/>
    </row>
    <row r="35" spans="1:76">
      <c r="A35" s="11"/>
      <c r="B35" s="12"/>
      <c r="C35" s="12"/>
      <c r="D35" s="12"/>
      <c r="E35" s="12"/>
      <c r="F35" s="12"/>
      <c r="G35" s="12"/>
      <c r="H35" s="144"/>
      <c r="I35" s="12"/>
      <c r="J35" s="12"/>
      <c r="K35" s="12"/>
      <c r="L35" s="12"/>
      <c r="M35" s="12"/>
      <c r="N35" s="12"/>
      <c r="O35" s="12"/>
      <c r="P35" s="12"/>
      <c r="Q35" s="12"/>
      <c r="R35" s="12"/>
      <c r="S35" s="13"/>
      <c r="T35" s="11"/>
      <c r="U35" s="81"/>
      <c r="V35" s="81"/>
      <c r="W35" s="81"/>
      <c r="X35" s="81"/>
      <c r="Y35" s="81"/>
      <c r="Z35" s="81"/>
      <c r="AA35" s="81"/>
      <c r="AB35" s="81"/>
      <c r="AC35" s="81"/>
      <c r="AD35" s="81"/>
      <c r="AE35" s="81"/>
      <c r="AF35" s="12"/>
      <c r="AG35" s="12"/>
      <c r="AH35" s="12"/>
      <c r="AI35" s="12"/>
      <c r="AJ35" s="12"/>
      <c r="AK35" s="12"/>
      <c r="AL35" s="13"/>
      <c r="AM35" s="11"/>
      <c r="AN35" s="81"/>
      <c r="AO35" s="81"/>
      <c r="AP35" s="81"/>
      <c r="AQ35" s="81"/>
      <c r="AR35" s="81"/>
      <c r="AS35" s="81"/>
      <c r="AT35" s="81"/>
      <c r="AU35" s="81"/>
      <c r="AV35" s="81"/>
      <c r="AW35" s="81"/>
      <c r="AX35" s="81"/>
      <c r="AY35" s="12"/>
      <c r="AZ35" s="12"/>
      <c r="BA35" s="12"/>
      <c r="BB35" s="12"/>
      <c r="BC35" s="12"/>
      <c r="BD35" s="12"/>
      <c r="BE35" s="13"/>
      <c r="BF35" s="11"/>
      <c r="BG35" s="81"/>
      <c r="BH35" s="81"/>
      <c r="BI35" s="81"/>
      <c r="BJ35" s="81"/>
      <c r="BK35" s="81"/>
      <c r="BL35" s="81"/>
      <c r="BM35" s="81"/>
      <c r="BN35" s="81"/>
      <c r="BO35" s="81"/>
      <c r="BP35" s="81"/>
      <c r="BQ35" s="81"/>
      <c r="BR35" s="12"/>
      <c r="BS35" s="12"/>
      <c r="BT35" s="12"/>
      <c r="BU35" s="12"/>
      <c r="BV35" s="12"/>
      <c r="BW35" s="12"/>
      <c r="BX35" s="13"/>
    </row>
    <row r="36" spans="1:76">
      <c r="A36" s="11"/>
      <c r="B36" s="12"/>
      <c r="C36" s="12"/>
      <c r="D36" s="12"/>
      <c r="E36" s="12"/>
      <c r="F36" s="12"/>
      <c r="G36" s="12"/>
      <c r="H36" s="12"/>
      <c r="I36" s="12"/>
      <c r="J36" s="12"/>
      <c r="K36" s="12"/>
      <c r="L36" s="12"/>
      <c r="M36" s="12"/>
      <c r="N36" s="12"/>
      <c r="O36" s="12"/>
      <c r="P36" s="12"/>
      <c r="Q36" s="12"/>
      <c r="R36" s="12"/>
      <c r="S36" s="13"/>
      <c r="T36" s="11"/>
      <c r="U36" s="12"/>
      <c r="V36" s="12"/>
      <c r="W36" s="143"/>
      <c r="X36" s="12"/>
      <c r="Y36" s="12"/>
      <c r="Z36" s="12"/>
      <c r="AA36" s="12"/>
      <c r="AB36" s="12"/>
      <c r="AC36" s="12"/>
      <c r="AD36" s="12"/>
      <c r="AE36" s="12"/>
      <c r="AF36" s="12"/>
      <c r="AG36" s="12"/>
      <c r="AH36" s="12"/>
      <c r="AI36" s="12"/>
      <c r="AJ36" s="12"/>
      <c r="AK36" s="12"/>
      <c r="AL36" s="13"/>
      <c r="AM36" s="11"/>
      <c r="AN36" s="12"/>
      <c r="AO36" s="12"/>
      <c r="AP36" s="143"/>
      <c r="AQ36" s="12"/>
      <c r="AR36" s="12"/>
      <c r="AS36" s="12"/>
      <c r="AT36" s="12"/>
      <c r="AU36" s="12"/>
      <c r="AV36" s="12"/>
      <c r="AW36" s="12"/>
      <c r="AX36" s="12"/>
      <c r="AY36" s="12"/>
      <c r="AZ36" s="12"/>
      <c r="BA36" s="12"/>
      <c r="BB36" s="12"/>
      <c r="BC36" s="12"/>
      <c r="BD36" s="12"/>
      <c r="BE36" s="13"/>
      <c r="BF36" s="11"/>
      <c r="BG36" s="12"/>
      <c r="BH36" s="12"/>
      <c r="BI36" s="143"/>
      <c r="BJ36" s="12"/>
      <c r="BK36" s="12"/>
      <c r="BL36" s="12"/>
      <c r="BM36" s="12"/>
      <c r="BN36" s="12"/>
      <c r="BO36" s="12"/>
      <c r="BP36" s="12"/>
      <c r="BQ36" s="12"/>
      <c r="BR36" s="12"/>
      <c r="BS36" s="12"/>
      <c r="BT36" s="12"/>
      <c r="BU36" s="12"/>
      <c r="BV36" s="12"/>
      <c r="BW36" s="12"/>
      <c r="BX36" s="13"/>
    </row>
    <row r="37" spans="1:76">
      <c r="A37" s="11"/>
      <c r="B37" s="12"/>
      <c r="C37" s="12"/>
      <c r="D37" s="12"/>
      <c r="E37" s="12"/>
      <c r="F37" s="12"/>
      <c r="G37" s="12"/>
      <c r="H37" s="12"/>
      <c r="I37" s="12"/>
      <c r="J37" s="12"/>
      <c r="K37" s="12"/>
      <c r="L37" s="12"/>
      <c r="M37" s="12"/>
      <c r="N37" s="12"/>
      <c r="O37" s="12"/>
      <c r="P37" s="12"/>
      <c r="Q37" s="12"/>
      <c r="R37" s="12"/>
      <c r="S37" s="13"/>
      <c r="T37" s="11"/>
      <c r="U37" s="12"/>
      <c r="V37" s="12"/>
      <c r="W37" s="143"/>
      <c r="X37" s="12"/>
      <c r="Y37" s="12"/>
      <c r="Z37" s="12"/>
      <c r="AA37" s="12"/>
      <c r="AB37" s="12"/>
      <c r="AC37" s="12"/>
      <c r="AD37" s="12"/>
      <c r="AE37" s="12"/>
      <c r="AF37" s="12"/>
      <c r="AG37" s="12"/>
      <c r="AH37" s="12"/>
      <c r="AI37" s="12"/>
      <c r="AJ37" s="12"/>
      <c r="AK37" s="12"/>
      <c r="AL37" s="13"/>
      <c r="AM37" s="11"/>
      <c r="AN37" s="12"/>
      <c r="AO37" s="12"/>
      <c r="AP37" s="143"/>
      <c r="AQ37" s="12"/>
      <c r="AR37" s="12"/>
      <c r="AS37" s="12"/>
      <c r="AT37" s="12"/>
      <c r="AU37" s="12"/>
      <c r="AV37" s="12"/>
      <c r="AW37" s="12"/>
      <c r="AX37" s="12"/>
      <c r="AY37" s="12"/>
      <c r="AZ37" s="12"/>
      <c r="BA37" s="12"/>
      <c r="BB37" s="12"/>
      <c r="BC37" s="12"/>
      <c r="BD37" s="12"/>
      <c r="BE37" s="13"/>
      <c r="BF37" s="11"/>
      <c r="BG37" s="12"/>
      <c r="BH37" s="12"/>
      <c r="BI37" s="143"/>
      <c r="BJ37" s="12"/>
      <c r="BK37" s="12"/>
      <c r="BL37" s="12"/>
      <c r="BM37" s="12"/>
      <c r="BN37" s="12"/>
      <c r="BO37" s="12"/>
      <c r="BP37" s="12"/>
      <c r="BQ37" s="12"/>
      <c r="BR37" s="12"/>
      <c r="BS37" s="12"/>
      <c r="BT37" s="12"/>
      <c r="BU37" s="12"/>
      <c r="BV37" s="12"/>
      <c r="BW37" s="12"/>
      <c r="BX37" s="13"/>
    </row>
    <row r="38" spans="1:76">
      <c r="A38" s="11"/>
      <c r="B38" s="12"/>
      <c r="C38" s="12"/>
      <c r="D38" s="12"/>
      <c r="E38" s="12"/>
      <c r="F38" s="12"/>
      <c r="G38" s="12"/>
      <c r="H38" s="12"/>
      <c r="I38" s="12"/>
      <c r="J38" s="12"/>
      <c r="K38" s="12"/>
      <c r="L38" s="12"/>
      <c r="M38" s="12"/>
      <c r="N38" s="12"/>
      <c r="O38" s="12"/>
      <c r="P38" s="12"/>
      <c r="Q38" s="12"/>
      <c r="R38" s="12"/>
      <c r="S38" s="13"/>
      <c r="T38" s="11"/>
      <c r="U38" s="12"/>
      <c r="V38" s="12"/>
      <c r="W38" s="143"/>
      <c r="X38" s="12"/>
      <c r="Y38" s="12"/>
      <c r="Z38" s="12"/>
      <c r="AA38" s="12"/>
      <c r="AB38" s="12"/>
      <c r="AC38" s="12"/>
      <c r="AD38" s="12"/>
      <c r="AE38" s="12"/>
      <c r="AF38" s="12"/>
      <c r="AG38" s="12"/>
      <c r="AH38" s="12"/>
      <c r="AI38" s="12"/>
      <c r="AJ38" s="12"/>
      <c r="AK38" s="12"/>
      <c r="AL38" s="13"/>
      <c r="AM38" s="11"/>
      <c r="AN38" s="12"/>
      <c r="AO38" s="12"/>
      <c r="AP38" s="143"/>
      <c r="AQ38" s="12"/>
      <c r="AR38" s="12"/>
      <c r="AS38" s="12"/>
      <c r="AT38" s="12"/>
      <c r="AU38" s="12"/>
      <c r="AV38" s="12"/>
      <c r="AW38" s="12"/>
      <c r="AX38" s="12"/>
      <c r="AY38" s="12"/>
      <c r="AZ38" s="12"/>
      <c r="BA38" s="12"/>
      <c r="BB38" s="12"/>
      <c r="BC38" s="12"/>
      <c r="BD38" s="12"/>
      <c r="BE38" s="13"/>
      <c r="BF38" s="11"/>
      <c r="BG38" s="12"/>
      <c r="BH38" s="12"/>
      <c r="BI38" s="143"/>
      <c r="BJ38" s="12"/>
      <c r="BK38" s="12"/>
      <c r="BL38" s="12"/>
      <c r="BM38" s="12"/>
      <c r="BN38" s="12"/>
      <c r="BO38" s="12"/>
      <c r="BP38" s="12"/>
      <c r="BQ38" s="12"/>
      <c r="BR38" s="12"/>
      <c r="BS38" s="12"/>
      <c r="BT38" s="12"/>
      <c r="BU38" s="12"/>
      <c r="BV38" s="12"/>
      <c r="BW38" s="12"/>
      <c r="BX38" s="13"/>
    </row>
    <row r="39" spans="1:76">
      <c r="A39" s="11"/>
      <c r="B39" s="12"/>
      <c r="C39" s="12"/>
      <c r="D39" s="12"/>
      <c r="E39" s="12"/>
      <c r="F39" s="12"/>
      <c r="G39" s="12"/>
      <c r="H39" s="12"/>
      <c r="I39" s="12"/>
      <c r="J39" s="12"/>
      <c r="K39" s="12"/>
      <c r="L39" s="12"/>
      <c r="M39" s="12"/>
      <c r="N39" s="12"/>
      <c r="O39" s="12"/>
      <c r="P39" s="12"/>
      <c r="Q39" s="12"/>
      <c r="R39" s="12"/>
      <c r="S39" s="13"/>
      <c r="T39" s="11"/>
      <c r="U39" s="12"/>
      <c r="V39" s="12"/>
      <c r="W39" s="143"/>
      <c r="X39" s="12"/>
      <c r="Y39" s="12"/>
      <c r="Z39" s="12"/>
      <c r="AA39" s="12"/>
      <c r="AB39" s="12"/>
      <c r="AC39" s="12"/>
      <c r="AD39" s="12"/>
      <c r="AE39" s="12"/>
      <c r="AF39" s="12"/>
      <c r="AG39" s="12"/>
      <c r="AH39" s="12"/>
      <c r="AI39" s="12"/>
      <c r="AJ39" s="12"/>
      <c r="AK39" s="12"/>
      <c r="AL39" s="13"/>
      <c r="AM39" s="11"/>
      <c r="AN39" s="12"/>
      <c r="AO39" s="12"/>
      <c r="AP39" s="143"/>
      <c r="AQ39" s="12"/>
      <c r="AR39" s="12"/>
      <c r="AS39" s="12"/>
      <c r="AT39" s="12"/>
      <c r="AU39" s="12"/>
      <c r="AV39" s="12"/>
      <c r="AW39" s="12"/>
      <c r="AX39" s="12"/>
      <c r="AY39" s="12"/>
      <c r="AZ39" s="12"/>
      <c r="BA39" s="12"/>
      <c r="BB39" s="12"/>
      <c r="BC39" s="12"/>
      <c r="BD39" s="12"/>
      <c r="BE39" s="13"/>
      <c r="BF39" s="11"/>
      <c r="BG39" s="12"/>
      <c r="BH39" s="12"/>
      <c r="BI39" s="143"/>
      <c r="BJ39" s="12"/>
      <c r="BK39" s="12"/>
      <c r="BL39" s="12"/>
      <c r="BM39" s="12"/>
      <c r="BN39" s="12"/>
      <c r="BO39" s="12"/>
      <c r="BP39" s="12"/>
      <c r="BQ39" s="12"/>
      <c r="BR39" s="12"/>
      <c r="BS39" s="12"/>
      <c r="BT39" s="12"/>
      <c r="BU39" s="12"/>
      <c r="BV39" s="12"/>
      <c r="BW39" s="12"/>
      <c r="BX39" s="13"/>
    </row>
    <row r="40" spans="1:76">
      <c r="A40" s="11"/>
      <c r="B40" s="12"/>
      <c r="C40" s="12"/>
      <c r="D40" s="12"/>
      <c r="E40" s="12"/>
      <c r="F40" s="12"/>
      <c r="G40" s="12"/>
      <c r="H40" s="12"/>
      <c r="I40" s="12"/>
      <c r="J40" s="12"/>
      <c r="K40" s="12"/>
      <c r="L40" s="12"/>
      <c r="M40" s="12"/>
      <c r="N40" s="12"/>
      <c r="O40" s="144"/>
      <c r="P40" s="12"/>
      <c r="Q40" s="12"/>
      <c r="R40" s="12"/>
      <c r="S40" s="13"/>
      <c r="T40" s="11"/>
      <c r="U40" s="12"/>
      <c r="V40" s="12"/>
      <c r="W40" s="143"/>
      <c r="X40" s="12"/>
      <c r="Y40" s="12"/>
      <c r="Z40" s="12"/>
      <c r="AA40" s="12"/>
      <c r="AB40" s="12"/>
      <c r="AC40" s="12"/>
      <c r="AD40" s="12"/>
      <c r="AE40" s="12"/>
      <c r="AF40" s="12"/>
      <c r="AG40" s="12"/>
      <c r="AH40" s="12"/>
      <c r="AI40" s="12"/>
      <c r="AJ40" s="12"/>
      <c r="AK40" s="12"/>
      <c r="AL40" s="13"/>
      <c r="AM40" s="11"/>
      <c r="AN40" s="12"/>
      <c r="AO40" s="12"/>
      <c r="AP40" s="143"/>
      <c r="AQ40" s="12"/>
      <c r="AR40" s="12"/>
      <c r="AS40" s="12"/>
      <c r="AT40" s="12"/>
      <c r="AU40" s="12"/>
      <c r="AV40" s="12"/>
      <c r="AW40" s="12"/>
      <c r="AX40" s="12"/>
      <c r="AY40" s="12"/>
      <c r="AZ40" s="12"/>
      <c r="BA40" s="12"/>
      <c r="BB40" s="12"/>
      <c r="BC40" s="12"/>
      <c r="BD40" s="12"/>
      <c r="BE40" s="13"/>
      <c r="BF40" s="11"/>
      <c r="BG40" s="12"/>
      <c r="BH40" s="12"/>
      <c r="BI40" s="143"/>
      <c r="BJ40" s="12"/>
      <c r="BK40" s="12"/>
      <c r="BL40" s="12"/>
      <c r="BM40" s="12"/>
      <c r="BN40" s="12"/>
      <c r="BO40" s="12"/>
      <c r="BP40" s="12"/>
      <c r="BQ40" s="12"/>
      <c r="BR40" s="12"/>
      <c r="BS40" s="12"/>
      <c r="BT40" s="12"/>
      <c r="BU40" s="12"/>
      <c r="BV40" s="12"/>
      <c r="BW40" s="12"/>
      <c r="BX40" s="13"/>
    </row>
    <row r="41" spans="1:76">
      <c r="A41" s="11"/>
      <c r="B41" s="12"/>
      <c r="C41" s="12"/>
      <c r="D41" s="12"/>
      <c r="E41" s="12"/>
      <c r="F41" s="12"/>
      <c r="G41" s="12"/>
      <c r="H41" s="12"/>
      <c r="I41" s="12"/>
      <c r="J41" s="12"/>
      <c r="K41" s="12"/>
      <c r="L41" s="12"/>
      <c r="M41" s="12"/>
      <c r="N41" s="12"/>
      <c r="O41" s="12"/>
      <c r="P41" s="12"/>
      <c r="Q41" s="12"/>
      <c r="R41" s="12"/>
      <c r="S41" s="13"/>
      <c r="T41" s="11"/>
      <c r="U41" s="12"/>
      <c r="V41" s="12"/>
      <c r="W41" s="143"/>
      <c r="X41" s="12"/>
      <c r="Y41" s="12"/>
      <c r="Z41" s="12"/>
      <c r="AA41" s="12"/>
      <c r="AB41" s="12"/>
      <c r="AC41" s="12"/>
      <c r="AD41" s="12"/>
      <c r="AE41" s="12"/>
      <c r="AF41" s="12"/>
      <c r="AG41" s="12"/>
      <c r="AH41" s="12"/>
      <c r="AI41" s="12"/>
      <c r="AJ41" s="12"/>
      <c r="AK41" s="12"/>
      <c r="AL41" s="13"/>
      <c r="AM41" s="11"/>
      <c r="AN41" s="12"/>
      <c r="AO41" s="12"/>
      <c r="AP41" s="143"/>
      <c r="AQ41" s="12"/>
      <c r="AR41" s="12"/>
      <c r="AS41" s="12"/>
      <c r="AT41" s="12"/>
      <c r="AU41" s="12"/>
      <c r="AV41" s="12"/>
      <c r="AW41" s="12"/>
      <c r="AX41" s="12"/>
      <c r="AY41" s="12"/>
      <c r="AZ41" s="12"/>
      <c r="BA41" s="12"/>
      <c r="BB41" s="12"/>
      <c r="BC41" s="12"/>
      <c r="BD41" s="12"/>
      <c r="BE41" s="13"/>
      <c r="BF41" s="11"/>
      <c r="BG41" s="12"/>
      <c r="BH41" s="12"/>
      <c r="BI41" s="143"/>
      <c r="BJ41" s="12"/>
      <c r="BK41" s="12"/>
      <c r="BL41" s="12"/>
      <c r="BM41" s="12"/>
      <c r="BN41" s="12"/>
      <c r="BO41" s="12"/>
      <c r="BP41" s="12"/>
      <c r="BQ41" s="12"/>
      <c r="BR41" s="12"/>
      <c r="BS41" s="12"/>
      <c r="BT41" s="12"/>
      <c r="BU41" s="12"/>
      <c r="BV41" s="12"/>
      <c r="BW41" s="12"/>
      <c r="BX41" s="13"/>
    </row>
    <row r="42" spans="1:76">
      <c r="A42" s="11"/>
      <c r="B42" s="12"/>
      <c r="C42" s="12"/>
      <c r="D42" s="12"/>
      <c r="E42" s="12"/>
      <c r="F42" s="12"/>
      <c r="G42" s="12"/>
      <c r="H42" s="12"/>
      <c r="I42" s="12"/>
      <c r="J42" s="12"/>
      <c r="K42" s="12"/>
      <c r="L42" s="12"/>
      <c r="M42" s="12"/>
      <c r="N42" s="12"/>
      <c r="O42" s="12"/>
      <c r="P42" s="12"/>
      <c r="Q42" s="12"/>
      <c r="R42" s="12"/>
      <c r="S42" s="145"/>
      <c r="T42" s="11"/>
      <c r="U42" s="12"/>
      <c r="V42" s="12"/>
      <c r="W42" s="143"/>
      <c r="X42" s="12"/>
      <c r="Y42" s="12"/>
      <c r="Z42" s="12"/>
      <c r="AA42" s="12"/>
      <c r="AB42" s="12"/>
      <c r="AC42" s="12"/>
      <c r="AD42" s="12"/>
      <c r="AE42" s="12"/>
      <c r="AF42" s="12"/>
      <c r="AG42" s="12"/>
      <c r="AH42" s="12"/>
      <c r="AI42" s="12"/>
      <c r="AJ42" s="12"/>
      <c r="AK42" s="12"/>
      <c r="AL42" s="13"/>
      <c r="AM42" s="11"/>
      <c r="AN42" s="12"/>
      <c r="AO42" s="12"/>
      <c r="AP42" s="143"/>
      <c r="AQ42" s="12"/>
      <c r="AR42" s="12"/>
      <c r="AS42" s="12"/>
      <c r="AT42" s="12"/>
      <c r="AU42" s="12"/>
      <c r="AV42" s="12"/>
      <c r="AW42" s="12"/>
      <c r="AX42" s="12"/>
      <c r="AY42" s="12"/>
      <c r="AZ42" s="12"/>
      <c r="BA42" s="12"/>
      <c r="BB42" s="12"/>
      <c r="BC42" s="12"/>
      <c r="BD42" s="12"/>
      <c r="BE42" s="13"/>
      <c r="BF42" s="11"/>
      <c r="BG42" s="12"/>
      <c r="BH42" s="12"/>
      <c r="BI42" s="143"/>
      <c r="BJ42" s="12"/>
      <c r="BK42" s="12"/>
      <c r="BL42" s="12"/>
      <c r="BM42" s="12"/>
      <c r="BN42" s="12"/>
      <c r="BO42" s="12"/>
      <c r="BP42" s="12"/>
      <c r="BQ42" s="12"/>
      <c r="BR42" s="12"/>
      <c r="BS42" s="12"/>
      <c r="BT42" s="12"/>
      <c r="BU42" s="12"/>
      <c r="BV42" s="12"/>
      <c r="BW42" s="12"/>
      <c r="BX42" s="13"/>
    </row>
    <row r="43" spans="1:76">
      <c r="A43" s="11"/>
      <c r="B43" s="12"/>
      <c r="C43" s="12"/>
      <c r="D43" s="12"/>
      <c r="E43" s="12"/>
      <c r="F43" s="12"/>
      <c r="G43" s="12"/>
      <c r="H43" s="12"/>
      <c r="I43" s="12"/>
      <c r="J43" s="12"/>
      <c r="K43" s="12"/>
      <c r="L43" s="12"/>
      <c r="M43" s="12"/>
      <c r="N43" s="12"/>
      <c r="O43" s="12"/>
      <c r="P43" s="12"/>
      <c r="Q43" s="12"/>
      <c r="R43" s="12"/>
      <c r="S43" s="13"/>
      <c r="T43" s="11"/>
      <c r="U43" s="12"/>
      <c r="V43" s="12"/>
      <c r="W43" s="143"/>
      <c r="X43" s="12"/>
      <c r="Y43" s="12"/>
      <c r="Z43" s="12"/>
      <c r="AA43" s="12"/>
      <c r="AB43" s="12"/>
      <c r="AC43" s="12"/>
      <c r="AD43" s="12"/>
      <c r="AE43" s="12"/>
      <c r="AF43" s="12"/>
      <c r="AG43" s="12"/>
      <c r="AH43" s="12"/>
      <c r="AI43" s="12"/>
      <c r="AJ43" s="12"/>
      <c r="AK43" s="12"/>
      <c r="AL43" s="13"/>
      <c r="AM43" s="11"/>
      <c r="AN43" s="12"/>
      <c r="AO43" s="12"/>
      <c r="AP43" s="143"/>
      <c r="AQ43" s="12"/>
      <c r="AR43" s="12"/>
      <c r="AS43" s="12"/>
      <c r="AT43" s="12"/>
      <c r="AU43" s="12"/>
      <c r="AV43" s="12"/>
      <c r="AW43" s="12"/>
      <c r="AX43" s="12"/>
      <c r="AY43" s="12"/>
      <c r="AZ43" s="12"/>
      <c r="BA43" s="12"/>
      <c r="BB43" s="12"/>
      <c r="BC43" s="12"/>
      <c r="BD43" s="12"/>
      <c r="BE43" s="13"/>
      <c r="BF43" s="11"/>
      <c r="BG43" s="12"/>
      <c r="BH43" s="12"/>
      <c r="BI43" s="143"/>
      <c r="BJ43" s="12"/>
      <c r="BK43" s="12"/>
      <c r="BL43" s="12"/>
      <c r="BM43" s="12"/>
      <c r="BN43" s="12"/>
      <c r="BO43" s="12"/>
      <c r="BP43" s="12"/>
      <c r="BQ43" s="12"/>
      <c r="BR43" s="12"/>
      <c r="BS43" s="12"/>
      <c r="BT43" s="12"/>
      <c r="BU43" s="12"/>
      <c r="BV43" s="12"/>
      <c r="BW43" s="12"/>
      <c r="BX43" s="13"/>
    </row>
    <row r="44" spans="1:76">
      <c r="A44" s="11"/>
      <c r="B44" s="12"/>
      <c r="C44" s="12"/>
      <c r="D44" s="12"/>
      <c r="E44" s="12"/>
      <c r="F44" s="12"/>
      <c r="G44" s="12"/>
      <c r="H44" s="12"/>
      <c r="I44" s="12"/>
      <c r="J44" s="12"/>
      <c r="K44" s="12"/>
      <c r="L44" s="12"/>
      <c r="M44" s="12"/>
      <c r="N44" s="12"/>
      <c r="O44" s="12"/>
      <c r="P44" s="12"/>
      <c r="Q44" s="12"/>
      <c r="R44" s="12"/>
      <c r="S44" s="13"/>
      <c r="T44" s="11"/>
      <c r="U44" s="12"/>
      <c r="V44" s="12"/>
      <c r="W44" s="143"/>
      <c r="X44" s="12"/>
      <c r="Y44" s="12"/>
      <c r="Z44" s="12"/>
      <c r="AA44" s="12"/>
      <c r="AB44" s="12"/>
      <c r="AC44" s="12"/>
      <c r="AD44" s="12"/>
      <c r="AE44" s="12"/>
      <c r="AF44" s="12"/>
      <c r="AG44" s="12"/>
      <c r="AH44" s="12"/>
      <c r="AI44" s="12"/>
      <c r="AJ44" s="12"/>
      <c r="AK44" s="12"/>
      <c r="AL44" s="13"/>
      <c r="AM44" s="11"/>
      <c r="AN44" s="12"/>
      <c r="AO44" s="12"/>
      <c r="AP44" s="143"/>
      <c r="AQ44" s="12"/>
      <c r="AR44" s="12"/>
      <c r="AS44" s="12"/>
      <c r="AT44" s="12"/>
      <c r="AU44" s="12"/>
      <c r="AV44" s="12"/>
      <c r="AW44" s="12"/>
      <c r="AX44" s="12"/>
      <c r="AY44" s="12"/>
      <c r="AZ44" s="12"/>
      <c r="BA44" s="12"/>
      <c r="BB44" s="12"/>
      <c r="BC44" s="12"/>
      <c r="BD44" s="12"/>
      <c r="BE44" s="13"/>
      <c r="BF44" s="11"/>
      <c r="BG44" s="12"/>
      <c r="BH44" s="12"/>
      <c r="BI44" s="143"/>
      <c r="BJ44" s="12"/>
      <c r="BK44" s="12"/>
      <c r="BL44" s="12"/>
      <c r="BM44" s="12"/>
      <c r="BN44" s="12"/>
      <c r="BO44" s="12"/>
      <c r="BP44" s="12"/>
      <c r="BQ44" s="12"/>
      <c r="BR44" s="12"/>
      <c r="BS44" s="12"/>
      <c r="BT44" s="12"/>
      <c r="BU44" s="12"/>
      <c r="BV44" s="12"/>
      <c r="BW44" s="12"/>
      <c r="BX44" s="13"/>
    </row>
    <row r="45" spans="1:76">
      <c r="A45" s="11"/>
      <c r="B45" s="12"/>
      <c r="C45" s="12"/>
      <c r="D45" s="12"/>
      <c r="E45" s="12"/>
      <c r="F45" s="12"/>
      <c r="G45" s="12"/>
      <c r="H45" s="12"/>
      <c r="I45" s="12"/>
      <c r="J45" s="12"/>
      <c r="K45" s="12"/>
      <c r="L45" s="12"/>
      <c r="M45" s="12"/>
      <c r="N45" s="12"/>
      <c r="O45" s="12"/>
      <c r="P45" s="12"/>
      <c r="Q45" s="12"/>
      <c r="R45" s="12"/>
      <c r="S45" s="13"/>
      <c r="T45" s="11"/>
      <c r="U45" s="12"/>
      <c r="V45" s="12"/>
      <c r="W45" s="143"/>
      <c r="X45" s="12"/>
      <c r="Y45" s="12"/>
      <c r="Z45" s="12"/>
      <c r="AA45" s="12"/>
      <c r="AB45" s="12"/>
      <c r="AC45" s="12"/>
      <c r="AD45" s="12"/>
      <c r="AE45" s="12"/>
      <c r="AF45" s="12"/>
      <c r="AG45" s="12"/>
      <c r="AH45" s="12"/>
      <c r="AI45" s="12"/>
      <c r="AJ45" s="12"/>
      <c r="AK45" s="12"/>
      <c r="AL45" s="13"/>
      <c r="AM45" s="11"/>
      <c r="AN45" s="12"/>
      <c r="AO45" s="12"/>
      <c r="AP45" s="143"/>
      <c r="AQ45" s="12"/>
      <c r="AR45" s="12"/>
      <c r="AS45" s="12"/>
      <c r="AT45" s="12"/>
      <c r="AU45" s="12"/>
      <c r="AV45" s="12"/>
      <c r="AW45" s="12"/>
      <c r="AX45" s="12"/>
      <c r="AY45" s="12"/>
      <c r="AZ45" s="12"/>
      <c r="BA45" s="12"/>
      <c r="BB45" s="12"/>
      <c r="BC45" s="12"/>
      <c r="BD45" s="12"/>
      <c r="BE45" s="13"/>
      <c r="BF45" s="11"/>
      <c r="BG45" s="12"/>
      <c r="BH45" s="12"/>
      <c r="BI45" s="143"/>
      <c r="BJ45" s="12"/>
      <c r="BK45" s="12"/>
      <c r="BL45" s="12"/>
      <c r="BM45" s="12"/>
      <c r="BN45" s="12"/>
      <c r="BO45" s="12"/>
      <c r="BP45" s="12"/>
      <c r="BQ45" s="12"/>
      <c r="BR45" s="12"/>
      <c r="BS45" s="12"/>
      <c r="BT45" s="12"/>
      <c r="BU45" s="12"/>
      <c r="BV45" s="12"/>
      <c r="BW45" s="12"/>
      <c r="BX45" s="13"/>
    </row>
    <row r="46" spans="1:76">
      <c r="A46" s="11"/>
      <c r="B46" s="12"/>
      <c r="C46" s="12"/>
      <c r="D46" s="12"/>
      <c r="E46" s="12"/>
      <c r="F46" s="12"/>
      <c r="G46" s="12"/>
      <c r="H46" s="12"/>
      <c r="I46" s="12"/>
      <c r="J46" s="12"/>
      <c r="K46" s="12"/>
      <c r="L46" s="12"/>
      <c r="M46" s="12"/>
      <c r="N46" s="12"/>
      <c r="O46" s="12"/>
      <c r="P46" s="12"/>
      <c r="Q46" s="12"/>
      <c r="R46" s="12"/>
      <c r="S46" s="13"/>
      <c r="T46" s="11"/>
      <c r="U46" s="12"/>
      <c r="V46" s="12"/>
      <c r="W46" s="143"/>
      <c r="X46" s="12"/>
      <c r="Y46" s="12"/>
      <c r="Z46" s="12"/>
      <c r="AA46" s="12"/>
      <c r="AB46" s="12"/>
      <c r="AC46" s="12"/>
      <c r="AD46" s="12"/>
      <c r="AE46" s="12"/>
      <c r="AF46" s="12"/>
      <c r="AG46" s="12"/>
      <c r="AH46" s="12"/>
      <c r="AI46" s="12"/>
      <c r="AJ46" s="12"/>
      <c r="AK46" s="12"/>
      <c r="AL46" s="13"/>
      <c r="AM46" s="11"/>
      <c r="AN46" s="12"/>
      <c r="AO46" s="12"/>
      <c r="AP46" s="143"/>
      <c r="AQ46" s="12"/>
      <c r="AR46" s="12"/>
      <c r="AS46" s="12"/>
      <c r="AT46" s="12"/>
      <c r="AU46" s="12"/>
      <c r="AV46" s="12"/>
      <c r="AW46" s="12"/>
      <c r="AX46" s="12"/>
      <c r="AY46" s="12"/>
      <c r="AZ46" s="12"/>
      <c r="BA46" s="12"/>
      <c r="BB46" s="12"/>
      <c r="BC46" s="12"/>
      <c r="BD46" s="12"/>
      <c r="BE46" s="13"/>
      <c r="BF46" s="11"/>
      <c r="BG46" s="12"/>
      <c r="BH46" s="12"/>
      <c r="BI46" s="143"/>
      <c r="BJ46" s="12"/>
      <c r="BK46" s="12"/>
      <c r="BL46" s="12"/>
      <c r="BM46" s="12"/>
      <c r="BN46" s="12"/>
      <c r="BO46" s="12"/>
      <c r="BP46" s="12"/>
      <c r="BQ46" s="12"/>
      <c r="BR46" s="12"/>
      <c r="BS46" s="12"/>
      <c r="BT46" s="12"/>
      <c r="BU46" s="12"/>
      <c r="BV46" s="12"/>
      <c r="BW46" s="12"/>
      <c r="BX46" s="13"/>
    </row>
    <row r="47" spans="1:76">
      <c r="A47" s="11"/>
      <c r="B47" s="12"/>
      <c r="C47" s="12"/>
      <c r="D47" s="12"/>
      <c r="E47" s="12"/>
      <c r="F47" s="12"/>
      <c r="G47" s="12"/>
      <c r="H47" s="12"/>
      <c r="I47" s="12"/>
      <c r="J47" s="12"/>
      <c r="K47" s="12"/>
      <c r="L47" s="12"/>
      <c r="M47" s="12"/>
      <c r="N47" s="12"/>
      <c r="O47" s="12"/>
      <c r="P47" s="12"/>
      <c r="Q47" s="12"/>
      <c r="R47" s="12"/>
      <c r="S47" s="13"/>
      <c r="T47" s="11"/>
      <c r="U47" s="12"/>
      <c r="V47" s="12"/>
      <c r="W47" s="143"/>
      <c r="X47" s="12"/>
      <c r="Y47" s="12"/>
      <c r="Z47" s="12"/>
      <c r="AA47" s="12"/>
      <c r="AB47" s="12"/>
      <c r="AC47" s="12"/>
      <c r="AD47" s="12"/>
      <c r="AE47" s="12"/>
      <c r="AF47" s="12"/>
      <c r="AG47" s="12"/>
      <c r="AH47" s="12"/>
      <c r="AI47" s="12"/>
      <c r="AJ47" s="12"/>
      <c r="AK47" s="12"/>
      <c r="AL47" s="13"/>
      <c r="AM47" s="11"/>
      <c r="AN47" s="12"/>
      <c r="AO47" s="12"/>
      <c r="AP47" s="143"/>
      <c r="AQ47" s="12"/>
      <c r="AR47" s="12"/>
      <c r="AS47" s="12"/>
      <c r="AT47" s="12"/>
      <c r="AU47" s="12"/>
      <c r="AV47" s="12"/>
      <c r="AW47" s="12"/>
      <c r="AX47" s="12"/>
      <c r="AY47" s="12"/>
      <c r="AZ47" s="12"/>
      <c r="BA47" s="12"/>
      <c r="BB47" s="12"/>
      <c r="BC47" s="12"/>
      <c r="BD47" s="12"/>
      <c r="BE47" s="13"/>
      <c r="BF47" s="11"/>
      <c r="BG47" s="12"/>
      <c r="BH47" s="12"/>
      <c r="BI47" s="143"/>
      <c r="BJ47" s="12"/>
      <c r="BK47" s="12"/>
      <c r="BL47" s="12"/>
      <c r="BM47" s="12"/>
      <c r="BN47" s="12"/>
      <c r="BO47" s="12"/>
      <c r="BP47" s="12"/>
      <c r="BQ47" s="12"/>
      <c r="BR47" s="12"/>
      <c r="BS47" s="12"/>
      <c r="BT47" s="12"/>
      <c r="BU47" s="12"/>
      <c r="BV47" s="12"/>
      <c r="BW47" s="12"/>
      <c r="BX47" s="13"/>
    </row>
    <row r="48" spans="1:76">
      <c r="A48" s="11"/>
      <c r="B48" s="12"/>
      <c r="C48" s="12"/>
      <c r="D48" s="12"/>
      <c r="E48" s="12"/>
      <c r="F48" s="12"/>
      <c r="G48" s="12"/>
      <c r="H48" s="12"/>
      <c r="I48" s="12"/>
      <c r="J48" s="12"/>
      <c r="K48" s="12"/>
      <c r="L48" s="12"/>
      <c r="M48" s="12"/>
      <c r="N48" s="12"/>
      <c r="O48" s="12"/>
      <c r="P48" s="12"/>
      <c r="Q48" s="12"/>
      <c r="R48" s="12"/>
      <c r="S48" s="13"/>
      <c r="T48" s="11"/>
      <c r="U48" s="12"/>
      <c r="V48" s="12"/>
      <c r="W48" s="143"/>
      <c r="X48" s="12"/>
      <c r="Y48" s="12"/>
      <c r="Z48" s="12"/>
      <c r="AA48" s="12"/>
      <c r="AB48" s="12"/>
      <c r="AC48" s="12"/>
      <c r="AD48" s="12"/>
      <c r="AE48" s="12"/>
      <c r="AF48" s="12"/>
      <c r="AG48" s="12"/>
      <c r="AH48" s="12"/>
      <c r="AI48" s="12"/>
      <c r="AJ48" s="12"/>
      <c r="AK48" s="12"/>
      <c r="AL48" s="13"/>
      <c r="AM48" s="11"/>
      <c r="AN48" s="12"/>
      <c r="AO48" s="12"/>
      <c r="AP48" s="143"/>
      <c r="AQ48" s="12"/>
      <c r="AR48" s="12"/>
      <c r="AS48" s="12"/>
      <c r="AT48" s="12"/>
      <c r="AU48" s="12"/>
      <c r="AV48" s="12"/>
      <c r="AW48" s="12"/>
      <c r="AX48" s="12"/>
      <c r="AY48" s="12"/>
      <c r="AZ48" s="12"/>
      <c r="BA48" s="12"/>
      <c r="BB48" s="12"/>
      <c r="BC48" s="12"/>
      <c r="BD48" s="12"/>
      <c r="BE48" s="13"/>
      <c r="BF48" s="11"/>
      <c r="BG48" s="12"/>
      <c r="BH48" s="12"/>
      <c r="BI48" s="143"/>
      <c r="BJ48" s="12"/>
      <c r="BK48" s="12"/>
      <c r="BL48" s="12"/>
      <c r="BM48" s="12"/>
      <c r="BN48" s="12"/>
      <c r="BO48" s="12"/>
      <c r="BP48" s="12"/>
      <c r="BQ48" s="12"/>
      <c r="BR48" s="12"/>
      <c r="BS48" s="12"/>
      <c r="BT48" s="12"/>
      <c r="BU48" s="12"/>
      <c r="BV48" s="12"/>
      <c r="BW48" s="12"/>
      <c r="BX48" s="13"/>
    </row>
    <row r="49" spans="1:76">
      <c r="A49" s="11"/>
      <c r="B49" s="12"/>
      <c r="C49" s="12"/>
      <c r="D49" s="12"/>
      <c r="E49" s="12"/>
      <c r="F49" s="12"/>
      <c r="G49" s="12"/>
      <c r="H49" s="12"/>
      <c r="I49" s="12"/>
      <c r="J49" s="12"/>
      <c r="K49" s="12"/>
      <c r="L49" s="12"/>
      <c r="M49" s="12"/>
      <c r="N49" s="12"/>
      <c r="O49" s="12"/>
      <c r="P49" s="12"/>
      <c r="Q49" s="12"/>
      <c r="R49" s="12"/>
      <c r="S49" s="13"/>
      <c r="T49" s="11"/>
      <c r="U49" s="12"/>
      <c r="V49" s="12"/>
      <c r="W49" s="143"/>
      <c r="X49" s="12"/>
      <c r="Y49" s="12"/>
      <c r="Z49" s="12"/>
      <c r="AA49" s="12"/>
      <c r="AB49" s="12"/>
      <c r="AC49" s="12"/>
      <c r="AD49" s="12"/>
      <c r="AE49" s="12"/>
      <c r="AF49" s="12"/>
      <c r="AG49" s="12"/>
      <c r="AH49" s="12"/>
      <c r="AI49" s="12"/>
      <c r="AJ49" s="12"/>
      <c r="AK49" s="12"/>
      <c r="AL49" s="13"/>
      <c r="AM49" s="11"/>
      <c r="AN49" s="12"/>
      <c r="AO49" s="12"/>
      <c r="AP49" s="143"/>
      <c r="AQ49" s="12"/>
      <c r="AR49" s="12"/>
      <c r="AS49" s="12"/>
      <c r="AT49" s="12"/>
      <c r="AU49" s="12"/>
      <c r="AV49" s="12"/>
      <c r="AW49" s="12"/>
      <c r="AX49" s="12"/>
      <c r="AY49" s="12"/>
      <c r="AZ49" s="12"/>
      <c r="BA49" s="12"/>
      <c r="BB49" s="12"/>
      <c r="BC49" s="12"/>
      <c r="BD49" s="12"/>
      <c r="BE49" s="13"/>
      <c r="BF49" s="11"/>
      <c r="BG49" s="12"/>
      <c r="BH49" s="12"/>
      <c r="BI49" s="143"/>
      <c r="BJ49" s="12"/>
      <c r="BK49" s="12"/>
      <c r="BL49" s="12"/>
      <c r="BM49" s="12"/>
      <c r="BN49" s="12"/>
      <c r="BO49" s="12"/>
      <c r="BP49" s="12"/>
      <c r="BQ49" s="12"/>
      <c r="BR49" s="12"/>
      <c r="BS49" s="12"/>
      <c r="BT49" s="12"/>
      <c r="BU49" s="12"/>
      <c r="BV49" s="12"/>
      <c r="BW49" s="12"/>
      <c r="BX49" s="13"/>
    </row>
    <row r="50" spans="1:76">
      <c r="A50" s="11"/>
      <c r="B50" s="12"/>
      <c r="C50" s="12"/>
      <c r="D50" s="12"/>
      <c r="E50" s="12"/>
      <c r="F50" s="12"/>
      <c r="G50" s="12"/>
      <c r="H50" s="12"/>
      <c r="I50" s="12"/>
      <c r="J50" s="12"/>
      <c r="K50" s="12"/>
      <c r="L50" s="12"/>
      <c r="M50" s="12"/>
      <c r="N50" s="12"/>
      <c r="O50" s="12"/>
      <c r="P50" s="12"/>
      <c r="Q50" s="12"/>
      <c r="R50" s="12"/>
      <c r="S50" s="13"/>
      <c r="T50" s="11"/>
      <c r="U50" s="12"/>
      <c r="V50" s="12"/>
      <c r="W50" s="143"/>
      <c r="X50" s="12"/>
      <c r="Y50" s="12"/>
      <c r="Z50" s="12"/>
      <c r="AA50" s="12"/>
      <c r="AB50" s="12"/>
      <c r="AC50" s="12"/>
      <c r="AD50" s="12"/>
      <c r="AE50" s="12"/>
      <c r="AF50" s="12"/>
      <c r="AG50" s="12"/>
      <c r="AH50" s="12"/>
      <c r="AI50" s="12"/>
      <c r="AJ50" s="12"/>
      <c r="AK50" s="12"/>
      <c r="AL50" s="13"/>
      <c r="AM50" s="11"/>
      <c r="AN50" s="12"/>
      <c r="AO50" s="12"/>
      <c r="AP50" s="143"/>
      <c r="AQ50" s="12"/>
      <c r="AR50" s="12"/>
      <c r="AS50" s="12"/>
      <c r="AT50" s="12"/>
      <c r="AU50" s="12"/>
      <c r="AV50" s="12"/>
      <c r="AW50" s="12"/>
      <c r="AX50" s="12"/>
      <c r="AY50" s="12"/>
      <c r="AZ50" s="12"/>
      <c r="BA50" s="12"/>
      <c r="BB50" s="12"/>
      <c r="BC50" s="12"/>
      <c r="BD50" s="12"/>
      <c r="BE50" s="13"/>
      <c r="BF50" s="11"/>
      <c r="BG50" s="12"/>
      <c r="BH50" s="12"/>
      <c r="BI50" s="143"/>
      <c r="BJ50" s="12"/>
      <c r="BK50" s="12"/>
      <c r="BL50" s="12"/>
      <c r="BM50" s="12"/>
      <c r="BN50" s="12"/>
      <c r="BO50" s="12"/>
      <c r="BP50" s="12"/>
      <c r="BQ50" s="12"/>
      <c r="BR50" s="12"/>
      <c r="BS50" s="12"/>
      <c r="BT50" s="12"/>
      <c r="BU50" s="12"/>
      <c r="BV50" s="12"/>
      <c r="BW50" s="12"/>
      <c r="BX50" s="13"/>
    </row>
    <row r="51" spans="1:76">
      <c r="A51" s="11"/>
      <c r="B51" s="12"/>
      <c r="C51" s="12"/>
      <c r="D51" s="12"/>
      <c r="E51" s="12"/>
      <c r="F51" s="12"/>
      <c r="G51" s="12"/>
      <c r="H51" s="12"/>
      <c r="I51" s="12"/>
      <c r="J51" s="12"/>
      <c r="K51" s="12"/>
      <c r="L51" s="12"/>
      <c r="M51" s="12"/>
      <c r="N51" s="12"/>
      <c r="O51" s="12"/>
      <c r="P51" s="12"/>
      <c r="Q51" s="12"/>
      <c r="R51" s="12"/>
      <c r="S51" s="13"/>
      <c r="T51" s="11"/>
      <c r="U51" s="12"/>
      <c r="V51" s="12"/>
      <c r="W51" s="143"/>
      <c r="X51" s="12"/>
      <c r="Y51" s="12"/>
      <c r="Z51" s="12"/>
      <c r="AA51" s="12"/>
      <c r="AB51" s="12"/>
      <c r="AC51" s="12"/>
      <c r="AD51" s="12"/>
      <c r="AE51" s="12"/>
      <c r="AF51" s="12"/>
      <c r="AG51" s="12"/>
      <c r="AH51" s="12"/>
      <c r="AI51" s="12"/>
      <c r="AJ51" s="12"/>
      <c r="AK51" s="12"/>
      <c r="AL51" s="13"/>
      <c r="AM51" s="11"/>
      <c r="AN51" s="12"/>
      <c r="AO51" s="12"/>
      <c r="AP51" s="143"/>
      <c r="AQ51" s="12"/>
      <c r="AR51" s="12"/>
      <c r="AS51" s="12"/>
      <c r="AT51" s="12"/>
      <c r="AU51" s="12"/>
      <c r="AV51" s="12"/>
      <c r="AW51" s="12"/>
      <c r="AX51" s="12"/>
      <c r="AY51" s="12"/>
      <c r="AZ51" s="12"/>
      <c r="BA51" s="12"/>
      <c r="BB51" s="12"/>
      <c r="BC51" s="12"/>
      <c r="BD51" s="12"/>
      <c r="BE51" s="13"/>
      <c r="BF51" s="11"/>
      <c r="BG51" s="12"/>
      <c r="BH51" s="12"/>
      <c r="BI51" s="143"/>
      <c r="BJ51" s="12"/>
      <c r="BK51" s="12"/>
      <c r="BL51" s="12"/>
      <c r="BM51" s="12"/>
      <c r="BN51" s="12"/>
      <c r="BO51" s="12"/>
      <c r="BP51" s="12"/>
      <c r="BQ51" s="12"/>
      <c r="BR51" s="12"/>
      <c r="BS51" s="12"/>
      <c r="BT51" s="12"/>
      <c r="BU51" s="12"/>
      <c r="BV51" s="12"/>
      <c r="BW51" s="12"/>
      <c r="BX51" s="13"/>
    </row>
    <row r="52" spans="1:76">
      <c r="A52" s="11"/>
      <c r="B52" s="12"/>
      <c r="C52" s="12"/>
      <c r="D52" s="12"/>
      <c r="E52" s="12"/>
      <c r="F52" s="12"/>
      <c r="G52" s="12"/>
      <c r="H52" s="12"/>
      <c r="I52" s="12"/>
      <c r="J52" s="12"/>
      <c r="K52" s="12"/>
      <c r="L52" s="12"/>
      <c r="M52" s="12"/>
      <c r="N52" s="12"/>
      <c r="O52" s="12"/>
      <c r="P52" s="12"/>
      <c r="Q52" s="12"/>
      <c r="R52" s="12"/>
      <c r="S52" s="13"/>
      <c r="T52" s="11"/>
      <c r="U52" s="12"/>
      <c r="V52" s="12"/>
      <c r="W52" s="143"/>
      <c r="X52" s="12"/>
      <c r="Y52" s="12"/>
      <c r="Z52" s="12"/>
      <c r="AA52" s="12"/>
      <c r="AB52" s="12"/>
      <c r="AC52" s="12"/>
      <c r="AD52" s="12"/>
      <c r="AE52" s="12"/>
      <c r="AF52" s="12"/>
      <c r="AG52" s="12"/>
      <c r="AH52" s="12"/>
      <c r="AI52" s="12"/>
      <c r="AJ52" s="12"/>
      <c r="AK52" s="12"/>
      <c r="AL52" s="13"/>
      <c r="AM52" s="11"/>
      <c r="AN52" s="12"/>
      <c r="AO52" s="12"/>
      <c r="AP52" s="143"/>
      <c r="AQ52" s="12"/>
      <c r="AR52" s="12"/>
      <c r="AS52" s="12"/>
      <c r="AT52" s="12"/>
      <c r="AU52" s="12"/>
      <c r="AV52" s="12"/>
      <c r="AW52" s="12"/>
      <c r="AX52" s="12"/>
      <c r="AY52" s="12"/>
      <c r="AZ52" s="12"/>
      <c r="BA52" s="12"/>
      <c r="BB52" s="12"/>
      <c r="BC52" s="12"/>
      <c r="BD52" s="12"/>
      <c r="BE52" s="13"/>
      <c r="BF52" s="11"/>
      <c r="BG52" s="12"/>
      <c r="BH52" s="12"/>
      <c r="BI52" s="143"/>
      <c r="BJ52" s="12"/>
      <c r="BK52" s="12"/>
      <c r="BL52" s="12"/>
      <c r="BM52" s="12"/>
      <c r="BN52" s="12"/>
      <c r="BO52" s="12"/>
      <c r="BP52" s="12"/>
      <c r="BQ52" s="12"/>
      <c r="BR52" s="12"/>
      <c r="BS52" s="12"/>
      <c r="BT52" s="12"/>
      <c r="BU52" s="12"/>
      <c r="BV52" s="12"/>
      <c r="BW52" s="12"/>
      <c r="BX52" s="13"/>
    </row>
    <row r="53" spans="1:76">
      <c r="A53" s="11"/>
      <c r="B53" s="12"/>
      <c r="C53" s="12"/>
      <c r="D53" s="12"/>
      <c r="E53" s="12"/>
      <c r="F53" s="12"/>
      <c r="G53" s="12"/>
      <c r="H53" s="12"/>
      <c r="I53" s="12"/>
      <c r="J53" s="12"/>
      <c r="K53" s="12"/>
      <c r="L53" s="12"/>
      <c r="M53" s="12"/>
      <c r="N53" s="12"/>
      <c r="O53" s="12"/>
      <c r="P53" s="12"/>
      <c r="Q53" s="12"/>
      <c r="R53" s="12"/>
      <c r="S53" s="13"/>
      <c r="T53" s="11"/>
      <c r="U53" s="12"/>
      <c r="V53" s="12"/>
      <c r="W53" s="143"/>
      <c r="X53" s="12"/>
      <c r="Y53" s="12"/>
      <c r="Z53" s="12"/>
      <c r="AA53" s="12"/>
      <c r="AB53" s="12"/>
      <c r="AC53" s="12"/>
      <c r="AD53" s="12"/>
      <c r="AE53" s="12"/>
      <c r="AF53" s="12"/>
      <c r="AG53" s="12"/>
      <c r="AH53" s="12"/>
      <c r="AI53" s="12"/>
      <c r="AJ53" s="12"/>
      <c r="AK53" s="12"/>
      <c r="AL53" s="13"/>
      <c r="AM53" s="11"/>
      <c r="AN53" s="12"/>
      <c r="AO53" s="12"/>
      <c r="AP53" s="143"/>
      <c r="AQ53" s="12"/>
      <c r="AR53" s="12"/>
      <c r="AS53" s="12"/>
      <c r="AT53" s="12"/>
      <c r="AU53" s="12"/>
      <c r="AV53" s="12"/>
      <c r="AW53" s="12"/>
      <c r="AX53" s="12"/>
      <c r="AY53" s="12"/>
      <c r="AZ53" s="12"/>
      <c r="BA53" s="12"/>
      <c r="BB53" s="12"/>
      <c r="BC53" s="12"/>
      <c r="BD53" s="12"/>
      <c r="BE53" s="13"/>
      <c r="BF53" s="11"/>
      <c r="BG53" s="12"/>
      <c r="BH53" s="12"/>
      <c r="BI53" s="143"/>
      <c r="BJ53" s="12"/>
      <c r="BK53" s="12"/>
      <c r="BL53" s="12"/>
      <c r="BM53" s="12"/>
      <c r="BN53" s="12"/>
      <c r="BO53" s="12"/>
      <c r="BP53" s="12"/>
      <c r="BQ53" s="12"/>
      <c r="BR53" s="12"/>
      <c r="BS53" s="12"/>
      <c r="BT53" s="12"/>
      <c r="BU53" s="12"/>
      <c r="BV53" s="12"/>
      <c r="BW53" s="12"/>
      <c r="BX53" s="13"/>
    </row>
    <row r="54" spans="1:76">
      <c r="A54" s="11"/>
      <c r="B54" s="12"/>
      <c r="C54" s="12"/>
      <c r="D54" s="12"/>
      <c r="E54" s="12"/>
      <c r="F54" s="12"/>
      <c r="G54" s="12"/>
      <c r="H54" s="12"/>
      <c r="I54" s="12"/>
      <c r="J54" s="12"/>
      <c r="K54" s="12"/>
      <c r="L54" s="12"/>
      <c r="M54" s="12"/>
      <c r="N54" s="12"/>
      <c r="O54" s="12"/>
      <c r="P54" s="12"/>
      <c r="Q54" s="12"/>
      <c r="R54" s="12"/>
      <c r="S54" s="13"/>
      <c r="T54" s="11"/>
      <c r="U54" s="12"/>
      <c r="V54" s="12"/>
      <c r="W54" s="143"/>
      <c r="X54" s="12"/>
      <c r="Y54" s="12"/>
      <c r="Z54" s="12"/>
      <c r="AA54" s="12"/>
      <c r="AB54" s="12"/>
      <c r="AC54" s="12"/>
      <c r="AD54" s="12"/>
      <c r="AE54" s="12"/>
      <c r="AF54" s="12"/>
      <c r="AG54" s="12"/>
      <c r="AH54" s="12"/>
      <c r="AI54" s="12"/>
      <c r="AJ54" s="12"/>
      <c r="AK54" s="12"/>
      <c r="AL54" s="13"/>
      <c r="AM54" s="11"/>
      <c r="AN54" s="12"/>
      <c r="AO54" s="12"/>
      <c r="AP54" s="143"/>
      <c r="AQ54" s="12"/>
      <c r="AR54" s="12"/>
      <c r="AS54" s="12"/>
      <c r="AT54" s="12"/>
      <c r="AU54" s="12"/>
      <c r="AV54" s="12"/>
      <c r="AW54" s="12"/>
      <c r="AX54" s="12"/>
      <c r="AY54" s="12"/>
      <c r="AZ54" s="12"/>
      <c r="BA54" s="12"/>
      <c r="BB54" s="12"/>
      <c r="BC54" s="12"/>
      <c r="BD54" s="12"/>
      <c r="BE54" s="13"/>
      <c r="BF54" s="11"/>
      <c r="BG54" s="12"/>
      <c r="BH54" s="12"/>
      <c r="BI54" s="143"/>
      <c r="BJ54" s="12"/>
      <c r="BK54" s="12"/>
      <c r="BL54" s="12"/>
      <c r="BM54" s="12"/>
      <c r="BN54" s="12"/>
      <c r="BO54" s="12"/>
      <c r="BP54" s="12"/>
      <c r="BQ54" s="12"/>
      <c r="BR54" s="12"/>
      <c r="BS54" s="12"/>
      <c r="BT54" s="12"/>
      <c r="BU54" s="12"/>
      <c r="BV54" s="12"/>
      <c r="BW54" s="12"/>
      <c r="BX54" s="13"/>
    </row>
    <row r="55" spans="1:76">
      <c r="A55" s="11"/>
      <c r="B55" s="12"/>
      <c r="C55" s="12"/>
      <c r="D55" s="12"/>
      <c r="E55" s="12"/>
      <c r="F55" s="12"/>
      <c r="G55" s="12"/>
      <c r="H55" s="12"/>
      <c r="I55" s="12"/>
      <c r="J55" s="12"/>
      <c r="K55" s="12"/>
      <c r="L55" s="12"/>
      <c r="M55" s="12"/>
      <c r="N55" s="12"/>
      <c r="O55" s="12"/>
      <c r="P55" s="12"/>
      <c r="Q55" s="12"/>
      <c r="R55" s="12"/>
      <c r="S55" s="13"/>
      <c r="T55" s="11"/>
      <c r="U55" s="12"/>
      <c r="V55" s="12"/>
      <c r="W55" s="143"/>
      <c r="X55" s="12"/>
      <c r="Y55" s="12"/>
      <c r="Z55" s="12"/>
      <c r="AA55" s="12"/>
      <c r="AB55" s="12"/>
      <c r="AC55" s="12"/>
      <c r="AD55" s="12"/>
      <c r="AE55" s="12"/>
      <c r="AF55" s="12"/>
      <c r="AG55" s="12"/>
      <c r="AH55" s="12"/>
      <c r="AI55" s="12"/>
      <c r="AJ55" s="12"/>
      <c r="AK55" s="12"/>
      <c r="AL55" s="13"/>
      <c r="AM55" s="11"/>
      <c r="AN55" s="12"/>
      <c r="AO55" s="12"/>
      <c r="AP55" s="143"/>
      <c r="AQ55" s="12"/>
      <c r="AR55" s="12"/>
      <c r="AS55" s="12"/>
      <c r="AT55" s="12"/>
      <c r="AU55" s="12"/>
      <c r="AV55" s="12"/>
      <c r="AW55" s="12"/>
      <c r="AX55" s="12"/>
      <c r="AY55" s="12"/>
      <c r="AZ55" s="12"/>
      <c r="BA55" s="12"/>
      <c r="BB55" s="12"/>
      <c r="BC55" s="12"/>
      <c r="BD55" s="12"/>
      <c r="BE55" s="13"/>
      <c r="BF55" s="11"/>
      <c r="BG55" s="12"/>
      <c r="BH55" s="12"/>
      <c r="BI55" s="143"/>
      <c r="BJ55" s="12"/>
      <c r="BK55" s="12"/>
      <c r="BL55" s="12"/>
      <c r="BM55" s="12"/>
      <c r="BN55" s="12"/>
      <c r="BO55" s="12"/>
      <c r="BP55" s="12"/>
      <c r="BQ55" s="12"/>
      <c r="BR55" s="12"/>
      <c r="BS55" s="12"/>
      <c r="BT55" s="12"/>
      <c r="BU55" s="12"/>
      <c r="BV55" s="12"/>
      <c r="BW55" s="12"/>
      <c r="BX55" s="13"/>
    </row>
    <row r="56" spans="1:76">
      <c r="A56" s="147"/>
      <c r="B56" s="81"/>
      <c r="C56" s="81"/>
      <c r="D56" s="81"/>
      <c r="E56" s="81"/>
      <c r="F56" s="81"/>
      <c r="G56" s="81"/>
      <c r="H56" s="81"/>
      <c r="I56" s="81"/>
      <c r="J56" s="81"/>
      <c r="K56" s="81"/>
      <c r="L56" s="81"/>
      <c r="M56" s="81"/>
      <c r="N56" s="81"/>
      <c r="O56" s="81"/>
      <c r="P56" s="81"/>
      <c r="Q56" s="81"/>
      <c r="R56" s="81"/>
      <c r="S56" s="149"/>
      <c r="T56" s="11"/>
      <c r="U56" s="12"/>
      <c r="V56" s="12"/>
      <c r="W56" s="143"/>
      <c r="X56" s="12"/>
      <c r="Y56" s="12"/>
      <c r="Z56" s="12"/>
      <c r="AA56" s="12"/>
      <c r="AB56" s="12"/>
      <c r="AC56" s="12"/>
      <c r="AD56" s="12"/>
      <c r="AE56" s="12"/>
      <c r="AF56" s="12"/>
      <c r="AG56" s="12"/>
      <c r="AH56" s="12"/>
      <c r="AI56" s="12"/>
      <c r="AJ56" s="12"/>
      <c r="AK56" s="12"/>
      <c r="AL56" s="13"/>
      <c r="AM56" s="11"/>
      <c r="AN56" s="12"/>
      <c r="AO56" s="12"/>
      <c r="AP56" s="143"/>
      <c r="AQ56" s="12"/>
      <c r="AR56" s="12"/>
      <c r="AS56" s="12"/>
      <c r="AT56" s="12"/>
      <c r="AU56" s="12"/>
      <c r="AV56" s="12"/>
      <c r="AW56" s="12"/>
      <c r="AX56" s="12"/>
      <c r="AY56" s="12"/>
      <c r="AZ56" s="12"/>
      <c r="BA56" s="12"/>
      <c r="BB56" s="12"/>
      <c r="BC56" s="12"/>
      <c r="BD56" s="12"/>
      <c r="BE56" s="13"/>
      <c r="BF56" s="11"/>
      <c r="BG56" s="12"/>
      <c r="BH56" s="12"/>
      <c r="BI56" s="143"/>
      <c r="BJ56" s="12"/>
      <c r="BK56" s="12"/>
      <c r="BL56" s="12"/>
      <c r="BM56" s="12"/>
      <c r="BN56" s="12"/>
      <c r="BO56" s="12"/>
      <c r="BP56" s="12"/>
      <c r="BQ56" s="12"/>
      <c r="BR56" s="12"/>
      <c r="BS56" s="12"/>
      <c r="BT56" s="12"/>
      <c r="BU56" s="12"/>
      <c r="BV56" s="12"/>
      <c r="BW56" s="12"/>
      <c r="BX56" s="13"/>
    </row>
    <row r="57" spans="1:76">
      <c r="A57" s="147"/>
      <c r="B57" s="81"/>
      <c r="C57" s="81"/>
      <c r="D57" s="81"/>
      <c r="E57" s="81"/>
      <c r="F57" s="81"/>
      <c r="G57" s="81"/>
      <c r="H57" s="81"/>
      <c r="I57" s="81"/>
      <c r="J57" s="81"/>
      <c r="K57" s="81"/>
      <c r="L57" s="81"/>
      <c r="M57" s="81"/>
      <c r="N57" s="81"/>
      <c r="O57" s="81"/>
      <c r="P57" s="81"/>
      <c r="Q57" s="81"/>
      <c r="R57" s="81"/>
      <c r="S57" s="149"/>
      <c r="T57" s="147"/>
      <c r="U57" s="81"/>
      <c r="V57" s="81"/>
      <c r="W57" s="148"/>
      <c r="X57" s="81"/>
      <c r="Y57" s="81"/>
      <c r="Z57" s="81"/>
      <c r="AA57" s="81"/>
      <c r="AB57" s="81"/>
      <c r="AC57" s="81"/>
      <c r="AD57" s="81"/>
      <c r="AE57" s="81"/>
      <c r="AF57" s="81"/>
      <c r="AG57" s="81"/>
      <c r="AH57" s="81"/>
      <c r="AI57" s="81"/>
      <c r="AJ57" s="81"/>
      <c r="AK57" s="81"/>
      <c r="AL57" s="149"/>
      <c r="AM57" s="147"/>
      <c r="AN57" s="81"/>
      <c r="AO57" s="81"/>
      <c r="AP57" s="148"/>
      <c r="AQ57" s="81"/>
      <c r="AR57" s="81"/>
      <c r="AS57" s="81"/>
      <c r="AT57" s="81"/>
      <c r="AU57" s="81"/>
      <c r="AV57" s="81"/>
      <c r="AW57" s="81"/>
      <c r="AX57" s="81"/>
      <c r="AY57" s="81"/>
      <c r="AZ57" s="81"/>
      <c r="BA57" s="81"/>
      <c r="BB57" s="81"/>
      <c r="BC57" s="81"/>
      <c r="BD57" s="81"/>
      <c r="BE57" s="149"/>
      <c r="BF57" s="147"/>
      <c r="BG57" s="81"/>
      <c r="BH57" s="81"/>
      <c r="BI57" s="148"/>
      <c r="BJ57" s="81"/>
      <c r="BK57" s="81"/>
      <c r="BL57" s="81"/>
      <c r="BM57" s="81"/>
      <c r="BN57" s="81"/>
      <c r="BO57" s="81"/>
      <c r="BP57" s="81"/>
      <c r="BQ57" s="81"/>
      <c r="BR57" s="81"/>
      <c r="BS57" s="81"/>
      <c r="BT57" s="81"/>
      <c r="BU57" s="81"/>
      <c r="BV57" s="81"/>
      <c r="BW57" s="81"/>
      <c r="BX57" s="149"/>
    </row>
    <row r="58" spans="1:76">
      <c r="A58" s="147"/>
      <c r="B58" s="81"/>
      <c r="C58" s="81"/>
      <c r="D58" s="81"/>
      <c r="E58" s="81"/>
      <c r="F58" s="81"/>
      <c r="G58" s="81"/>
      <c r="H58" s="81"/>
      <c r="I58" s="81"/>
      <c r="J58" s="81"/>
      <c r="K58" s="81"/>
      <c r="L58" s="81"/>
      <c r="M58" s="81"/>
      <c r="N58" s="81"/>
      <c r="O58" s="81"/>
      <c r="P58" s="81"/>
      <c r="Q58" s="81"/>
      <c r="R58" s="81"/>
      <c r="S58" s="149"/>
      <c r="T58" s="147"/>
      <c r="U58" s="81"/>
      <c r="V58" s="81"/>
      <c r="W58" s="148"/>
      <c r="X58" s="81"/>
      <c r="Y58" s="81"/>
      <c r="Z58" s="81"/>
      <c r="AA58" s="81"/>
      <c r="AB58" s="81"/>
      <c r="AC58" s="81"/>
      <c r="AD58" s="81"/>
      <c r="AE58" s="81"/>
      <c r="AF58" s="81"/>
      <c r="AG58" s="81"/>
      <c r="AH58" s="81"/>
      <c r="AI58" s="81"/>
      <c r="AJ58" s="81"/>
      <c r="AK58" s="81"/>
      <c r="AL58" s="149"/>
      <c r="AM58" s="147"/>
      <c r="AN58" s="81"/>
      <c r="AO58" s="81"/>
      <c r="AP58" s="148"/>
      <c r="AQ58" s="81"/>
      <c r="AR58" s="81"/>
      <c r="AS58" s="81"/>
      <c r="AT58" s="81"/>
      <c r="AU58" s="81"/>
      <c r="AV58" s="81"/>
      <c r="AW58" s="81"/>
      <c r="AX58" s="81"/>
      <c r="AY58" s="81"/>
      <c r="AZ58" s="81"/>
      <c r="BA58" s="81"/>
      <c r="BB58" s="81"/>
      <c r="BC58" s="81"/>
      <c r="BD58" s="81"/>
      <c r="BE58" s="149"/>
      <c r="BF58" s="147"/>
      <c r="BG58" s="81"/>
      <c r="BH58" s="81"/>
      <c r="BI58" s="148"/>
      <c r="BJ58" s="81"/>
      <c r="BK58" s="81"/>
      <c r="BL58" s="81"/>
      <c r="BM58" s="81"/>
      <c r="BN58" s="81"/>
      <c r="BO58" s="81"/>
      <c r="BP58" s="81"/>
      <c r="BQ58" s="81"/>
      <c r="BR58" s="81"/>
      <c r="BS58" s="81"/>
      <c r="BT58" s="81"/>
      <c r="BU58" s="81"/>
      <c r="BV58" s="81"/>
      <c r="BW58" s="81"/>
      <c r="BX58" s="149"/>
    </row>
    <row r="59" spans="1:76">
      <c r="A59" s="147"/>
      <c r="B59" s="81"/>
      <c r="C59" s="81"/>
      <c r="D59" s="81"/>
      <c r="E59" s="81"/>
      <c r="F59" s="81"/>
      <c r="G59" s="81"/>
      <c r="H59" s="81"/>
      <c r="I59" s="81"/>
      <c r="J59" s="81"/>
      <c r="K59" s="81"/>
      <c r="L59" s="81"/>
      <c r="M59" s="81"/>
      <c r="N59" s="81"/>
      <c r="O59" s="81"/>
      <c r="P59" s="81"/>
      <c r="Q59" s="81"/>
      <c r="R59" s="81"/>
      <c r="S59" s="149"/>
      <c r="T59" s="147"/>
      <c r="U59" s="81"/>
      <c r="V59" s="81"/>
      <c r="W59" s="148"/>
      <c r="X59" s="81"/>
      <c r="Y59" s="81"/>
      <c r="Z59" s="81"/>
      <c r="AA59" s="81"/>
      <c r="AB59" s="81"/>
      <c r="AC59" s="81"/>
      <c r="AD59" s="81"/>
      <c r="AE59" s="81"/>
      <c r="AF59" s="81"/>
      <c r="AG59" s="81"/>
      <c r="AH59" s="81"/>
      <c r="AI59" s="81"/>
      <c r="AJ59" s="81"/>
      <c r="AK59" s="81"/>
      <c r="AL59" s="149"/>
      <c r="AM59" s="147"/>
      <c r="AN59" s="81"/>
      <c r="AO59" s="81"/>
      <c r="AP59" s="148"/>
      <c r="AQ59" s="81"/>
      <c r="AR59" s="81"/>
      <c r="AS59" s="81"/>
      <c r="AT59" s="81"/>
      <c r="AU59" s="81"/>
      <c r="AV59" s="81"/>
      <c r="AW59" s="81"/>
      <c r="AX59" s="81"/>
      <c r="AY59" s="81"/>
      <c r="AZ59" s="81"/>
      <c r="BA59" s="81"/>
      <c r="BB59" s="81"/>
      <c r="BC59" s="81"/>
      <c r="BD59" s="81"/>
      <c r="BE59" s="149"/>
      <c r="BF59" s="147"/>
      <c r="BG59" s="81"/>
      <c r="BH59" s="81"/>
      <c r="BI59" s="148"/>
      <c r="BJ59" s="81"/>
      <c r="BK59" s="81"/>
      <c r="BL59" s="81"/>
      <c r="BM59" s="81"/>
      <c r="BN59" s="81"/>
      <c r="BO59" s="81"/>
      <c r="BP59" s="81"/>
      <c r="BQ59" s="81"/>
      <c r="BR59" s="81"/>
      <c r="BS59" s="81"/>
      <c r="BT59" s="81"/>
      <c r="BU59" s="81"/>
      <c r="BV59" s="81"/>
      <c r="BW59" s="81"/>
      <c r="BX59" s="149"/>
    </row>
    <row r="60" spans="1:76">
      <c r="A60" s="147"/>
      <c r="B60" s="81"/>
      <c r="C60" s="81"/>
      <c r="D60" s="81"/>
      <c r="E60" s="81"/>
      <c r="F60" s="81"/>
      <c r="G60" s="81"/>
      <c r="H60" s="81"/>
      <c r="I60" s="81"/>
      <c r="J60" s="81"/>
      <c r="K60" s="81"/>
      <c r="L60" s="81"/>
      <c r="M60" s="81"/>
      <c r="N60" s="81"/>
      <c r="O60" s="81"/>
      <c r="P60" s="81"/>
      <c r="Q60" s="81"/>
      <c r="R60" s="81"/>
      <c r="S60" s="149"/>
      <c r="T60" s="147"/>
      <c r="U60" s="81"/>
      <c r="V60" s="81"/>
      <c r="W60" s="148"/>
      <c r="X60" s="81"/>
      <c r="Y60" s="81"/>
      <c r="Z60" s="81"/>
      <c r="AA60" s="81"/>
      <c r="AB60" s="81"/>
      <c r="AC60" s="81"/>
      <c r="AD60" s="81"/>
      <c r="AE60" s="81"/>
      <c r="AF60" s="81"/>
      <c r="AG60" s="81"/>
      <c r="AH60" s="81"/>
      <c r="AI60" s="81"/>
      <c r="AJ60" s="81"/>
      <c r="AK60" s="81"/>
      <c r="AL60" s="149"/>
      <c r="AM60" s="147"/>
      <c r="AN60" s="81"/>
      <c r="AO60" s="81"/>
      <c r="AP60" s="148"/>
      <c r="AQ60" s="81"/>
      <c r="AR60" s="81"/>
      <c r="AS60" s="81"/>
      <c r="AT60" s="81"/>
      <c r="AU60" s="81"/>
      <c r="AV60" s="81"/>
      <c r="AW60" s="81"/>
      <c r="AX60" s="81"/>
      <c r="AY60" s="81"/>
      <c r="AZ60" s="81"/>
      <c r="BA60" s="81"/>
      <c r="BB60" s="81"/>
      <c r="BC60" s="81"/>
      <c r="BD60" s="81"/>
      <c r="BE60" s="149"/>
      <c r="BF60" s="147"/>
      <c r="BG60" s="81"/>
      <c r="BH60" s="81"/>
      <c r="BI60" s="148"/>
      <c r="BJ60" s="81"/>
      <c r="BK60" s="81"/>
      <c r="BL60" s="81"/>
      <c r="BM60" s="81"/>
      <c r="BN60" s="81"/>
      <c r="BO60" s="81"/>
      <c r="BP60" s="81"/>
      <c r="BQ60" s="81"/>
      <c r="BR60" s="81"/>
      <c r="BS60" s="81"/>
      <c r="BT60" s="81"/>
      <c r="BU60" s="81"/>
      <c r="BV60" s="81"/>
      <c r="BW60" s="81"/>
      <c r="BX60" s="149"/>
    </row>
    <row r="61" spans="1:76">
      <c r="A61" s="147"/>
      <c r="B61" s="81"/>
      <c r="C61" s="81"/>
      <c r="D61" s="81"/>
      <c r="E61" s="81"/>
      <c r="F61" s="81"/>
      <c r="G61" s="81"/>
      <c r="H61" s="81"/>
      <c r="I61" s="81"/>
      <c r="J61" s="81"/>
      <c r="K61" s="81"/>
      <c r="L61" s="81"/>
      <c r="M61" s="81"/>
      <c r="N61" s="81"/>
      <c r="O61" s="81"/>
      <c r="P61" s="81"/>
      <c r="Q61" s="81"/>
      <c r="R61" s="81"/>
      <c r="S61" s="149"/>
      <c r="T61" s="147"/>
      <c r="U61" s="81"/>
      <c r="V61" s="81"/>
      <c r="W61" s="148"/>
      <c r="X61" s="81"/>
      <c r="Y61" s="81"/>
      <c r="Z61" s="81"/>
      <c r="AA61" s="81"/>
      <c r="AB61" s="81"/>
      <c r="AC61" s="81"/>
      <c r="AD61" s="81"/>
      <c r="AE61" s="81"/>
      <c r="AF61" s="81"/>
      <c r="AG61" s="81"/>
      <c r="AH61" s="81"/>
      <c r="AI61" s="81"/>
      <c r="AJ61" s="81"/>
      <c r="AK61" s="81"/>
      <c r="AL61" s="149"/>
      <c r="AM61" s="147"/>
      <c r="AN61" s="81"/>
      <c r="AO61" s="81"/>
      <c r="AP61" s="148"/>
      <c r="AQ61" s="81"/>
      <c r="AR61" s="81"/>
      <c r="AS61" s="81"/>
      <c r="AT61" s="81"/>
      <c r="AU61" s="81"/>
      <c r="AV61" s="81"/>
      <c r="AW61" s="81"/>
      <c r="AX61" s="81"/>
      <c r="AY61" s="81"/>
      <c r="AZ61" s="81"/>
      <c r="BA61" s="81"/>
      <c r="BB61" s="81"/>
      <c r="BC61" s="81"/>
      <c r="BD61" s="81"/>
      <c r="BE61" s="149"/>
      <c r="BF61" s="147"/>
      <c r="BG61" s="81"/>
      <c r="BH61" s="81"/>
      <c r="BI61" s="148"/>
      <c r="BJ61" s="81"/>
      <c r="BK61" s="81"/>
      <c r="BL61" s="81"/>
      <c r="BM61" s="81"/>
      <c r="BN61" s="81"/>
      <c r="BO61" s="81"/>
      <c r="BP61" s="81"/>
      <c r="BQ61" s="81"/>
      <c r="BR61" s="81"/>
      <c r="BS61" s="81"/>
      <c r="BT61" s="81"/>
      <c r="BU61" s="81"/>
      <c r="BV61" s="81"/>
      <c r="BW61" s="81"/>
      <c r="BX61" s="149"/>
    </row>
    <row r="62" spans="1:76">
      <c r="A62" s="147"/>
      <c r="B62" s="81"/>
      <c r="C62" s="81"/>
      <c r="D62" s="81"/>
      <c r="E62" s="81"/>
      <c r="F62" s="81"/>
      <c r="G62" s="81"/>
      <c r="H62" s="81"/>
      <c r="I62" s="81"/>
      <c r="J62" s="81"/>
      <c r="K62" s="81"/>
      <c r="L62" s="81"/>
      <c r="M62" s="81"/>
      <c r="N62" s="81"/>
      <c r="O62" s="81"/>
      <c r="P62" s="81"/>
      <c r="Q62" s="81"/>
      <c r="R62" s="81"/>
      <c r="S62" s="149"/>
      <c r="T62" s="147"/>
      <c r="U62" s="81"/>
      <c r="V62" s="81"/>
      <c r="W62" s="148"/>
      <c r="X62" s="81"/>
      <c r="Y62" s="81"/>
      <c r="Z62" s="81"/>
      <c r="AA62" s="81"/>
      <c r="AB62" s="81"/>
      <c r="AC62" s="81"/>
      <c r="AD62" s="81"/>
      <c r="AE62" s="81"/>
      <c r="AF62" s="81"/>
      <c r="AG62" s="81"/>
      <c r="AH62" s="81"/>
      <c r="AI62" s="81"/>
      <c r="AJ62" s="81"/>
      <c r="AK62" s="81"/>
      <c r="AL62" s="149"/>
      <c r="AM62" s="147"/>
      <c r="AN62" s="81"/>
      <c r="AO62" s="81"/>
      <c r="AP62" s="148"/>
      <c r="AQ62" s="81"/>
      <c r="AR62" s="81"/>
      <c r="AS62" s="81"/>
      <c r="AT62" s="81"/>
      <c r="AU62" s="81"/>
      <c r="AV62" s="81"/>
      <c r="AW62" s="81"/>
      <c r="AX62" s="81"/>
      <c r="AY62" s="81"/>
      <c r="AZ62" s="81"/>
      <c r="BA62" s="81"/>
      <c r="BB62" s="81"/>
      <c r="BC62" s="81"/>
      <c r="BD62" s="81"/>
      <c r="BE62" s="149"/>
      <c r="BF62" s="147"/>
      <c r="BG62" s="81"/>
      <c r="BH62" s="81"/>
      <c r="BI62" s="148"/>
      <c r="BJ62" s="81"/>
      <c r="BK62" s="81"/>
      <c r="BL62" s="81"/>
      <c r="BM62" s="81"/>
      <c r="BN62" s="81"/>
      <c r="BO62" s="81"/>
      <c r="BP62" s="81"/>
      <c r="BQ62" s="81"/>
      <c r="BR62" s="81"/>
      <c r="BS62" s="81"/>
      <c r="BT62" s="81"/>
      <c r="BU62" s="81"/>
      <c r="BV62" s="81"/>
      <c r="BW62" s="81"/>
      <c r="BX62" s="149"/>
    </row>
    <row r="63" spans="1:76">
      <c r="T63" s="181"/>
      <c r="U63" s="181"/>
      <c r="V63" s="181"/>
      <c r="W63" s="182"/>
      <c r="X63" s="181"/>
      <c r="Y63" s="181"/>
      <c r="Z63" s="181"/>
      <c r="AA63" s="181"/>
      <c r="AB63" s="181"/>
      <c r="AC63" s="181"/>
      <c r="AD63" s="181"/>
      <c r="AE63" s="181"/>
      <c r="AF63" s="181"/>
      <c r="AG63" s="181"/>
      <c r="AH63" s="181"/>
      <c r="AI63" s="181"/>
      <c r="AJ63" s="181"/>
      <c r="AK63" s="181"/>
      <c r="AL63" s="181"/>
    </row>
    <row r="70" spans="16:19">
      <c r="P70" s="97"/>
      <c r="S70" s="97"/>
    </row>
    <row r="71" spans="16:19">
      <c r="S71" s="97"/>
    </row>
  </sheetData>
  <sheetProtection algorithmName="SHA-512" hashValue="NElg7b0HV3BU44Sd7px3KZ9YJa9TdxOQK98a0vhzmsijTCEQEXU/zL7pPY4Rl/Q1n8BRqoMGfd12krh921kiFw==" saltValue="SPWdSP4UblVChiJ/cLhx+g==" spinCount="100000" sheet="1" scenarios="1"/>
  <protectedRanges>
    <protectedRange sqref="A34:S62 T1:BX62" name="Range3"/>
    <protectedRange sqref="R24:S33" name="Bereich2"/>
    <protectedRange sqref="E5:M20" name="Bereich1"/>
  </protectedRanges>
  <mergeCells count="104">
    <mergeCell ref="K15:M15"/>
    <mergeCell ref="K16:M16"/>
    <mergeCell ref="K17:M17"/>
    <mergeCell ref="K18:M18"/>
    <mergeCell ref="K19:M19"/>
    <mergeCell ref="K20:M20"/>
    <mergeCell ref="I5:J5"/>
    <mergeCell ref="I6:J6"/>
    <mergeCell ref="I7:J7"/>
    <mergeCell ref="I18:J18"/>
    <mergeCell ref="I19:J19"/>
    <mergeCell ref="I20:J20"/>
    <mergeCell ref="I13:J13"/>
    <mergeCell ref="I14:J14"/>
    <mergeCell ref="I15:J15"/>
    <mergeCell ref="I16:J16"/>
    <mergeCell ref="I17:J17"/>
    <mergeCell ref="I8:J8"/>
    <mergeCell ref="I9:J9"/>
    <mergeCell ref="I10:J10"/>
    <mergeCell ref="I11:J11"/>
    <mergeCell ref="I12:J12"/>
    <mergeCell ref="E17:F17"/>
    <mergeCell ref="G17:H17"/>
    <mergeCell ref="G14:H14"/>
    <mergeCell ref="B15:D15"/>
    <mergeCell ref="E15:F15"/>
    <mergeCell ref="G15:H15"/>
    <mergeCell ref="B20:D20"/>
    <mergeCell ref="E20:F20"/>
    <mergeCell ref="G20:H20"/>
    <mergeCell ref="B18:D18"/>
    <mergeCell ref="E18:F18"/>
    <mergeCell ref="G18:H18"/>
    <mergeCell ref="B19:D19"/>
    <mergeCell ref="E19:F19"/>
    <mergeCell ref="G19:H19"/>
    <mergeCell ref="B16:D16"/>
    <mergeCell ref="A1:S1"/>
    <mergeCell ref="R30:S30"/>
    <mergeCell ref="R22:S23"/>
    <mergeCell ref="R26:S26"/>
    <mergeCell ref="R28:S28"/>
    <mergeCell ref="R29:S29"/>
    <mergeCell ref="R27:S27"/>
    <mergeCell ref="B5:D5"/>
    <mergeCell ref="E5:F5"/>
    <mergeCell ref="E6:F6"/>
    <mergeCell ref="E7:F7"/>
    <mergeCell ref="E8:F8"/>
    <mergeCell ref="B8:D8"/>
    <mergeCell ref="G3:H4"/>
    <mergeCell ref="E9:F9"/>
    <mergeCell ref="G5:H5"/>
    <mergeCell ref="G6:H6"/>
    <mergeCell ref="G7:H7"/>
    <mergeCell ref="G8:H8"/>
    <mergeCell ref="G9:H9"/>
    <mergeCell ref="E16:F16"/>
    <mergeCell ref="G16:H16"/>
    <mergeCell ref="B17:D17"/>
    <mergeCell ref="B11:D11"/>
    <mergeCell ref="E11:F11"/>
    <mergeCell ref="G11:H11"/>
    <mergeCell ref="B10:D10"/>
    <mergeCell ref="E10:F10"/>
    <mergeCell ref="G10:H10"/>
    <mergeCell ref="B3:D4"/>
    <mergeCell ref="E3:F4"/>
    <mergeCell ref="K5:M5"/>
    <mergeCell ref="K3:M4"/>
    <mergeCell ref="K7:M7"/>
    <mergeCell ref="K6:M6"/>
    <mergeCell ref="K9:M9"/>
    <mergeCell ref="K8:M8"/>
    <mergeCell ref="K11:M11"/>
    <mergeCell ref="K10:M10"/>
    <mergeCell ref="B6:D6"/>
    <mergeCell ref="B7:D7"/>
    <mergeCell ref="B9:D9"/>
    <mergeCell ref="I3:J4"/>
    <mergeCell ref="B12:D12"/>
    <mergeCell ref="E12:F12"/>
    <mergeCell ref="G12:H12"/>
    <mergeCell ref="K12:M12"/>
    <mergeCell ref="B13:D13"/>
    <mergeCell ref="E13:F13"/>
    <mergeCell ref="G13:H13"/>
    <mergeCell ref="B14:D14"/>
    <mergeCell ref="E14:F14"/>
    <mergeCell ref="K13:M13"/>
    <mergeCell ref="K14:M14"/>
    <mergeCell ref="A33:Q33"/>
    <mergeCell ref="R31:S32"/>
    <mergeCell ref="A22:Q23"/>
    <mergeCell ref="A31:Q32"/>
    <mergeCell ref="A26:Q26"/>
    <mergeCell ref="A27:Q27"/>
    <mergeCell ref="A28:Q28"/>
    <mergeCell ref="A29:Q29"/>
    <mergeCell ref="A30:Q30"/>
    <mergeCell ref="R33:S33"/>
    <mergeCell ref="R24:S25"/>
    <mergeCell ref="A24:Q25"/>
  </mergeCells>
  <phoneticPr fontId="2" type="noConversion"/>
  <conditionalFormatting sqref="E5:F20">
    <cfRule type="cellIs" dxfId="12" priority="3" operator="greaterThan">
      <formula>12</formula>
    </cfRule>
  </conditionalFormatting>
  <conditionalFormatting sqref="G5:H20">
    <cfRule type="cellIs" dxfId="11" priority="2" operator="greaterThan">
      <formula>120</formula>
    </cfRule>
  </conditionalFormatting>
  <conditionalFormatting sqref="I5:J20">
    <cfRule type="cellIs" dxfId="10" priority="1" operator="greaterThan">
      <formula>6</formula>
    </cfRule>
  </conditionalFormatting>
  <conditionalFormatting sqref="K5:K20">
    <cfRule type="cellIs" dxfId="9" priority="4" operator="equal">
      <formula>"N/A"</formula>
    </cfRule>
    <cfRule type="cellIs" dxfId="8" priority="5" operator="equal">
      <formula>"No"</formula>
    </cfRule>
    <cfRule type="cellIs" dxfId="7" priority="6" operator="equal">
      <formula>"yes"</formula>
    </cfRule>
  </conditionalFormatting>
  <conditionalFormatting sqref="Q5:Q19 R26:R31">
    <cfRule type="cellIs" dxfId="6" priority="8" operator="equal">
      <formula>"No"</formula>
    </cfRule>
    <cfRule type="cellIs" dxfId="5" priority="9" operator="equal">
      <formula>"yes"</formula>
    </cfRule>
  </conditionalFormatting>
  <conditionalFormatting sqref="Q5:R19 R26:S31">
    <cfRule type="cellIs" dxfId="4" priority="7" operator="equal">
      <formula>"N/A"</formula>
    </cfRule>
  </conditionalFormatting>
  <conditionalFormatting sqref="R24 R33">
    <cfRule type="cellIs" dxfId="3" priority="18" operator="equal">
      <formula>"No"</formula>
    </cfRule>
    <cfRule type="cellIs" dxfId="2" priority="19" operator="equal">
      <formula>"yes"</formula>
    </cfRule>
  </conditionalFormatting>
  <conditionalFormatting sqref="R24">
    <cfRule type="cellIs" dxfId="1" priority="17" operator="equal">
      <formula>"N/A"</formula>
    </cfRule>
  </conditionalFormatting>
  <conditionalFormatting sqref="R33:S33">
    <cfRule type="cellIs" dxfId="0" priority="16" operator="equal">
      <formula>"N/A"</formula>
    </cfRule>
  </conditionalFormatting>
  <dataValidations count="3">
    <dataValidation type="list" allowBlank="1" showInputMessage="1" showErrorMessage="1" sqref="K5 R33:S33" xr:uid="{3662B31F-FE4D-4F42-B4E2-5FFD056A5F96}">
      <formula1>"No,Yes"</formula1>
    </dataValidation>
    <dataValidation type="list" allowBlank="1" showInputMessage="1" showErrorMessage="1" sqref="K6:K20" xr:uid="{F4AF7A37-AFDD-4C26-9FE0-AEC6E30F61B1}">
      <formula1>"No,Yes,N/A"</formula1>
    </dataValidation>
    <dataValidation type="list" allowBlank="1" showInputMessage="1" showErrorMessage="1" sqref="R24:S32" xr:uid="{323A575E-EB9B-486F-8625-E534B77A6173}">
      <formula1>"No,Yes, N/A"</formula1>
    </dataValidation>
  </dataValidations>
  <hyperlinks>
    <hyperlink ref="O21" location="'Cover Sheet'!A1" display="BACK to COVER SHEET" xr:uid="{950D1EDA-D929-4E92-B270-0E331F7CBB8A}"/>
  </hyperlinks>
  <pageMargins left="0.39370078740157483" right="0.39370078740157483" top="0.39370078740157483" bottom="0.39370078740157483" header="0.51181102362204722" footer="0.51181102362204722"/>
  <pageSetup paperSize="9" fitToHeight="0" orientation="portrait" r:id="rId1"/>
  <headerFooter alignWithMargins="0"/>
  <colBreaks count="1" manualBreakCount="1">
    <brk id="19" max="61"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1">
    <tabColor rgb="FFFF9999"/>
  </sheetPr>
  <dimension ref="A1:BX63"/>
  <sheetViews>
    <sheetView showGridLines="0" view="pageBreakPreview" zoomScale="98" zoomScaleNormal="100" zoomScaleSheetLayoutView="98" workbookViewId="0">
      <selection sqref="A1:S1"/>
    </sheetView>
  </sheetViews>
  <sheetFormatPr defaultColWidth="11.42578125" defaultRowHeight="12.75"/>
  <cols>
    <col min="1" max="3" width="5" customWidth="1"/>
    <col min="4" max="4" width="6.7109375" customWidth="1"/>
    <col min="5" max="76" width="5" customWidth="1"/>
  </cols>
  <sheetData>
    <row r="1" spans="1:76">
      <c r="A1" s="458" t="str">
        <f>CONCATENATE(Read_Me!A1," FS ASES ",Read_Me!B1," - Additional Info")</f>
        <v>2026 FS ASES V1.0 - Additional Info</v>
      </c>
      <c r="B1" s="458"/>
      <c r="C1" s="458"/>
      <c r="D1" s="458"/>
      <c r="E1" s="458"/>
      <c r="F1" s="458"/>
      <c r="G1" s="458"/>
      <c r="H1" s="458"/>
      <c r="I1" s="458"/>
      <c r="J1" s="458"/>
      <c r="K1" s="458"/>
      <c r="L1" s="458"/>
      <c r="M1" s="458"/>
      <c r="N1" s="458"/>
      <c r="O1" s="458"/>
      <c r="P1" s="458"/>
      <c r="Q1" s="458"/>
      <c r="R1" s="458"/>
      <c r="S1" s="458"/>
      <c r="T1" s="8"/>
      <c r="U1" s="9"/>
      <c r="V1" s="9"/>
      <c r="W1" s="9"/>
      <c r="X1" s="9"/>
      <c r="Y1" s="9"/>
      <c r="Z1" s="9"/>
      <c r="AA1" s="9"/>
      <c r="AB1" s="9"/>
      <c r="AC1" s="9"/>
      <c r="AD1" s="9"/>
      <c r="AE1" s="9"/>
      <c r="AF1" s="9"/>
      <c r="AG1" s="9"/>
      <c r="AH1" s="9"/>
      <c r="AI1" s="9"/>
      <c r="AJ1" s="9"/>
      <c r="AK1" s="9"/>
      <c r="AL1" s="10"/>
      <c r="AM1" s="8"/>
      <c r="AN1" s="9"/>
      <c r="AO1" s="9"/>
      <c r="AP1" s="9"/>
      <c r="AQ1" s="9"/>
      <c r="AR1" s="9"/>
      <c r="AS1" s="9"/>
      <c r="AT1" s="9"/>
      <c r="AU1" s="9"/>
      <c r="AV1" s="9"/>
      <c r="AW1" s="9"/>
      <c r="AX1" s="9"/>
      <c r="AY1" s="9"/>
      <c r="AZ1" s="9"/>
      <c r="BA1" s="9"/>
      <c r="BB1" s="9"/>
      <c r="BC1" s="9"/>
      <c r="BD1" s="9"/>
      <c r="BE1" s="10"/>
      <c r="BF1" s="8"/>
      <c r="BG1" s="9"/>
      <c r="BH1" s="9"/>
      <c r="BI1" s="9"/>
      <c r="BJ1" s="9"/>
      <c r="BK1" s="9"/>
      <c r="BL1" s="9"/>
      <c r="BM1" s="9"/>
      <c r="BN1" s="9"/>
      <c r="BO1" s="9"/>
      <c r="BP1" s="9"/>
      <c r="BQ1" s="9"/>
      <c r="BR1" s="9"/>
      <c r="BS1" s="9"/>
      <c r="BT1" s="9"/>
      <c r="BU1" s="9"/>
      <c r="BV1" s="9"/>
      <c r="BW1" s="9"/>
      <c r="BX1" s="10"/>
    </row>
    <row r="2" spans="1:76">
      <c r="T2" s="11"/>
      <c r="U2" s="12"/>
      <c r="V2" s="12"/>
      <c r="W2" s="12"/>
      <c r="X2" s="12"/>
      <c r="Y2" s="12"/>
      <c r="Z2" s="12"/>
      <c r="AA2" s="12"/>
      <c r="AB2" s="12"/>
      <c r="AC2" s="12"/>
      <c r="AD2" s="12"/>
      <c r="AE2" s="12"/>
      <c r="AF2" s="12"/>
      <c r="AG2" s="12"/>
      <c r="AH2" s="12"/>
      <c r="AI2" s="12"/>
      <c r="AJ2" s="12"/>
      <c r="AK2" s="12"/>
      <c r="AL2" s="13"/>
      <c r="AM2" s="11"/>
      <c r="AN2" s="12"/>
      <c r="AO2" s="12"/>
      <c r="AP2" s="12"/>
      <c r="AQ2" s="12"/>
      <c r="AR2" s="12"/>
      <c r="AS2" s="12"/>
      <c r="AT2" s="12"/>
      <c r="AU2" s="12"/>
      <c r="AV2" s="12"/>
      <c r="AW2" s="12"/>
      <c r="AX2" s="12"/>
      <c r="AY2" s="12"/>
      <c r="AZ2" s="12"/>
      <c r="BA2" s="12"/>
      <c r="BB2" s="12"/>
      <c r="BC2" s="12"/>
      <c r="BD2" s="12"/>
      <c r="BE2" s="13"/>
      <c r="BF2" s="11"/>
      <c r="BG2" s="12"/>
      <c r="BH2" s="12"/>
      <c r="BI2" s="12"/>
      <c r="BJ2" s="12"/>
      <c r="BK2" s="12"/>
      <c r="BL2" s="12"/>
      <c r="BM2" s="12"/>
      <c r="BN2" s="12"/>
      <c r="BO2" s="12"/>
      <c r="BP2" s="12"/>
      <c r="BQ2" s="12"/>
      <c r="BR2" s="12"/>
      <c r="BS2" s="12"/>
      <c r="BT2" s="12"/>
      <c r="BU2" s="12"/>
      <c r="BV2" s="12"/>
      <c r="BW2" s="12"/>
      <c r="BX2" s="13"/>
    </row>
    <row r="3" spans="1:76">
      <c r="A3" t="s">
        <v>17</v>
      </c>
      <c r="D3" s="636" t="str">
        <f>IF('Cover Sheet'!D15:J15&gt;0,'Cover Sheet'!D15:J15,"")</f>
        <v/>
      </c>
      <c r="E3" s="636"/>
      <c r="F3" s="636"/>
      <c r="G3" s="636"/>
      <c r="H3" s="636"/>
      <c r="I3" s="636"/>
      <c r="J3" s="636"/>
      <c r="K3" t="s">
        <v>18</v>
      </c>
      <c r="O3" s="636" t="str">
        <f>IF('Cover Sheet'!O15&gt;0,'Cover Sheet'!O15,"")</f>
        <v/>
      </c>
      <c r="P3" s="636"/>
      <c r="Q3" s="636"/>
      <c r="R3" s="636"/>
      <c r="S3" s="636"/>
      <c r="T3" s="11"/>
      <c r="U3" s="12"/>
      <c r="V3" s="12"/>
      <c r="W3" s="12"/>
      <c r="X3" s="12"/>
      <c r="Y3" s="12"/>
      <c r="Z3" s="12"/>
      <c r="AA3" s="12"/>
      <c r="AB3" s="12"/>
      <c r="AC3" s="12"/>
      <c r="AD3" s="12"/>
      <c r="AE3" s="12"/>
      <c r="AF3" s="12"/>
      <c r="AG3" s="12"/>
      <c r="AH3" s="12"/>
      <c r="AI3" s="12"/>
      <c r="AJ3" s="12"/>
      <c r="AK3" s="12"/>
      <c r="AL3" s="13"/>
      <c r="AM3" s="11"/>
      <c r="AN3" s="12"/>
      <c r="AO3" s="12"/>
      <c r="AP3" s="12"/>
      <c r="AQ3" s="12"/>
      <c r="AR3" s="12"/>
      <c r="AS3" s="12"/>
      <c r="AT3" s="12"/>
      <c r="AU3" s="12"/>
      <c r="AV3" s="12"/>
      <c r="AW3" s="12"/>
      <c r="AX3" s="12"/>
      <c r="AY3" s="12"/>
      <c r="AZ3" s="12"/>
      <c r="BA3" s="12"/>
      <c r="BB3" s="12"/>
      <c r="BC3" s="12"/>
      <c r="BD3" s="12"/>
      <c r="BE3" s="13"/>
      <c r="BF3" s="11"/>
      <c r="BG3" s="12"/>
      <c r="BH3" s="12"/>
      <c r="BI3" s="12"/>
      <c r="BJ3" s="12"/>
      <c r="BK3" s="12"/>
      <c r="BL3" s="12"/>
      <c r="BM3" s="12"/>
      <c r="BN3" s="12"/>
      <c r="BO3" s="12"/>
      <c r="BP3" s="12"/>
      <c r="BQ3" s="12"/>
      <c r="BR3" s="12"/>
      <c r="BS3" s="12"/>
      <c r="BT3" s="12"/>
      <c r="BU3" s="12"/>
      <c r="BV3" s="12"/>
      <c r="BW3" s="12"/>
      <c r="BX3" s="13"/>
    </row>
    <row r="4" spans="1:76">
      <c r="T4" s="11"/>
      <c r="U4" s="12"/>
      <c r="V4" s="12"/>
      <c r="W4" s="12"/>
      <c r="X4" s="12"/>
      <c r="Y4" s="12"/>
      <c r="Z4" s="12"/>
      <c r="AA4" s="12"/>
      <c r="AB4" s="12"/>
      <c r="AC4" s="12"/>
      <c r="AD4" s="12"/>
      <c r="AE4" s="12"/>
      <c r="AF4" s="12"/>
      <c r="AG4" s="12"/>
      <c r="AH4" s="12"/>
      <c r="AI4" s="12"/>
      <c r="AJ4" s="12"/>
      <c r="AK4" s="12"/>
      <c r="AL4" s="13"/>
      <c r="AM4" s="11"/>
      <c r="AN4" s="12"/>
      <c r="AO4" s="12"/>
      <c r="AP4" s="12"/>
      <c r="AQ4" s="12"/>
      <c r="AR4" s="12"/>
      <c r="AS4" s="12"/>
      <c r="AT4" s="12"/>
      <c r="AU4" s="12"/>
      <c r="AV4" s="12"/>
      <c r="AW4" s="12"/>
      <c r="AX4" s="12"/>
      <c r="AY4" s="12"/>
      <c r="AZ4" s="12"/>
      <c r="BA4" s="12"/>
      <c r="BB4" s="12"/>
      <c r="BC4" s="12"/>
      <c r="BD4" s="12"/>
      <c r="BE4" s="13"/>
      <c r="BF4" s="11"/>
      <c r="BG4" s="12"/>
      <c r="BH4" s="12"/>
      <c r="BI4" s="12"/>
      <c r="BJ4" s="12"/>
      <c r="BK4" s="12"/>
      <c r="BL4" s="12"/>
      <c r="BM4" s="12"/>
      <c r="BN4" s="12"/>
      <c r="BO4" s="12"/>
      <c r="BP4" s="12"/>
      <c r="BQ4" s="12"/>
      <c r="BR4" s="12"/>
      <c r="BS4" s="12"/>
      <c r="BT4" s="12"/>
      <c r="BU4" s="12"/>
      <c r="BV4" s="12"/>
      <c r="BW4" s="12"/>
      <c r="BX4" s="13"/>
    </row>
    <row r="5" spans="1:76" ht="12.75" customHeight="1">
      <c r="A5" s="868" t="s">
        <v>264</v>
      </c>
      <c r="B5" s="869"/>
      <c r="C5" s="869"/>
      <c r="D5" s="869"/>
      <c r="E5" s="869"/>
      <c r="F5" s="869"/>
      <c r="G5" s="869"/>
      <c r="H5" s="869"/>
      <c r="I5" s="869"/>
      <c r="J5" s="869"/>
      <c r="K5" s="869"/>
      <c r="L5" s="869"/>
      <c r="M5" s="869"/>
      <c r="N5" s="869"/>
      <c r="O5" s="869"/>
      <c r="P5" s="869"/>
      <c r="Q5" s="869"/>
      <c r="R5" s="869"/>
      <c r="S5" s="870"/>
      <c r="T5" s="12"/>
      <c r="U5" s="12"/>
      <c r="V5" s="12"/>
      <c r="W5" s="12"/>
      <c r="X5" s="12"/>
      <c r="Y5" s="12"/>
      <c r="Z5" s="12"/>
      <c r="AA5" s="12"/>
      <c r="AB5" s="12"/>
      <c r="AC5" s="12"/>
      <c r="AD5" s="12"/>
      <c r="AE5" s="12"/>
      <c r="AF5" s="12"/>
      <c r="AG5" s="12"/>
      <c r="AH5" s="12"/>
      <c r="AI5" s="12"/>
      <c r="AJ5" s="12"/>
      <c r="AK5" s="12"/>
      <c r="AL5" s="13"/>
      <c r="AM5" s="12"/>
      <c r="AN5" s="12"/>
      <c r="AO5" s="12"/>
      <c r="AP5" s="12"/>
      <c r="AQ5" s="12"/>
      <c r="AR5" s="12"/>
      <c r="AS5" s="12"/>
      <c r="AT5" s="12"/>
      <c r="AU5" s="12"/>
      <c r="AV5" s="12"/>
      <c r="AW5" s="12"/>
      <c r="AX5" s="12"/>
      <c r="AY5" s="12"/>
      <c r="AZ5" s="12"/>
      <c r="BA5" s="12"/>
      <c r="BB5" s="12"/>
      <c r="BC5" s="12"/>
      <c r="BD5" s="12"/>
      <c r="BE5" s="13"/>
      <c r="BF5" s="12"/>
      <c r="BG5" s="12"/>
      <c r="BH5" s="12"/>
      <c r="BI5" s="12"/>
      <c r="BJ5" s="12"/>
      <c r="BK5" s="12"/>
      <c r="BL5" s="12"/>
      <c r="BM5" s="12"/>
      <c r="BN5" s="12"/>
      <c r="BO5" s="12"/>
      <c r="BP5" s="12"/>
      <c r="BQ5" s="12"/>
      <c r="BR5" s="12"/>
      <c r="BS5" s="12"/>
      <c r="BT5" s="12"/>
      <c r="BU5" s="12"/>
      <c r="BV5" s="12"/>
      <c r="BW5" s="12"/>
      <c r="BX5" s="13"/>
    </row>
    <row r="6" spans="1:76">
      <c r="A6" s="871"/>
      <c r="B6" s="872"/>
      <c r="C6" s="872"/>
      <c r="D6" s="872"/>
      <c r="E6" s="872"/>
      <c r="F6" s="872"/>
      <c r="G6" s="872"/>
      <c r="H6" s="872"/>
      <c r="I6" s="872"/>
      <c r="J6" s="872"/>
      <c r="K6" s="872"/>
      <c r="L6" s="872"/>
      <c r="M6" s="872"/>
      <c r="N6" s="872"/>
      <c r="O6" s="872"/>
      <c r="P6" s="872"/>
      <c r="Q6" s="872"/>
      <c r="R6" s="872"/>
      <c r="S6" s="873"/>
      <c r="T6" s="12"/>
      <c r="U6" s="12"/>
      <c r="V6" s="12"/>
      <c r="W6" s="12"/>
      <c r="X6" s="12"/>
      <c r="Y6" s="12"/>
      <c r="Z6" s="12"/>
      <c r="AA6" s="12"/>
      <c r="AB6" s="12"/>
      <c r="AC6" s="12"/>
      <c r="AD6" s="12"/>
      <c r="AE6" s="12"/>
      <c r="AF6" s="12"/>
      <c r="AG6" s="12"/>
      <c r="AH6" s="12"/>
      <c r="AI6" s="12"/>
      <c r="AJ6" s="12"/>
      <c r="AK6" s="12"/>
      <c r="AL6" s="13"/>
      <c r="AM6" s="12"/>
      <c r="AN6" s="12"/>
      <c r="AO6" s="12"/>
      <c r="AP6" s="12"/>
      <c r="AQ6" s="12"/>
      <c r="AR6" s="12"/>
      <c r="AS6" s="12"/>
      <c r="AT6" s="12"/>
      <c r="AU6" s="12"/>
      <c r="AV6" s="12"/>
      <c r="AW6" s="12"/>
      <c r="AX6" s="12"/>
      <c r="AY6" s="12"/>
      <c r="AZ6" s="12"/>
      <c r="BA6" s="12"/>
      <c r="BB6" s="12"/>
      <c r="BC6" s="12"/>
      <c r="BD6" s="12"/>
      <c r="BE6" s="13"/>
      <c r="BF6" s="12"/>
      <c r="BG6" s="12"/>
      <c r="BH6" s="12"/>
      <c r="BI6" s="12"/>
      <c r="BJ6" s="12"/>
      <c r="BK6" s="12"/>
      <c r="BL6" s="12"/>
      <c r="BM6" s="12"/>
      <c r="BN6" s="12"/>
      <c r="BO6" s="12"/>
      <c r="BP6" s="12"/>
      <c r="BQ6" s="12"/>
      <c r="BR6" s="12"/>
      <c r="BS6" s="12"/>
      <c r="BT6" s="12"/>
      <c r="BU6" s="12"/>
      <c r="BV6" s="12"/>
      <c r="BW6" s="12"/>
      <c r="BX6" s="13"/>
    </row>
    <row r="7" spans="1:76">
      <c r="A7" s="161"/>
      <c r="B7" s="162"/>
      <c r="C7" s="162"/>
      <c r="D7" s="162"/>
      <c r="E7" s="396"/>
      <c r="F7" s="396"/>
      <c r="G7" s="396"/>
      <c r="H7" s="396"/>
      <c r="I7" s="396"/>
      <c r="J7" s="396"/>
      <c r="K7" s="396"/>
      <c r="L7" s="396"/>
      <c r="M7" s="396"/>
      <c r="N7" s="396"/>
      <c r="O7" s="166" t="s">
        <v>77</v>
      </c>
      <c r="P7" s="396"/>
      <c r="Q7" s="396"/>
      <c r="R7" s="396"/>
      <c r="S7" s="397"/>
      <c r="T7" s="12"/>
      <c r="U7" s="12"/>
      <c r="V7" s="12"/>
      <c r="W7" s="12"/>
      <c r="X7" s="12"/>
      <c r="Y7" s="12"/>
      <c r="Z7" s="12"/>
      <c r="AA7" s="12"/>
      <c r="AB7" s="12"/>
      <c r="AC7" s="12"/>
      <c r="AD7" s="12"/>
      <c r="AE7" s="12"/>
      <c r="AF7" s="12"/>
      <c r="AG7" s="12"/>
      <c r="AH7" s="12"/>
      <c r="AI7" s="12"/>
      <c r="AJ7" s="12"/>
      <c r="AK7" s="12"/>
      <c r="AL7" s="13"/>
      <c r="AM7" s="12"/>
      <c r="AN7" s="12"/>
      <c r="AO7" s="12"/>
      <c r="AP7" s="12"/>
      <c r="AQ7" s="12"/>
      <c r="AR7" s="12"/>
      <c r="AS7" s="12"/>
      <c r="AT7" s="12"/>
      <c r="AU7" s="12"/>
      <c r="AV7" s="12"/>
      <c r="AW7" s="12"/>
      <c r="AX7" s="12"/>
      <c r="AY7" s="12"/>
      <c r="AZ7" s="12"/>
      <c r="BA7" s="12"/>
      <c r="BB7" s="12"/>
      <c r="BC7" s="12"/>
      <c r="BD7" s="12"/>
      <c r="BE7" s="13"/>
      <c r="BF7" s="12"/>
      <c r="BG7" s="12"/>
      <c r="BH7" s="12"/>
      <c r="BI7" s="12"/>
      <c r="BJ7" s="12"/>
      <c r="BK7" s="12"/>
      <c r="BL7" s="12"/>
      <c r="BM7" s="12"/>
      <c r="BN7" s="12"/>
      <c r="BO7" s="12"/>
      <c r="BP7" s="12"/>
      <c r="BQ7" s="12"/>
      <c r="BR7" s="12"/>
      <c r="BS7" s="12"/>
      <c r="BT7" s="12"/>
      <c r="BU7" s="12"/>
      <c r="BV7" s="12"/>
      <c r="BW7" s="12"/>
      <c r="BX7" s="13"/>
    </row>
    <row r="8" spans="1:76">
      <c r="A8" s="88"/>
      <c r="B8" s="163"/>
      <c r="C8" s="163"/>
      <c r="D8" s="163"/>
      <c r="E8" s="164"/>
      <c r="F8" s="164"/>
      <c r="G8" s="164"/>
      <c r="H8" s="164"/>
      <c r="I8" s="164"/>
      <c r="J8" s="164"/>
      <c r="K8" s="164"/>
      <c r="L8" s="164"/>
      <c r="M8" s="164"/>
      <c r="N8" s="164"/>
      <c r="O8" s="164"/>
      <c r="P8" s="164"/>
      <c r="Q8" s="164"/>
      <c r="R8" s="164"/>
      <c r="S8" s="44"/>
      <c r="T8" s="11"/>
      <c r="U8" s="12"/>
      <c r="V8" s="12"/>
      <c r="W8" s="12"/>
      <c r="X8" s="12"/>
      <c r="Y8" s="12"/>
      <c r="Z8" s="12"/>
      <c r="AA8" s="12"/>
      <c r="AB8" s="12"/>
      <c r="AC8" s="12"/>
      <c r="AD8" s="12"/>
      <c r="AE8" s="12"/>
      <c r="AF8" s="12"/>
      <c r="AG8" s="12"/>
      <c r="AH8" s="12"/>
      <c r="AI8" s="12"/>
      <c r="AJ8" s="12"/>
      <c r="AK8" s="12"/>
      <c r="AL8" s="13"/>
      <c r="AM8" s="11"/>
      <c r="AN8" s="12"/>
      <c r="AO8" s="12"/>
      <c r="AP8" s="12"/>
      <c r="AQ8" s="12"/>
      <c r="AR8" s="12"/>
      <c r="AS8" s="12"/>
      <c r="AT8" s="12"/>
      <c r="AU8" s="12"/>
      <c r="AV8" s="12"/>
      <c r="AW8" s="12"/>
      <c r="AX8" s="12"/>
      <c r="AY8" s="12"/>
      <c r="AZ8" s="12"/>
      <c r="BA8" s="12"/>
      <c r="BB8" s="12"/>
      <c r="BC8" s="12"/>
      <c r="BD8" s="12"/>
      <c r="BE8" s="13"/>
      <c r="BF8" s="11"/>
      <c r="BG8" s="12"/>
      <c r="BH8" s="12"/>
      <c r="BI8" s="12"/>
      <c r="BJ8" s="12"/>
      <c r="BK8" s="12"/>
      <c r="BL8" s="12"/>
      <c r="BM8" s="12"/>
      <c r="BN8" s="12"/>
      <c r="BO8" s="12"/>
      <c r="BP8" s="12"/>
      <c r="BQ8" s="12"/>
      <c r="BR8" s="12"/>
      <c r="BS8" s="12"/>
      <c r="BT8" s="12"/>
      <c r="BU8" s="12"/>
      <c r="BV8" s="12"/>
      <c r="BW8" s="12"/>
      <c r="BX8" s="13"/>
    </row>
    <row r="9" spans="1:76">
      <c r="A9" s="88"/>
      <c r="B9" s="163"/>
      <c r="C9" s="163"/>
      <c r="D9" s="163"/>
      <c r="E9" s="164"/>
      <c r="F9" s="164"/>
      <c r="G9" s="164"/>
      <c r="H9" s="164"/>
      <c r="I9" s="164"/>
      <c r="J9" s="164"/>
      <c r="K9" s="164"/>
      <c r="L9" s="164"/>
      <c r="M9" s="164"/>
      <c r="N9" s="164"/>
      <c r="O9" s="164"/>
      <c r="P9" s="164"/>
      <c r="Q9" s="164"/>
      <c r="R9" s="164"/>
      <c r="S9" s="44"/>
      <c r="T9" s="11"/>
      <c r="U9" s="12"/>
      <c r="V9" s="12"/>
      <c r="W9" s="12"/>
      <c r="X9" s="12"/>
      <c r="Y9" s="12"/>
      <c r="Z9" s="12"/>
      <c r="AA9" s="12"/>
      <c r="AB9" s="12"/>
      <c r="AC9" s="12"/>
      <c r="AD9" s="12"/>
      <c r="AE9" s="12"/>
      <c r="AF9" s="12"/>
      <c r="AG9" s="12"/>
      <c r="AH9" s="12"/>
      <c r="AI9" s="12"/>
      <c r="AJ9" s="12"/>
      <c r="AK9" s="12"/>
      <c r="AL9" s="13"/>
      <c r="AM9" s="11"/>
      <c r="AN9" s="12"/>
      <c r="AO9" s="12"/>
      <c r="AP9" s="12"/>
      <c r="AQ9" s="12"/>
      <c r="AR9" s="12"/>
      <c r="AS9" s="12"/>
      <c r="AT9" s="12"/>
      <c r="AU9" s="12"/>
      <c r="AV9" s="12"/>
      <c r="AW9" s="12"/>
      <c r="AX9" s="12"/>
      <c r="AY9" s="12"/>
      <c r="AZ9" s="12"/>
      <c r="BA9" s="12"/>
      <c r="BB9" s="12"/>
      <c r="BC9" s="12"/>
      <c r="BD9" s="12"/>
      <c r="BE9" s="13"/>
      <c r="BF9" s="11"/>
      <c r="BG9" s="12"/>
      <c r="BH9" s="12"/>
      <c r="BI9" s="12"/>
      <c r="BJ9" s="12"/>
      <c r="BK9" s="12"/>
      <c r="BL9" s="12"/>
      <c r="BM9" s="12"/>
      <c r="BN9" s="12"/>
      <c r="BO9" s="12"/>
      <c r="BP9" s="12"/>
      <c r="BQ9" s="12"/>
      <c r="BR9" s="12"/>
      <c r="BS9" s="12"/>
      <c r="BT9" s="12"/>
      <c r="BU9" s="12"/>
      <c r="BV9" s="12"/>
      <c r="BW9" s="12"/>
      <c r="BX9" s="13"/>
    </row>
    <row r="10" spans="1:76">
      <c r="A10" s="43"/>
      <c r="B10" s="164"/>
      <c r="C10" s="164"/>
      <c r="D10" s="164"/>
      <c r="E10" s="164"/>
      <c r="F10" s="164"/>
      <c r="G10" s="164"/>
      <c r="H10" s="164"/>
      <c r="I10" s="164"/>
      <c r="J10" s="164"/>
      <c r="K10" s="164"/>
      <c r="L10" s="164"/>
      <c r="M10" s="164"/>
      <c r="N10" s="164"/>
      <c r="O10" s="164"/>
      <c r="P10" s="164"/>
      <c r="Q10" s="164"/>
      <c r="R10" s="164"/>
      <c r="S10" s="44"/>
      <c r="T10" s="11"/>
      <c r="U10" s="12"/>
      <c r="V10" s="12"/>
      <c r="W10" s="12"/>
      <c r="X10" s="12"/>
      <c r="Y10" s="12"/>
      <c r="Z10" s="12"/>
      <c r="AA10" s="12"/>
      <c r="AB10" s="12"/>
      <c r="AC10" s="12"/>
      <c r="AD10" s="12"/>
      <c r="AE10" s="12"/>
      <c r="AF10" s="12"/>
      <c r="AG10" s="12"/>
      <c r="AH10" s="12"/>
      <c r="AI10" s="12"/>
      <c r="AJ10" s="12"/>
      <c r="AK10" s="12"/>
      <c r="AL10" s="13"/>
      <c r="AM10" s="11"/>
      <c r="AN10" s="12"/>
      <c r="AO10" s="12"/>
      <c r="AP10" s="12"/>
      <c r="AQ10" s="12"/>
      <c r="AR10" s="12"/>
      <c r="AS10" s="12"/>
      <c r="AT10" s="12"/>
      <c r="AU10" s="12"/>
      <c r="AV10" s="12"/>
      <c r="AW10" s="12"/>
      <c r="AX10" s="12"/>
      <c r="AY10" s="12"/>
      <c r="AZ10" s="12"/>
      <c r="BA10" s="12"/>
      <c r="BB10" s="12"/>
      <c r="BC10" s="12"/>
      <c r="BD10" s="12"/>
      <c r="BE10" s="13"/>
      <c r="BF10" s="11"/>
      <c r="BG10" s="12"/>
      <c r="BH10" s="12"/>
      <c r="BI10" s="12"/>
      <c r="BJ10" s="12"/>
      <c r="BK10" s="12"/>
      <c r="BL10" s="12"/>
      <c r="BM10" s="12"/>
      <c r="BN10" s="12"/>
      <c r="BO10" s="12"/>
      <c r="BP10" s="12"/>
      <c r="BQ10" s="12"/>
      <c r="BR10" s="12"/>
      <c r="BS10" s="12"/>
      <c r="BT10" s="12"/>
      <c r="BU10" s="12"/>
      <c r="BV10" s="12"/>
      <c r="BW10" s="12"/>
      <c r="BX10" s="13"/>
    </row>
    <row r="11" spans="1:76">
      <c r="A11" s="43"/>
      <c r="B11" s="164"/>
      <c r="C11" s="164"/>
      <c r="D11" s="164"/>
      <c r="E11" s="164"/>
      <c r="F11" s="164"/>
      <c r="G11" s="164"/>
      <c r="H11" s="164"/>
      <c r="I11" s="164"/>
      <c r="J11" s="164"/>
      <c r="K11" s="164"/>
      <c r="L11" s="164"/>
      <c r="M11" s="164"/>
      <c r="N11" s="164"/>
      <c r="O11" s="164"/>
      <c r="P11" s="164"/>
      <c r="Q11" s="164"/>
      <c r="R11" s="164"/>
      <c r="S11" s="44"/>
      <c r="T11" s="11"/>
      <c r="U11" s="12"/>
      <c r="V11" s="12"/>
      <c r="W11" s="12"/>
      <c r="X11" s="12"/>
      <c r="Y11" s="12"/>
      <c r="Z11" s="12"/>
      <c r="AA11" s="12"/>
      <c r="AB11" s="12"/>
      <c r="AC11" s="12"/>
      <c r="AD11" s="12"/>
      <c r="AE11" s="12"/>
      <c r="AF11" s="12"/>
      <c r="AG11" s="12"/>
      <c r="AH11" s="12"/>
      <c r="AI11" s="12"/>
      <c r="AJ11" s="12"/>
      <c r="AK11" s="12"/>
      <c r="AL11" s="13"/>
      <c r="AM11" s="11"/>
      <c r="AN11" s="12"/>
      <c r="AO11" s="12"/>
      <c r="AP11" s="12"/>
      <c r="AQ11" s="12"/>
      <c r="AR11" s="12"/>
      <c r="AS11" s="12"/>
      <c r="AT11" s="12"/>
      <c r="AU11" s="12"/>
      <c r="AV11" s="12"/>
      <c r="AW11" s="12"/>
      <c r="AX11" s="12"/>
      <c r="AY11" s="12"/>
      <c r="AZ11" s="12"/>
      <c r="BA11" s="12"/>
      <c r="BB11" s="12"/>
      <c r="BC11" s="12"/>
      <c r="BD11" s="12"/>
      <c r="BE11" s="13"/>
      <c r="BF11" s="11"/>
      <c r="BG11" s="12"/>
      <c r="BH11" s="12"/>
      <c r="BI11" s="12"/>
      <c r="BJ11" s="12"/>
      <c r="BK11" s="12"/>
      <c r="BL11" s="12"/>
      <c r="BM11" s="12"/>
      <c r="BN11" s="12"/>
      <c r="BO11" s="12"/>
      <c r="BP11" s="12"/>
      <c r="BQ11" s="12"/>
      <c r="BR11" s="12"/>
      <c r="BS11" s="12"/>
      <c r="BT11" s="12"/>
      <c r="BU11" s="12"/>
      <c r="BV11" s="12"/>
      <c r="BW11" s="12"/>
      <c r="BX11" s="13"/>
    </row>
    <row r="12" spans="1:76">
      <c r="A12" s="43"/>
      <c r="B12" s="164"/>
      <c r="C12" s="164"/>
      <c r="D12" s="164"/>
      <c r="E12" s="164"/>
      <c r="F12" s="164"/>
      <c r="G12" s="164"/>
      <c r="H12" s="164"/>
      <c r="I12" s="164"/>
      <c r="J12" s="164"/>
      <c r="K12" s="164"/>
      <c r="L12" s="164"/>
      <c r="M12" s="164"/>
      <c r="N12" s="164"/>
      <c r="O12" s="164"/>
      <c r="P12" s="164"/>
      <c r="Q12" s="164"/>
      <c r="R12" s="164"/>
      <c r="S12" s="44"/>
      <c r="T12" s="11"/>
      <c r="U12" s="12"/>
      <c r="V12" s="12"/>
      <c r="W12" s="12"/>
      <c r="X12" s="12"/>
      <c r="Y12" s="12"/>
      <c r="Z12" s="12"/>
      <c r="AA12" s="12"/>
      <c r="AB12" s="12"/>
      <c r="AC12" s="12"/>
      <c r="AD12" s="12"/>
      <c r="AE12" s="12"/>
      <c r="AF12" s="12"/>
      <c r="AG12" s="12"/>
      <c r="AH12" s="12"/>
      <c r="AI12" s="12"/>
      <c r="AJ12" s="12"/>
      <c r="AK12" s="12"/>
      <c r="AL12" s="13"/>
      <c r="AM12" s="11"/>
      <c r="AN12" s="12"/>
      <c r="AO12" s="12"/>
      <c r="AP12" s="12"/>
      <c r="AQ12" s="12"/>
      <c r="AR12" s="12"/>
      <c r="AS12" s="12"/>
      <c r="AT12" s="12"/>
      <c r="AU12" s="12"/>
      <c r="AV12" s="12"/>
      <c r="AW12" s="12"/>
      <c r="AX12" s="12"/>
      <c r="AY12" s="12"/>
      <c r="AZ12" s="12"/>
      <c r="BA12" s="12"/>
      <c r="BB12" s="12"/>
      <c r="BC12" s="12"/>
      <c r="BD12" s="12"/>
      <c r="BE12" s="13"/>
      <c r="BF12" s="11"/>
      <c r="BG12" s="12"/>
      <c r="BH12" s="12"/>
      <c r="BI12" s="12"/>
      <c r="BJ12" s="12"/>
      <c r="BK12" s="12"/>
      <c r="BL12" s="12"/>
      <c r="BM12" s="12"/>
      <c r="BN12" s="12"/>
      <c r="BO12" s="12"/>
      <c r="BP12" s="12"/>
      <c r="BQ12" s="12"/>
      <c r="BR12" s="12"/>
      <c r="BS12" s="12"/>
      <c r="BT12" s="12"/>
      <c r="BU12" s="12"/>
      <c r="BV12" s="12"/>
      <c r="BW12" s="12"/>
      <c r="BX12" s="13"/>
    </row>
    <row r="13" spans="1:76">
      <c r="A13" s="43"/>
      <c r="B13" s="164"/>
      <c r="C13" s="164"/>
      <c r="D13" s="164"/>
      <c r="E13" s="164"/>
      <c r="F13" s="164"/>
      <c r="G13" s="164"/>
      <c r="H13" s="164"/>
      <c r="I13" s="164"/>
      <c r="J13" s="164"/>
      <c r="K13" s="164"/>
      <c r="L13" s="164"/>
      <c r="M13" s="164"/>
      <c r="N13" s="164"/>
      <c r="O13" s="164"/>
      <c r="P13" s="164"/>
      <c r="Q13" s="164"/>
      <c r="R13" s="164"/>
      <c r="S13" s="44"/>
      <c r="T13" s="11"/>
      <c r="U13" s="12"/>
      <c r="V13" s="12"/>
      <c r="W13" s="12"/>
      <c r="X13" s="12"/>
      <c r="Y13" s="12"/>
      <c r="Z13" s="12"/>
      <c r="AA13" s="12"/>
      <c r="AB13" s="12"/>
      <c r="AC13" s="12"/>
      <c r="AD13" s="12"/>
      <c r="AE13" s="12"/>
      <c r="AF13" s="12"/>
      <c r="AG13" s="12"/>
      <c r="AH13" s="12"/>
      <c r="AI13" s="12"/>
      <c r="AJ13" s="12"/>
      <c r="AK13" s="12"/>
      <c r="AL13" s="13"/>
      <c r="AM13" s="11"/>
      <c r="AN13" s="12"/>
      <c r="AO13" s="12"/>
      <c r="AP13" s="12"/>
      <c r="AQ13" s="12"/>
      <c r="AR13" s="12"/>
      <c r="AS13" s="12"/>
      <c r="AT13" s="12"/>
      <c r="AU13" s="12"/>
      <c r="AV13" s="12"/>
      <c r="AW13" s="12"/>
      <c r="AX13" s="12"/>
      <c r="AY13" s="12"/>
      <c r="AZ13" s="12"/>
      <c r="BA13" s="12"/>
      <c r="BB13" s="12"/>
      <c r="BC13" s="12"/>
      <c r="BD13" s="12"/>
      <c r="BE13" s="13"/>
      <c r="BF13" s="11"/>
      <c r="BG13" s="12"/>
      <c r="BH13" s="12"/>
      <c r="BI13" s="12"/>
      <c r="BJ13" s="12"/>
      <c r="BK13" s="12"/>
      <c r="BL13" s="12"/>
      <c r="BM13" s="12"/>
      <c r="BN13" s="12"/>
      <c r="BO13" s="12"/>
      <c r="BP13" s="12"/>
      <c r="BQ13" s="12"/>
      <c r="BR13" s="12"/>
      <c r="BS13" s="12"/>
      <c r="BT13" s="12"/>
      <c r="BU13" s="12"/>
      <c r="BV13" s="12"/>
      <c r="BW13" s="12"/>
      <c r="BX13" s="13"/>
    </row>
    <row r="14" spans="1:76">
      <c r="A14" s="43"/>
      <c r="B14" s="164"/>
      <c r="C14" s="164"/>
      <c r="D14" s="164"/>
      <c r="E14" s="164"/>
      <c r="F14" s="164"/>
      <c r="G14" s="164"/>
      <c r="H14" s="164"/>
      <c r="I14" s="164"/>
      <c r="J14" s="164"/>
      <c r="K14" s="164"/>
      <c r="L14" s="165"/>
      <c r="M14" s="164"/>
      <c r="N14" s="164"/>
      <c r="O14" s="164"/>
      <c r="P14" s="164"/>
      <c r="Q14" s="164"/>
      <c r="R14" s="164"/>
      <c r="S14" s="44"/>
      <c r="T14" s="11"/>
      <c r="U14" s="12"/>
      <c r="V14" s="12"/>
      <c r="W14" s="12"/>
      <c r="X14" s="12"/>
      <c r="Y14" s="12"/>
      <c r="Z14" s="12"/>
      <c r="AA14" s="12"/>
      <c r="AB14" s="12"/>
      <c r="AC14" s="12"/>
      <c r="AD14" s="12"/>
      <c r="AE14" s="12"/>
      <c r="AF14" s="12"/>
      <c r="AG14" s="12"/>
      <c r="AH14" s="12"/>
      <c r="AI14" s="12"/>
      <c r="AJ14" s="12"/>
      <c r="AK14" s="12"/>
      <c r="AL14" s="13"/>
      <c r="AM14" s="11"/>
      <c r="AN14" s="12"/>
      <c r="AO14" s="12"/>
      <c r="AP14" s="12"/>
      <c r="AQ14" s="12"/>
      <c r="AR14" s="12"/>
      <c r="AS14" s="12"/>
      <c r="AT14" s="12"/>
      <c r="AU14" s="12"/>
      <c r="AV14" s="12"/>
      <c r="AW14" s="12"/>
      <c r="AX14" s="12"/>
      <c r="AY14" s="12"/>
      <c r="AZ14" s="12"/>
      <c r="BA14" s="12"/>
      <c r="BB14" s="12"/>
      <c r="BC14" s="12"/>
      <c r="BD14" s="12"/>
      <c r="BE14" s="13"/>
      <c r="BF14" s="11"/>
      <c r="BG14" s="12"/>
      <c r="BH14" s="12"/>
      <c r="BI14" s="12"/>
      <c r="BJ14" s="12"/>
      <c r="BK14" s="12"/>
      <c r="BL14" s="12"/>
      <c r="BM14" s="12"/>
      <c r="BN14" s="12"/>
      <c r="BO14" s="12"/>
      <c r="BP14" s="12"/>
      <c r="BQ14" s="12"/>
      <c r="BR14" s="12"/>
      <c r="BS14" s="12"/>
      <c r="BT14" s="12"/>
      <c r="BU14" s="12"/>
      <c r="BV14" s="12"/>
      <c r="BW14" s="12"/>
      <c r="BX14" s="13"/>
    </row>
    <row r="15" spans="1:76">
      <c r="A15" s="43"/>
      <c r="B15" s="164"/>
      <c r="C15" s="164"/>
      <c r="D15" s="164"/>
      <c r="E15" s="164"/>
      <c r="F15" s="164"/>
      <c r="G15" s="164"/>
      <c r="H15" s="164"/>
      <c r="I15" s="164"/>
      <c r="J15" s="164"/>
      <c r="K15" s="164"/>
      <c r="L15" s="164"/>
      <c r="M15" s="164"/>
      <c r="N15" s="164"/>
      <c r="O15" s="164"/>
      <c r="P15" s="164"/>
      <c r="Q15" s="164"/>
      <c r="R15" s="164"/>
      <c r="S15" s="44"/>
      <c r="T15" s="11"/>
      <c r="U15" s="12"/>
      <c r="V15" s="12"/>
      <c r="W15" s="12"/>
      <c r="X15" s="12"/>
      <c r="Y15" s="12"/>
      <c r="Z15" s="12"/>
      <c r="AA15" s="12"/>
      <c r="AB15" s="12"/>
      <c r="AC15" s="12"/>
      <c r="AD15" s="12"/>
      <c r="AE15" s="12"/>
      <c r="AF15" s="12"/>
      <c r="AG15" s="12"/>
      <c r="AH15" s="12"/>
      <c r="AI15" s="12"/>
      <c r="AJ15" s="12"/>
      <c r="AK15" s="12"/>
      <c r="AL15" s="13"/>
      <c r="AM15" s="11"/>
      <c r="AN15" s="12"/>
      <c r="AO15" s="12"/>
      <c r="AP15" s="12"/>
      <c r="AQ15" s="12"/>
      <c r="AR15" s="12"/>
      <c r="AS15" s="12"/>
      <c r="AT15" s="12"/>
      <c r="AU15" s="12"/>
      <c r="AV15" s="12"/>
      <c r="AW15" s="12"/>
      <c r="AX15" s="12"/>
      <c r="AY15" s="12"/>
      <c r="AZ15" s="12"/>
      <c r="BA15" s="12"/>
      <c r="BB15" s="12"/>
      <c r="BC15" s="12"/>
      <c r="BD15" s="12"/>
      <c r="BE15" s="13"/>
      <c r="BF15" s="11"/>
      <c r="BG15" s="12"/>
      <c r="BH15" s="12"/>
      <c r="BI15" s="12"/>
      <c r="BJ15" s="12"/>
      <c r="BK15" s="12"/>
      <c r="BL15" s="12"/>
      <c r="BM15" s="12"/>
      <c r="BN15" s="12"/>
      <c r="BO15" s="12"/>
      <c r="BP15" s="12"/>
      <c r="BQ15" s="12"/>
      <c r="BR15" s="12"/>
      <c r="BS15" s="12"/>
      <c r="BT15" s="12"/>
      <c r="BU15" s="12"/>
      <c r="BV15" s="12"/>
      <c r="BW15" s="12"/>
      <c r="BX15" s="13"/>
    </row>
    <row r="16" spans="1:76">
      <c r="A16" s="43"/>
      <c r="B16" s="164"/>
      <c r="C16" s="164"/>
      <c r="D16" s="164"/>
      <c r="E16" s="164"/>
      <c r="F16" s="164"/>
      <c r="G16" s="164"/>
      <c r="H16" s="164"/>
      <c r="I16" s="164"/>
      <c r="J16" s="164"/>
      <c r="K16" s="164"/>
      <c r="L16" s="164"/>
      <c r="M16" s="164"/>
      <c r="N16" s="164"/>
      <c r="O16" s="164"/>
      <c r="P16" s="164"/>
      <c r="Q16" s="164"/>
      <c r="R16" s="164"/>
      <c r="S16" s="44"/>
      <c r="T16" s="11"/>
      <c r="U16" s="12"/>
      <c r="V16" s="12"/>
      <c r="W16" s="12"/>
      <c r="X16" s="12"/>
      <c r="Y16" s="12"/>
      <c r="Z16" s="12"/>
      <c r="AA16" s="12"/>
      <c r="AB16" s="12"/>
      <c r="AC16" s="12"/>
      <c r="AD16" s="12"/>
      <c r="AE16" s="12"/>
      <c r="AF16" s="12"/>
      <c r="AG16" s="12"/>
      <c r="AH16" s="12"/>
      <c r="AI16" s="12"/>
      <c r="AJ16" s="12"/>
      <c r="AK16" s="12"/>
      <c r="AL16" s="13"/>
      <c r="AM16" s="11"/>
      <c r="AN16" s="12"/>
      <c r="AO16" s="12"/>
      <c r="AP16" s="12"/>
      <c r="AQ16" s="12"/>
      <c r="AR16" s="12"/>
      <c r="AS16" s="12"/>
      <c r="AT16" s="12"/>
      <c r="AU16" s="12"/>
      <c r="AV16" s="12"/>
      <c r="AW16" s="12"/>
      <c r="AX16" s="12"/>
      <c r="AY16" s="12"/>
      <c r="AZ16" s="12"/>
      <c r="BA16" s="12"/>
      <c r="BB16" s="12"/>
      <c r="BC16" s="12"/>
      <c r="BD16" s="12"/>
      <c r="BE16" s="13"/>
      <c r="BF16" s="11"/>
      <c r="BG16" s="12"/>
      <c r="BH16" s="12"/>
      <c r="BI16" s="12"/>
      <c r="BJ16" s="12"/>
      <c r="BK16" s="12"/>
      <c r="BL16" s="12"/>
      <c r="BM16" s="12"/>
      <c r="BN16" s="12"/>
      <c r="BO16" s="12"/>
      <c r="BP16" s="12"/>
      <c r="BQ16" s="12"/>
      <c r="BR16" s="12"/>
      <c r="BS16" s="12"/>
      <c r="BT16" s="12"/>
      <c r="BU16" s="12"/>
      <c r="BV16" s="12"/>
      <c r="BW16" s="12"/>
      <c r="BX16" s="13"/>
    </row>
    <row r="17" spans="1:76">
      <c r="A17" s="43"/>
      <c r="B17" s="164"/>
      <c r="C17" s="164"/>
      <c r="D17" s="164"/>
      <c r="E17" s="164"/>
      <c r="F17" s="164"/>
      <c r="G17" s="164"/>
      <c r="H17" s="164"/>
      <c r="I17" s="164"/>
      <c r="J17" s="164"/>
      <c r="K17" s="164"/>
      <c r="L17" s="164"/>
      <c r="M17" s="164"/>
      <c r="N17" s="164"/>
      <c r="O17" s="164"/>
      <c r="P17" s="164"/>
      <c r="Q17" s="164"/>
      <c r="R17" s="164"/>
      <c r="S17" s="44"/>
      <c r="T17" s="11"/>
      <c r="U17" s="12"/>
      <c r="V17" s="12"/>
      <c r="W17" s="12"/>
      <c r="X17" s="12"/>
      <c r="Y17" s="12"/>
      <c r="Z17" s="12"/>
      <c r="AA17" s="12"/>
      <c r="AB17" s="12"/>
      <c r="AC17" s="12"/>
      <c r="AD17" s="12"/>
      <c r="AE17" s="12"/>
      <c r="AF17" s="12"/>
      <c r="AG17" s="12"/>
      <c r="AH17" s="12"/>
      <c r="AI17" s="12"/>
      <c r="AJ17" s="12"/>
      <c r="AK17" s="12"/>
      <c r="AL17" s="13"/>
      <c r="AM17" s="11"/>
      <c r="AN17" s="12"/>
      <c r="AO17" s="12"/>
      <c r="AP17" s="12"/>
      <c r="AQ17" s="12"/>
      <c r="AR17" s="12"/>
      <c r="AS17" s="12"/>
      <c r="AT17" s="12"/>
      <c r="AU17" s="12"/>
      <c r="AV17" s="12"/>
      <c r="AW17" s="12"/>
      <c r="AX17" s="12"/>
      <c r="AY17" s="12"/>
      <c r="AZ17" s="12"/>
      <c r="BA17" s="12"/>
      <c r="BB17" s="12"/>
      <c r="BC17" s="12"/>
      <c r="BD17" s="12"/>
      <c r="BE17" s="13"/>
      <c r="BF17" s="11"/>
      <c r="BG17" s="12"/>
      <c r="BH17" s="12"/>
      <c r="BI17" s="12"/>
      <c r="BJ17" s="12"/>
      <c r="BK17" s="12"/>
      <c r="BL17" s="12"/>
      <c r="BM17" s="12"/>
      <c r="BN17" s="12"/>
      <c r="BO17" s="12"/>
      <c r="BP17" s="12"/>
      <c r="BQ17" s="12"/>
      <c r="BR17" s="12"/>
      <c r="BS17" s="12"/>
      <c r="BT17" s="12"/>
      <c r="BU17" s="12"/>
      <c r="BV17" s="12"/>
      <c r="BW17" s="12"/>
      <c r="BX17" s="13"/>
    </row>
    <row r="18" spans="1:76">
      <c r="A18" s="43"/>
      <c r="B18" s="164"/>
      <c r="C18" s="164"/>
      <c r="D18" s="164"/>
      <c r="E18" s="164"/>
      <c r="F18" s="164"/>
      <c r="G18" s="164"/>
      <c r="H18" s="164"/>
      <c r="I18" s="164"/>
      <c r="J18" s="164"/>
      <c r="K18" s="164"/>
      <c r="L18" s="164"/>
      <c r="M18" s="164"/>
      <c r="N18" s="164"/>
      <c r="O18" s="164"/>
      <c r="P18" s="164"/>
      <c r="Q18" s="164"/>
      <c r="R18" s="164"/>
      <c r="S18" s="44"/>
      <c r="T18" s="11"/>
      <c r="U18" s="12"/>
      <c r="V18" s="12"/>
      <c r="W18" s="12"/>
      <c r="X18" s="12"/>
      <c r="Y18" s="12"/>
      <c r="Z18" s="12"/>
      <c r="AA18" s="12"/>
      <c r="AB18" s="12"/>
      <c r="AC18" s="12"/>
      <c r="AD18" s="12"/>
      <c r="AE18" s="12"/>
      <c r="AF18" s="12"/>
      <c r="AG18" s="12"/>
      <c r="AH18" s="12"/>
      <c r="AI18" s="12"/>
      <c r="AJ18" s="12"/>
      <c r="AK18" s="12"/>
      <c r="AL18" s="13"/>
      <c r="AM18" s="11"/>
      <c r="AN18" s="12"/>
      <c r="AO18" s="12"/>
      <c r="AP18" s="12"/>
      <c r="AQ18" s="12"/>
      <c r="AR18" s="12"/>
      <c r="AS18" s="12"/>
      <c r="AT18" s="12"/>
      <c r="AU18" s="12"/>
      <c r="AV18" s="12"/>
      <c r="AW18" s="12"/>
      <c r="AX18" s="12"/>
      <c r="AY18" s="12"/>
      <c r="AZ18" s="12"/>
      <c r="BA18" s="12"/>
      <c r="BB18" s="12"/>
      <c r="BC18" s="12"/>
      <c r="BD18" s="12"/>
      <c r="BE18" s="13"/>
      <c r="BF18" s="11"/>
      <c r="BG18" s="12"/>
      <c r="BH18" s="12"/>
      <c r="BI18" s="12"/>
      <c r="BJ18" s="12"/>
      <c r="BK18" s="12"/>
      <c r="BL18" s="12"/>
      <c r="BM18" s="12"/>
      <c r="BN18" s="12"/>
      <c r="BO18" s="12"/>
      <c r="BP18" s="12"/>
      <c r="BQ18" s="12"/>
      <c r="BR18" s="12"/>
      <c r="BS18" s="12"/>
      <c r="BT18" s="12"/>
      <c r="BU18" s="12"/>
      <c r="BV18" s="12"/>
      <c r="BW18" s="12"/>
      <c r="BX18" s="13"/>
    </row>
    <row r="19" spans="1:76">
      <c r="A19" s="43"/>
      <c r="B19" s="164"/>
      <c r="C19" s="164"/>
      <c r="D19" s="164"/>
      <c r="E19" s="164"/>
      <c r="F19" s="164"/>
      <c r="G19" s="164"/>
      <c r="H19" s="164"/>
      <c r="I19" s="164"/>
      <c r="J19" s="164"/>
      <c r="K19" s="164"/>
      <c r="L19" s="164"/>
      <c r="M19" s="164"/>
      <c r="N19" s="164"/>
      <c r="O19" s="164"/>
      <c r="P19" s="164"/>
      <c r="Q19" s="164"/>
      <c r="R19" s="164"/>
      <c r="S19" s="44"/>
      <c r="T19" s="11"/>
      <c r="U19" s="12"/>
      <c r="V19" s="12"/>
      <c r="W19" s="12"/>
      <c r="X19" s="12"/>
      <c r="Y19" s="12"/>
      <c r="Z19" s="12"/>
      <c r="AA19" s="12"/>
      <c r="AB19" s="12"/>
      <c r="AC19" s="12"/>
      <c r="AD19" s="12"/>
      <c r="AE19" s="12"/>
      <c r="AF19" s="12"/>
      <c r="AG19" s="12"/>
      <c r="AH19" s="12"/>
      <c r="AI19" s="12"/>
      <c r="AJ19" s="12"/>
      <c r="AK19" s="12"/>
      <c r="AL19" s="13"/>
      <c r="AM19" s="11"/>
      <c r="AN19" s="12"/>
      <c r="AO19" s="12"/>
      <c r="AP19" s="12"/>
      <c r="AQ19" s="12"/>
      <c r="AR19" s="12"/>
      <c r="AS19" s="12"/>
      <c r="AT19" s="12"/>
      <c r="AU19" s="12"/>
      <c r="AV19" s="12"/>
      <c r="AW19" s="12"/>
      <c r="AX19" s="12"/>
      <c r="AY19" s="12"/>
      <c r="AZ19" s="12"/>
      <c r="BA19" s="12"/>
      <c r="BB19" s="12"/>
      <c r="BC19" s="12"/>
      <c r="BD19" s="12"/>
      <c r="BE19" s="13"/>
      <c r="BF19" s="11"/>
      <c r="BG19" s="12"/>
      <c r="BH19" s="12"/>
      <c r="BI19" s="12"/>
      <c r="BJ19" s="12"/>
      <c r="BK19" s="12"/>
      <c r="BL19" s="12"/>
      <c r="BM19" s="12"/>
      <c r="BN19" s="12"/>
      <c r="BO19" s="12"/>
      <c r="BP19" s="12"/>
      <c r="BQ19" s="12"/>
      <c r="BR19" s="12"/>
      <c r="BS19" s="12"/>
      <c r="BT19" s="12"/>
      <c r="BU19" s="12"/>
      <c r="BV19" s="12"/>
      <c r="BW19" s="12"/>
      <c r="BX19" s="13"/>
    </row>
    <row r="20" spans="1:76">
      <c r="A20" s="43"/>
      <c r="B20" s="164"/>
      <c r="C20" s="164"/>
      <c r="D20" s="164"/>
      <c r="E20" s="164"/>
      <c r="F20" s="164"/>
      <c r="G20" s="164"/>
      <c r="H20" s="164"/>
      <c r="I20" s="164"/>
      <c r="J20" s="164"/>
      <c r="K20" s="164"/>
      <c r="L20" s="164"/>
      <c r="M20" s="164"/>
      <c r="N20" s="164"/>
      <c r="O20" s="164"/>
      <c r="P20" s="164"/>
      <c r="Q20" s="164"/>
      <c r="R20" s="164"/>
      <c r="S20" s="44"/>
      <c r="T20" s="11"/>
      <c r="U20" s="12"/>
      <c r="V20" s="12"/>
      <c r="W20" s="12"/>
      <c r="X20" s="12"/>
      <c r="Y20" s="12"/>
      <c r="Z20" s="12"/>
      <c r="AA20" s="12"/>
      <c r="AB20" s="12"/>
      <c r="AC20" s="12"/>
      <c r="AD20" s="12"/>
      <c r="AE20" s="12"/>
      <c r="AF20" s="12"/>
      <c r="AG20" s="12"/>
      <c r="AH20" s="12"/>
      <c r="AI20" s="12"/>
      <c r="AJ20" s="12"/>
      <c r="AK20" s="12"/>
      <c r="AL20" s="13"/>
      <c r="AM20" s="11"/>
      <c r="AN20" s="12"/>
      <c r="AO20" s="12"/>
      <c r="AP20" s="12"/>
      <c r="AQ20" s="12"/>
      <c r="AR20" s="12"/>
      <c r="AS20" s="12"/>
      <c r="AT20" s="12"/>
      <c r="AU20" s="12"/>
      <c r="AV20" s="12"/>
      <c r="AW20" s="12"/>
      <c r="AX20" s="12"/>
      <c r="AY20" s="12"/>
      <c r="AZ20" s="12"/>
      <c r="BA20" s="12"/>
      <c r="BB20" s="12"/>
      <c r="BC20" s="12"/>
      <c r="BD20" s="12"/>
      <c r="BE20" s="13"/>
      <c r="BF20" s="11"/>
      <c r="BG20" s="12"/>
      <c r="BH20" s="12"/>
      <c r="BI20" s="12"/>
      <c r="BJ20" s="12"/>
      <c r="BK20" s="12"/>
      <c r="BL20" s="12"/>
      <c r="BM20" s="12"/>
      <c r="BN20" s="12"/>
      <c r="BO20" s="12"/>
      <c r="BP20" s="12"/>
      <c r="BQ20" s="12"/>
      <c r="BR20" s="12"/>
      <c r="BS20" s="12"/>
      <c r="BT20" s="12"/>
      <c r="BU20" s="12"/>
      <c r="BV20" s="12"/>
      <c r="BW20" s="12"/>
      <c r="BX20" s="13"/>
    </row>
    <row r="21" spans="1:76">
      <c r="A21" s="43"/>
      <c r="B21" s="164"/>
      <c r="C21" s="164"/>
      <c r="D21" s="164"/>
      <c r="E21" s="164"/>
      <c r="F21" s="164"/>
      <c r="G21" s="164"/>
      <c r="H21" s="164"/>
      <c r="I21" s="164"/>
      <c r="J21" s="164"/>
      <c r="K21" s="164"/>
      <c r="L21" s="164"/>
      <c r="M21" s="164"/>
      <c r="N21" s="164"/>
      <c r="O21" s="164"/>
      <c r="P21" s="164"/>
      <c r="Q21" s="164"/>
      <c r="R21" s="164"/>
      <c r="S21" s="44"/>
      <c r="T21" s="11"/>
      <c r="U21" s="12"/>
      <c r="V21" s="12"/>
      <c r="W21" s="12"/>
      <c r="X21" s="12"/>
      <c r="Y21" s="12"/>
      <c r="Z21" s="12"/>
      <c r="AA21" s="12"/>
      <c r="AB21" s="12"/>
      <c r="AC21" s="12"/>
      <c r="AD21" s="12"/>
      <c r="AE21" s="12"/>
      <c r="AF21" s="12"/>
      <c r="AG21" s="12"/>
      <c r="AH21" s="12"/>
      <c r="AI21" s="12"/>
      <c r="AJ21" s="12"/>
      <c r="AK21" s="12"/>
      <c r="AL21" s="13"/>
      <c r="AM21" s="11"/>
      <c r="AN21" s="12"/>
      <c r="AO21" s="12"/>
      <c r="AP21" s="12"/>
      <c r="AQ21" s="12"/>
      <c r="AR21" s="12"/>
      <c r="AS21" s="12"/>
      <c r="AT21" s="12"/>
      <c r="AU21" s="12"/>
      <c r="AV21" s="12"/>
      <c r="AW21" s="12"/>
      <c r="AX21" s="12"/>
      <c r="AY21" s="12"/>
      <c r="AZ21" s="12"/>
      <c r="BA21" s="12"/>
      <c r="BB21" s="12"/>
      <c r="BC21" s="12"/>
      <c r="BD21" s="12"/>
      <c r="BE21" s="13"/>
      <c r="BF21" s="11"/>
      <c r="BG21" s="12"/>
      <c r="BH21" s="12"/>
      <c r="BI21" s="12"/>
      <c r="BJ21" s="12"/>
      <c r="BK21" s="12"/>
      <c r="BL21" s="12"/>
      <c r="BM21" s="12"/>
      <c r="BN21" s="12"/>
      <c r="BO21" s="12"/>
      <c r="BP21" s="12"/>
      <c r="BQ21" s="12"/>
      <c r="BR21" s="12"/>
      <c r="BS21" s="12"/>
      <c r="BT21" s="12"/>
      <c r="BU21" s="12"/>
      <c r="BV21" s="12"/>
      <c r="BW21" s="12"/>
      <c r="BX21" s="13"/>
    </row>
    <row r="22" spans="1:76">
      <c r="A22" s="43"/>
      <c r="B22" s="164"/>
      <c r="C22" s="164"/>
      <c r="D22" s="164"/>
      <c r="E22" s="164"/>
      <c r="F22" s="164"/>
      <c r="G22" s="164"/>
      <c r="H22" s="164"/>
      <c r="I22" s="164"/>
      <c r="J22" s="164"/>
      <c r="K22" s="164"/>
      <c r="L22" s="164"/>
      <c r="M22" s="164"/>
      <c r="N22" s="164"/>
      <c r="O22" s="164"/>
      <c r="P22" s="164"/>
      <c r="Q22" s="164"/>
      <c r="R22" s="164"/>
      <c r="S22" s="44"/>
      <c r="T22" s="11"/>
      <c r="U22" s="12"/>
      <c r="V22" s="12"/>
      <c r="W22" s="12"/>
      <c r="X22" s="12"/>
      <c r="Y22" s="12"/>
      <c r="Z22" s="12"/>
      <c r="AA22" s="12"/>
      <c r="AB22" s="12"/>
      <c r="AC22" s="12"/>
      <c r="AD22" s="12"/>
      <c r="AE22" s="12"/>
      <c r="AF22" s="12"/>
      <c r="AG22" s="12"/>
      <c r="AH22" s="12"/>
      <c r="AI22" s="12"/>
      <c r="AJ22" s="12"/>
      <c r="AK22" s="12"/>
      <c r="AL22" s="13"/>
      <c r="AM22" s="11"/>
      <c r="AN22" s="12"/>
      <c r="AO22" s="12"/>
      <c r="AP22" s="12"/>
      <c r="AQ22" s="12"/>
      <c r="AR22" s="12"/>
      <c r="AS22" s="12"/>
      <c r="AT22" s="12"/>
      <c r="AU22" s="12"/>
      <c r="AV22" s="12"/>
      <c r="AW22" s="12"/>
      <c r="AX22" s="12"/>
      <c r="AY22" s="12"/>
      <c r="AZ22" s="12"/>
      <c r="BA22" s="12"/>
      <c r="BB22" s="12"/>
      <c r="BC22" s="12"/>
      <c r="BD22" s="12"/>
      <c r="BE22" s="13"/>
      <c r="BF22" s="11"/>
      <c r="BG22" s="12"/>
      <c r="BH22" s="12"/>
      <c r="BI22" s="12"/>
      <c r="BJ22" s="12"/>
      <c r="BK22" s="12"/>
      <c r="BL22" s="12"/>
      <c r="BM22" s="12"/>
      <c r="BN22" s="12"/>
      <c r="BO22" s="12"/>
      <c r="BP22" s="12"/>
      <c r="BQ22" s="12"/>
      <c r="BR22" s="12"/>
      <c r="BS22" s="12"/>
      <c r="BT22" s="12"/>
      <c r="BU22" s="12"/>
      <c r="BV22" s="12"/>
      <c r="BW22" s="12"/>
      <c r="BX22" s="13"/>
    </row>
    <row r="23" spans="1:76">
      <c r="A23" s="43"/>
      <c r="B23" s="164"/>
      <c r="C23" s="164"/>
      <c r="D23" s="164"/>
      <c r="E23" s="164"/>
      <c r="F23" s="164"/>
      <c r="G23" s="164"/>
      <c r="H23" s="164"/>
      <c r="I23" s="164"/>
      <c r="J23" s="164"/>
      <c r="K23" s="164"/>
      <c r="L23" s="164"/>
      <c r="M23" s="164"/>
      <c r="N23" s="164"/>
      <c r="O23" s="164"/>
      <c r="P23" s="164"/>
      <c r="Q23" s="164"/>
      <c r="R23" s="164"/>
      <c r="S23" s="44"/>
      <c r="T23" s="11"/>
      <c r="U23" s="12"/>
      <c r="V23" s="12"/>
      <c r="W23" s="12"/>
      <c r="X23" s="12"/>
      <c r="Y23" s="12"/>
      <c r="Z23" s="12"/>
      <c r="AA23" s="12"/>
      <c r="AB23" s="12"/>
      <c r="AC23" s="12"/>
      <c r="AD23" s="12"/>
      <c r="AE23" s="12"/>
      <c r="AF23" s="12"/>
      <c r="AG23" s="12"/>
      <c r="AH23" s="12"/>
      <c r="AI23" s="12"/>
      <c r="AJ23" s="12"/>
      <c r="AK23" s="12"/>
      <c r="AL23" s="13"/>
      <c r="AM23" s="11"/>
      <c r="AN23" s="12"/>
      <c r="AO23" s="12"/>
      <c r="AP23" s="12"/>
      <c r="AQ23" s="12"/>
      <c r="AR23" s="12"/>
      <c r="AS23" s="12"/>
      <c r="AT23" s="12"/>
      <c r="AU23" s="12"/>
      <c r="AV23" s="12"/>
      <c r="AW23" s="12"/>
      <c r="AX23" s="12"/>
      <c r="AY23" s="12"/>
      <c r="AZ23" s="12"/>
      <c r="BA23" s="12"/>
      <c r="BB23" s="12"/>
      <c r="BC23" s="12"/>
      <c r="BD23" s="12"/>
      <c r="BE23" s="13"/>
      <c r="BF23" s="11"/>
      <c r="BG23" s="12"/>
      <c r="BH23" s="12"/>
      <c r="BI23" s="12"/>
      <c r="BJ23" s="12"/>
      <c r="BK23" s="12"/>
      <c r="BL23" s="12"/>
      <c r="BM23" s="12"/>
      <c r="BN23" s="12"/>
      <c r="BO23" s="12"/>
      <c r="BP23" s="12"/>
      <c r="BQ23" s="12"/>
      <c r="BR23" s="12"/>
      <c r="BS23" s="12"/>
      <c r="BT23" s="12"/>
      <c r="BU23" s="12"/>
      <c r="BV23" s="12"/>
      <c r="BW23" s="12"/>
      <c r="BX23" s="13"/>
    </row>
    <row r="24" spans="1:76">
      <c r="A24" s="43"/>
      <c r="B24" s="164"/>
      <c r="C24" s="164"/>
      <c r="D24" s="164"/>
      <c r="E24" s="164"/>
      <c r="F24" s="164"/>
      <c r="G24" s="164"/>
      <c r="H24" s="164"/>
      <c r="I24" s="164"/>
      <c r="J24" s="164"/>
      <c r="K24" s="164"/>
      <c r="L24" s="164"/>
      <c r="M24" s="164"/>
      <c r="N24" s="164"/>
      <c r="O24" s="164"/>
      <c r="P24" s="164"/>
      <c r="Q24" s="164"/>
      <c r="R24" s="164"/>
      <c r="S24" s="44"/>
      <c r="T24" s="11"/>
      <c r="U24" s="12"/>
      <c r="V24" s="12"/>
      <c r="W24" s="12"/>
      <c r="X24" s="12"/>
      <c r="Y24" s="12"/>
      <c r="Z24" s="12"/>
      <c r="AA24" s="12"/>
      <c r="AB24" s="12"/>
      <c r="AC24" s="12"/>
      <c r="AD24" s="12"/>
      <c r="AE24" s="12"/>
      <c r="AF24" s="12"/>
      <c r="AG24" s="12"/>
      <c r="AH24" s="12"/>
      <c r="AI24" s="12"/>
      <c r="AJ24" s="12"/>
      <c r="AK24" s="12"/>
      <c r="AL24" s="13"/>
      <c r="AM24" s="11"/>
      <c r="AN24" s="12"/>
      <c r="AO24" s="12"/>
      <c r="AP24" s="12"/>
      <c r="AQ24" s="12"/>
      <c r="AR24" s="12"/>
      <c r="AS24" s="12"/>
      <c r="AT24" s="12"/>
      <c r="AU24" s="12"/>
      <c r="AV24" s="12"/>
      <c r="AW24" s="12"/>
      <c r="AX24" s="12"/>
      <c r="AY24" s="12"/>
      <c r="AZ24" s="12"/>
      <c r="BA24" s="12"/>
      <c r="BB24" s="12"/>
      <c r="BC24" s="12"/>
      <c r="BD24" s="12"/>
      <c r="BE24" s="13"/>
      <c r="BF24" s="11"/>
      <c r="BG24" s="12"/>
      <c r="BH24" s="12"/>
      <c r="BI24" s="12"/>
      <c r="BJ24" s="12"/>
      <c r="BK24" s="12"/>
      <c r="BL24" s="12"/>
      <c r="BM24" s="12"/>
      <c r="BN24" s="12"/>
      <c r="BO24" s="12"/>
      <c r="BP24" s="12"/>
      <c r="BQ24" s="12"/>
      <c r="BR24" s="12"/>
      <c r="BS24" s="12"/>
      <c r="BT24" s="12"/>
      <c r="BU24" s="12"/>
      <c r="BV24" s="12"/>
      <c r="BW24" s="12"/>
      <c r="BX24" s="13"/>
    </row>
    <row r="25" spans="1:76">
      <c r="A25" s="43"/>
      <c r="B25" s="164"/>
      <c r="C25" s="164"/>
      <c r="D25" s="164"/>
      <c r="E25" s="164"/>
      <c r="F25" s="164"/>
      <c r="G25" s="164"/>
      <c r="H25" s="164"/>
      <c r="I25" s="164"/>
      <c r="J25" s="164"/>
      <c r="K25" s="164"/>
      <c r="L25" s="164"/>
      <c r="M25" s="164"/>
      <c r="N25" s="164"/>
      <c r="O25" s="164"/>
      <c r="P25" s="164"/>
      <c r="Q25" s="164"/>
      <c r="R25" s="164"/>
      <c r="S25" s="44"/>
      <c r="T25" s="11"/>
      <c r="U25" s="12"/>
      <c r="V25" s="12"/>
      <c r="W25" s="12"/>
      <c r="X25" s="12"/>
      <c r="Y25" s="12"/>
      <c r="Z25" s="12"/>
      <c r="AA25" s="12"/>
      <c r="AB25" s="12"/>
      <c r="AC25" s="12"/>
      <c r="AD25" s="12"/>
      <c r="AE25" s="12"/>
      <c r="AF25" s="12"/>
      <c r="AG25" s="12"/>
      <c r="AH25" s="12"/>
      <c r="AI25" s="12"/>
      <c r="AJ25" s="12"/>
      <c r="AK25" s="12"/>
      <c r="AL25" s="13"/>
      <c r="AM25" s="11"/>
      <c r="AN25" s="12"/>
      <c r="AO25" s="12"/>
      <c r="AP25" s="12"/>
      <c r="AQ25" s="12"/>
      <c r="AR25" s="12"/>
      <c r="AS25" s="12"/>
      <c r="AT25" s="12"/>
      <c r="AU25" s="12"/>
      <c r="AV25" s="12"/>
      <c r="AW25" s="12"/>
      <c r="AX25" s="12"/>
      <c r="AY25" s="12"/>
      <c r="AZ25" s="12"/>
      <c r="BA25" s="12"/>
      <c r="BB25" s="12"/>
      <c r="BC25" s="12"/>
      <c r="BD25" s="12"/>
      <c r="BE25" s="13"/>
      <c r="BF25" s="11"/>
      <c r="BG25" s="12"/>
      <c r="BH25" s="12"/>
      <c r="BI25" s="12"/>
      <c r="BJ25" s="12"/>
      <c r="BK25" s="12"/>
      <c r="BL25" s="12"/>
      <c r="BM25" s="12"/>
      <c r="BN25" s="12"/>
      <c r="BO25" s="12"/>
      <c r="BP25" s="12"/>
      <c r="BQ25" s="12"/>
      <c r="BR25" s="12"/>
      <c r="BS25" s="12"/>
      <c r="BT25" s="12"/>
      <c r="BU25" s="12"/>
      <c r="BV25" s="12"/>
      <c r="BW25" s="12"/>
      <c r="BX25" s="13"/>
    </row>
    <row r="26" spans="1:76">
      <c r="A26" s="43"/>
      <c r="B26" s="164"/>
      <c r="C26" s="164"/>
      <c r="D26" s="164"/>
      <c r="E26" s="164"/>
      <c r="F26" s="164"/>
      <c r="G26" s="164"/>
      <c r="H26" s="164"/>
      <c r="I26" s="164"/>
      <c r="J26" s="164"/>
      <c r="K26" s="164"/>
      <c r="L26" s="164"/>
      <c r="M26" s="164"/>
      <c r="N26" s="164"/>
      <c r="O26" s="164"/>
      <c r="P26" s="164"/>
      <c r="Q26" s="164"/>
      <c r="R26" s="164"/>
      <c r="S26" s="44"/>
      <c r="T26" s="11"/>
      <c r="U26" s="12"/>
      <c r="V26" s="12"/>
      <c r="W26" s="12"/>
      <c r="X26" s="12"/>
      <c r="Y26" s="12"/>
      <c r="Z26" s="12"/>
      <c r="AA26" s="12"/>
      <c r="AB26" s="12"/>
      <c r="AC26" s="12"/>
      <c r="AD26" s="12"/>
      <c r="AE26" s="12"/>
      <c r="AF26" s="12"/>
      <c r="AG26" s="12"/>
      <c r="AH26" s="12"/>
      <c r="AI26" s="12"/>
      <c r="AJ26" s="12"/>
      <c r="AK26" s="12"/>
      <c r="AL26" s="13"/>
      <c r="AM26" s="11"/>
      <c r="AN26" s="12"/>
      <c r="AO26" s="12"/>
      <c r="AP26" s="12"/>
      <c r="AQ26" s="12"/>
      <c r="AR26" s="12"/>
      <c r="AS26" s="12"/>
      <c r="AT26" s="12"/>
      <c r="AU26" s="12"/>
      <c r="AV26" s="12"/>
      <c r="AW26" s="12"/>
      <c r="AX26" s="12"/>
      <c r="AY26" s="12"/>
      <c r="AZ26" s="12"/>
      <c r="BA26" s="12"/>
      <c r="BB26" s="12"/>
      <c r="BC26" s="12"/>
      <c r="BD26" s="12"/>
      <c r="BE26" s="13"/>
      <c r="BF26" s="11"/>
      <c r="BG26" s="12"/>
      <c r="BH26" s="12"/>
      <c r="BI26" s="12"/>
      <c r="BJ26" s="12"/>
      <c r="BK26" s="12"/>
      <c r="BL26" s="12"/>
      <c r="BM26" s="12"/>
      <c r="BN26" s="12"/>
      <c r="BO26" s="12"/>
      <c r="BP26" s="12"/>
      <c r="BQ26" s="12"/>
      <c r="BR26" s="12"/>
      <c r="BS26" s="12"/>
      <c r="BT26" s="12"/>
      <c r="BU26" s="12"/>
      <c r="BV26" s="12"/>
      <c r="BW26" s="12"/>
      <c r="BX26" s="13"/>
    </row>
    <row r="27" spans="1:76">
      <c r="A27" s="43"/>
      <c r="B27" s="164"/>
      <c r="C27" s="164"/>
      <c r="D27" s="164"/>
      <c r="E27" s="164"/>
      <c r="F27" s="164"/>
      <c r="G27" s="164"/>
      <c r="H27" s="164"/>
      <c r="I27" s="164"/>
      <c r="J27" s="164"/>
      <c r="K27" s="164"/>
      <c r="L27" s="164"/>
      <c r="M27" s="164"/>
      <c r="N27" s="164"/>
      <c r="O27" s="164"/>
      <c r="P27" s="164"/>
      <c r="Q27" s="164"/>
      <c r="R27" s="164"/>
      <c r="S27" s="44"/>
      <c r="T27" s="11"/>
      <c r="U27" s="12"/>
      <c r="V27" s="12"/>
      <c r="W27" s="12"/>
      <c r="X27" s="12"/>
      <c r="Y27" s="12"/>
      <c r="Z27" s="12"/>
      <c r="AA27" s="12"/>
      <c r="AB27" s="12"/>
      <c r="AC27" s="12"/>
      <c r="AD27" s="12"/>
      <c r="AE27" s="12"/>
      <c r="AF27" s="12"/>
      <c r="AG27" s="12"/>
      <c r="AH27" s="12"/>
      <c r="AI27" s="12"/>
      <c r="AJ27" s="12"/>
      <c r="AK27" s="12"/>
      <c r="AL27" s="13"/>
      <c r="AM27" s="11"/>
      <c r="AN27" s="12"/>
      <c r="AO27" s="12"/>
      <c r="AP27" s="12"/>
      <c r="AQ27" s="12"/>
      <c r="AR27" s="12"/>
      <c r="AS27" s="12"/>
      <c r="AT27" s="12"/>
      <c r="AU27" s="12"/>
      <c r="AV27" s="12"/>
      <c r="AW27" s="12"/>
      <c r="AX27" s="12"/>
      <c r="AY27" s="12"/>
      <c r="AZ27" s="12"/>
      <c r="BA27" s="12"/>
      <c r="BB27" s="12"/>
      <c r="BC27" s="12"/>
      <c r="BD27" s="12"/>
      <c r="BE27" s="13"/>
      <c r="BF27" s="11"/>
      <c r="BG27" s="12"/>
      <c r="BH27" s="12"/>
      <c r="BI27" s="12"/>
      <c r="BJ27" s="12"/>
      <c r="BK27" s="12"/>
      <c r="BL27" s="12"/>
      <c r="BM27" s="12"/>
      <c r="BN27" s="12"/>
      <c r="BO27" s="12"/>
      <c r="BP27" s="12"/>
      <c r="BQ27" s="12"/>
      <c r="BR27" s="12"/>
      <c r="BS27" s="12"/>
      <c r="BT27" s="12"/>
      <c r="BU27" s="12"/>
      <c r="BV27" s="12"/>
      <c r="BW27" s="12"/>
      <c r="BX27" s="13"/>
    </row>
    <row r="28" spans="1:76">
      <c r="A28" s="43"/>
      <c r="B28" s="164"/>
      <c r="C28" s="164"/>
      <c r="D28" s="164"/>
      <c r="E28" s="164"/>
      <c r="F28" s="164"/>
      <c r="G28" s="164"/>
      <c r="H28" s="164"/>
      <c r="I28" s="164"/>
      <c r="J28" s="164"/>
      <c r="K28" s="164"/>
      <c r="L28" s="164"/>
      <c r="M28" s="164"/>
      <c r="N28" s="164"/>
      <c r="O28" s="164"/>
      <c r="P28" s="164"/>
      <c r="Q28" s="164"/>
      <c r="R28" s="164"/>
      <c r="S28" s="44"/>
      <c r="T28" s="11"/>
      <c r="U28" s="12"/>
      <c r="V28" s="12"/>
      <c r="W28" s="12"/>
      <c r="X28" s="12"/>
      <c r="Y28" s="12"/>
      <c r="Z28" s="12"/>
      <c r="AA28" s="12"/>
      <c r="AB28" s="12"/>
      <c r="AC28" s="12"/>
      <c r="AD28" s="12"/>
      <c r="AE28" s="12"/>
      <c r="AF28" s="12"/>
      <c r="AG28" s="12"/>
      <c r="AH28" s="12"/>
      <c r="AI28" s="12"/>
      <c r="AJ28" s="12"/>
      <c r="AK28" s="12"/>
      <c r="AL28" s="13"/>
      <c r="AM28" s="11"/>
      <c r="AN28" s="12"/>
      <c r="AO28" s="12"/>
      <c r="AP28" s="12"/>
      <c r="AQ28" s="12"/>
      <c r="AR28" s="12"/>
      <c r="AS28" s="12"/>
      <c r="AT28" s="12"/>
      <c r="AU28" s="12"/>
      <c r="AV28" s="12"/>
      <c r="AW28" s="12"/>
      <c r="AX28" s="12"/>
      <c r="AY28" s="12"/>
      <c r="AZ28" s="12"/>
      <c r="BA28" s="12"/>
      <c r="BB28" s="12"/>
      <c r="BC28" s="12"/>
      <c r="BD28" s="12"/>
      <c r="BE28" s="13"/>
      <c r="BF28" s="11"/>
      <c r="BG28" s="12"/>
      <c r="BH28" s="12"/>
      <c r="BI28" s="12"/>
      <c r="BJ28" s="12"/>
      <c r="BK28" s="12"/>
      <c r="BL28" s="12"/>
      <c r="BM28" s="12"/>
      <c r="BN28" s="12"/>
      <c r="BO28" s="12"/>
      <c r="BP28" s="12"/>
      <c r="BQ28" s="12"/>
      <c r="BR28" s="12"/>
      <c r="BS28" s="12"/>
      <c r="BT28" s="12"/>
      <c r="BU28" s="12"/>
      <c r="BV28" s="12"/>
      <c r="BW28" s="12"/>
      <c r="BX28" s="13"/>
    </row>
    <row r="29" spans="1:76">
      <c r="A29" s="43"/>
      <c r="B29" s="164"/>
      <c r="C29" s="164"/>
      <c r="D29" s="164"/>
      <c r="E29" s="164"/>
      <c r="F29" s="164"/>
      <c r="G29" s="164"/>
      <c r="H29" s="164"/>
      <c r="I29" s="164"/>
      <c r="J29" s="164"/>
      <c r="K29" s="164"/>
      <c r="L29" s="164"/>
      <c r="M29" s="164"/>
      <c r="N29" s="164"/>
      <c r="O29" s="164"/>
      <c r="P29" s="164"/>
      <c r="Q29" s="164"/>
      <c r="R29" s="164"/>
      <c r="S29" s="44"/>
      <c r="T29" s="11"/>
      <c r="U29" s="12"/>
      <c r="V29" s="12"/>
      <c r="W29" s="12"/>
      <c r="X29" s="12"/>
      <c r="Y29" s="12"/>
      <c r="Z29" s="12"/>
      <c r="AA29" s="12"/>
      <c r="AB29" s="12"/>
      <c r="AC29" s="12"/>
      <c r="AD29" s="12"/>
      <c r="AE29" s="12"/>
      <c r="AF29" s="12"/>
      <c r="AG29" s="12"/>
      <c r="AH29" s="12"/>
      <c r="AI29" s="12"/>
      <c r="AJ29" s="12"/>
      <c r="AK29" s="12"/>
      <c r="AL29" s="13"/>
      <c r="AM29" s="11"/>
      <c r="AN29" s="12"/>
      <c r="AO29" s="12"/>
      <c r="AP29" s="12"/>
      <c r="AQ29" s="12"/>
      <c r="AR29" s="12"/>
      <c r="AS29" s="12"/>
      <c r="AT29" s="12"/>
      <c r="AU29" s="12"/>
      <c r="AV29" s="12"/>
      <c r="AW29" s="12"/>
      <c r="AX29" s="12"/>
      <c r="AY29" s="12"/>
      <c r="AZ29" s="12"/>
      <c r="BA29" s="12"/>
      <c r="BB29" s="12"/>
      <c r="BC29" s="12"/>
      <c r="BD29" s="12"/>
      <c r="BE29" s="13"/>
      <c r="BF29" s="11"/>
      <c r="BG29" s="12"/>
      <c r="BH29" s="12"/>
      <c r="BI29" s="12"/>
      <c r="BJ29" s="12"/>
      <c r="BK29" s="12"/>
      <c r="BL29" s="12"/>
      <c r="BM29" s="12"/>
      <c r="BN29" s="12"/>
      <c r="BO29" s="12"/>
      <c r="BP29" s="12"/>
      <c r="BQ29" s="12"/>
      <c r="BR29" s="12"/>
      <c r="BS29" s="12"/>
      <c r="BT29" s="12"/>
      <c r="BU29" s="12"/>
      <c r="BV29" s="12"/>
      <c r="BW29" s="12"/>
      <c r="BX29" s="13"/>
    </row>
    <row r="30" spans="1:76">
      <c r="A30" s="43"/>
      <c r="B30" s="164"/>
      <c r="C30" s="164"/>
      <c r="D30" s="164"/>
      <c r="E30" s="164"/>
      <c r="F30" s="164"/>
      <c r="G30" s="164"/>
      <c r="H30" s="164"/>
      <c r="I30" s="164"/>
      <c r="J30" s="164"/>
      <c r="K30" s="164"/>
      <c r="L30" s="164"/>
      <c r="M30" s="164"/>
      <c r="N30" s="164"/>
      <c r="O30" s="164"/>
      <c r="P30" s="164"/>
      <c r="Q30" s="164"/>
      <c r="R30" s="164"/>
      <c r="S30" s="44"/>
      <c r="T30" s="11"/>
      <c r="U30" s="12"/>
      <c r="V30" s="12"/>
      <c r="W30" s="12"/>
      <c r="X30" s="12"/>
      <c r="Y30" s="12"/>
      <c r="Z30" s="12"/>
      <c r="AA30" s="12"/>
      <c r="AB30" s="12"/>
      <c r="AC30" s="12"/>
      <c r="AD30" s="12"/>
      <c r="AE30" s="12"/>
      <c r="AF30" s="12"/>
      <c r="AG30" s="12"/>
      <c r="AH30" s="12"/>
      <c r="AI30" s="12"/>
      <c r="AJ30" s="12"/>
      <c r="AK30" s="12"/>
      <c r="AL30" s="13"/>
      <c r="AM30" s="11"/>
      <c r="AN30" s="12"/>
      <c r="AO30" s="12"/>
      <c r="AP30" s="12"/>
      <c r="AQ30" s="12"/>
      <c r="AR30" s="12"/>
      <c r="AS30" s="12"/>
      <c r="AT30" s="12"/>
      <c r="AU30" s="12"/>
      <c r="AV30" s="12"/>
      <c r="AW30" s="12"/>
      <c r="AX30" s="12"/>
      <c r="AY30" s="12"/>
      <c r="AZ30" s="12"/>
      <c r="BA30" s="12"/>
      <c r="BB30" s="12"/>
      <c r="BC30" s="12"/>
      <c r="BD30" s="12"/>
      <c r="BE30" s="13"/>
      <c r="BF30" s="11"/>
      <c r="BG30" s="12"/>
      <c r="BH30" s="12"/>
      <c r="BI30" s="12"/>
      <c r="BJ30" s="12"/>
      <c r="BK30" s="12"/>
      <c r="BL30" s="12"/>
      <c r="BM30" s="12"/>
      <c r="BN30" s="12"/>
      <c r="BO30" s="12"/>
      <c r="BP30" s="12"/>
      <c r="BQ30" s="12"/>
      <c r="BR30" s="12"/>
      <c r="BS30" s="12"/>
      <c r="BT30" s="12"/>
      <c r="BU30" s="12"/>
      <c r="BV30" s="12"/>
      <c r="BW30" s="12"/>
      <c r="BX30" s="13"/>
    </row>
    <row r="31" spans="1:76">
      <c r="A31" s="43"/>
      <c r="B31" s="164"/>
      <c r="C31" s="164"/>
      <c r="D31" s="164"/>
      <c r="E31" s="164"/>
      <c r="F31" s="164"/>
      <c r="G31" s="164"/>
      <c r="H31" s="164"/>
      <c r="I31" s="164"/>
      <c r="J31" s="164"/>
      <c r="K31" s="164"/>
      <c r="L31" s="164"/>
      <c r="M31" s="164"/>
      <c r="N31" s="164"/>
      <c r="O31" s="164"/>
      <c r="P31" s="164"/>
      <c r="Q31" s="164"/>
      <c r="R31" s="164"/>
      <c r="S31" s="44"/>
      <c r="T31" s="11"/>
      <c r="U31" s="12"/>
      <c r="V31" s="12"/>
      <c r="W31" s="12"/>
      <c r="X31" s="12"/>
      <c r="Y31" s="12"/>
      <c r="Z31" s="12"/>
      <c r="AA31" s="12"/>
      <c r="AB31" s="12"/>
      <c r="AC31" s="12"/>
      <c r="AD31" s="12"/>
      <c r="AE31" s="12"/>
      <c r="AF31" s="12"/>
      <c r="AG31" s="12"/>
      <c r="AH31" s="12"/>
      <c r="AI31" s="12"/>
      <c r="AJ31" s="12"/>
      <c r="AK31" s="12"/>
      <c r="AL31" s="13"/>
      <c r="AM31" s="11"/>
      <c r="AN31" s="12"/>
      <c r="AO31" s="12"/>
      <c r="AP31" s="12"/>
      <c r="AQ31" s="12"/>
      <c r="AR31" s="12"/>
      <c r="AS31" s="12"/>
      <c r="AT31" s="12"/>
      <c r="AU31" s="12"/>
      <c r="AV31" s="12"/>
      <c r="AW31" s="12"/>
      <c r="AX31" s="12"/>
      <c r="AY31" s="12"/>
      <c r="AZ31" s="12"/>
      <c r="BA31" s="12"/>
      <c r="BB31" s="12"/>
      <c r="BC31" s="12"/>
      <c r="BD31" s="12"/>
      <c r="BE31" s="13"/>
      <c r="BF31" s="11"/>
      <c r="BG31" s="12"/>
      <c r="BH31" s="12"/>
      <c r="BI31" s="12"/>
      <c r="BJ31" s="12"/>
      <c r="BK31" s="12"/>
      <c r="BL31" s="12"/>
      <c r="BM31" s="12"/>
      <c r="BN31" s="12"/>
      <c r="BO31" s="12"/>
      <c r="BP31" s="12"/>
      <c r="BQ31" s="12"/>
      <c r="BR31" s="12"/>
      <c r="BS31" s="12"/>
      <c r="BT31" s="12"/>
      <c r="BU31" s="12"/>
      <c r="BV31" s="12"/>
      <c r="BW31" s="12"/>
      <c r="BX31" s="13"/>
    </row>
    <row r="32" spans="1:76">
      <c r="A32" s="43"/>
      <c r="B32" s="164"/>
      <c r="C32" s="164"/>
      <c r="D32" s="164"/>
      <c r="E32" s="164"/>
      <c r="F32" s="164"/>
      <c r="G32" s="164"/>
      <c r="H32" s="164"/>
      <c r="I32" s="164"/>
      <c r="J32" s="164"/>
      <c r="K32" s="164"/>
      <c r="L32" s="164"/>
      <c r="M32" s="164"/>
      <c r="N32" s="164"/>
      <c r="O32" s="164"/>
      <c r="P32" s="164"/>
      <c r="Q32" s="164"/>
      <c r="R32" s="164"/>
      <c r="S32" s="44"/>
      <c r="T32" s="11"/>
      <c r="U32" s="12"/>
      <c r="V32" s="12"/>
      <c r="W32" s="12"/>
      <c r="X32" s="12"/>
      <c r="Y32" s="12"/>
      <c r="Z32" s="12"/>
      <c r="AA32" s="12"/>
      <c r="AB32" s="12"/>
      <c r="AC32" s="12"/>
      <c r="AD32" s="12"/>
      <c r="AE32" s="12"/>
      <c r="AF32" s="12"/>
      <c r="AG32" s="12"/>
      <c r="AH32" s="12"/>
      <c r="AI32" s="12"/>
      <c r="AJ32" s="12"/>
      <c r="AK32" s="12"/>
      <c r="AL32" s="13"/>
      <c r="AM32" s="11"/>
      <c r="AN32" s="12"/>
      <c r="AO32" s="12"/>
      <c r="AP32" s="12"/>
      <c r="AQ32" s="12"/>
      <c r="AR32" s="12"/>
      <c r="AS32" s="12"/>
      <c r="AT32" s="12"/>
      <c r="AU32" s="12"/>
      <c r="AV32" s="12"/>
      <c r="AW32" s="12"/>
      <c r="AX32" s="12"/>
      <c r="AY32" s="12"/>
      <c r="AZ32" s="12"/>
      <c r="BA32" s="12"/>
      <c r="BB32" s="12"/>
      <c r="BC32" s="12"/>
      <c r="BD32" s="12"/>
      <c r="BE32" s="13"/>
      <c r="BF32" s="11"/>
      <c r="BG32" s="12"/>
      <c r="BH32" s="12"/>
      <c r="BI32" s="12"/>
      <c r="BJ32" s="12"/>
      <c r="BK32" s="12"/>
      <c r="BL32" s="12"/>
      <c r="BM32" s="12"/>
      <c r="BN32" s="12"/>
      <c r="BO32" s="12"/>
      <c r="BP32" s="12"/>
      <c r="BQ32" s="12"/>
      <c r="BR32" s="12"/>
      <c r="BS32" s="12"/>
      <c r="BT32" s="12"/>
      <c r="BU32" s="12"/>
      <c r="BV32" s="12"/>
      <c r="BW32" s="12"/>
      <c r="BX32" s="13"/>
    </row>
    <row r="33" spans="1:76">
      <c r="A33" s="43"/>
      <c r="B33" s="164"/>
      <c r="C33" s="164"/>
      <c r="D33" s="164"/>
      <c r="E33" s="164"/>
      <c r="F33" s="164"/>
      <c r="G33" s="164"/>
      <c r="H33" s="164"/>
      <c r="I33" s="164"/>
      <c r="J33" s="164"/>
      <c r="K33" s="164"/>
      <c r="L33" s="164"/>
      <c r="M33" s="164"/>
      <c r="N33" s="164"/>
      <c r="O33" s="164"/>
      <c r="P33" s="164"/>
      <c r="Q33" s="164"/>
      <c r="R33" s="164"/>
      <c r="S33" s="44"/>
      <c r="T33" s="11"/>
      <c r="U33" s="12"/>
      <c r="V33" s="12"/>
      <c r="W33" s="12"/>
      <c r="X33" s="12"/>
      <c r="Y33" s="12"/>
      <c r="Z33" s="12"/>
      <c r="AA33" s="12"/>
      <c r="AB33" s="12"/>
      <c r="AC33" s="12"/>
      <c r="AD33" s="12"/>
      <c r="AE33" s="12"/>
      <c r="AF33" s="12"/>
      <c r="AG33" s="12"/>
      <c r="AH33" s="12"/>
      <c r="AI33" s="12"/>
      <c r="AJ33" s="12"/>
      <c r="AK33" s="12"/>
      <c r="AL33" s="13"/>
      <c r="AM33" s="11"/>
      <c r="AN33" s="12"/>
      <c r="AO33" s="12"/>
      <c r="AP33" s="12"/>
      <c r="AQ33" s="12"/>
      <c r="AR33" s="12"/>
      <c r="AS33" s="12"/>
      <c r="AT33" s="12"/>
      <c r="AU33" s="12"/>
      <c r="AV33" s="12"/>
      <c r="AW33" s="12"/>
      <c r="AX33" s="12"/>
      <c r="AY33" s="12"/>
      <c r="AZ33" s="12"/>
      <c r="BA33" s="12"/>
      <c r="BB33" s="12"/>
      <c r="BC33" s="12"/>
      <c r="BD33" s="12"/>
      <c r="BE33" s="13"/>
      <c r="BF33" s="11"/>
      <c r="BG33" s="12"/>
      <c r="BH33" s="12"/>
      <c r="BI33" s="12"/>
      <c r="BJ33" s="12"/>
      <c r="BK33" s="12"/>
      <c r="BL33" s="12"/>
      <c r="BM33" s="12"/>
      <c r="BN33" s="12"/>
      <c r="BO33" s="12"/>
      <c r="BP33" s="12"/>
      <c r="BQ33" s="12"/>
      <c r="BR33" s="12"/>
      <c r="BS33" s="12"/>
      <c r="BT33" s="12"/>
      <c r="BU33" s="12"/>
      <c r="BV33" s="12"/>
      <c r="BW33" s="12"/>
      <c r="BX33" s="13"/>
    </row>
    <row r="34" spans="1:76">
      <c r="A34" s="43"/>
      <c r="B34" s="164"/>
      <c r="C34" s="164"/>
      <c r="D34" s="164"/>
      <c r="E34" s="164"/>
      <c r="F34" s="164"/>
      <c r="G34" s="164"/>
      <c r="H34" s="164"/>
      <c r="I34" s="164"/>
      <c r="J34" s="164"/>
      <c r="K34" s="164"/>
      <c r="L34" s="164"/>
      <c r="M34" s="164"/>
      <c r="N34" s="164"/>
      <c r="O34" s="164"/>
      <c r="P34" s="164"/>
      <c r="Q34" s="164"/>
      <c r="R34" s="164"/>
      <c r="S34" s="44"/>
      <c r="T34" s="11"/>
      <c r="U34" s="12"/>
      <c r="V34" s="12"/>
      <c r="W34" s="12"/>
      <c r="X34" s="12"/>
      <c r="Y34" s="12"/>
      <c r="Z34" s="12"/>
      <c r="AA34" s="12"/>
      <c r="AB34" s="12"/>
      <c r="AC34" s="12"/>
      <c r="AD34" s="12"/>
      <c r="AE34" s="12"/>
      <c r="AF34" s="12"/>
      <c r="AG34" s="12"/>
      <c r="AH34" s="12"/>
      <c r="AI34" s="12"/>
      <c r="AJ34" s="12"/>
      <c r="AK34" s="12"/>
      <c r="AL34" s="13"/>
      <c r="AM34" s="11"/>
      <c r="AN34" s="12"/>
      <c r="AO34" s="12"/>
      <c r="AP34" s="12"/>
      <c r="AQ34" s="12"/>
      <c r="AR34" s="12"/>
      <c r="AS34" s="12"/>
      <c r="AT34" s="12"/>
      <c r="AU34" s="12"/>
      <c r="AV34" s="12"/>
      <c r="AW34" s="12"/>
      <c r="AX34" s="12"/>
      <c r="AY34" s="12"/>
      <c r="AZ34" s="12"/>
      <c r="BA34" s="12"/>
      <c r="BB34" s="12"/>
      <c r="BC34" s="12"/>
      <c r="BD34" s="12"/>
      <c r="BE34" s="13"/>
      <c r="BF34" s="11"/>
      <c r="BG34" s="12"/>
      <c r="BH34" s="12"/>
      <c r="BI34" s="12"/>
      <c r="BJ34" s="12"/>
      <c r="BK34" s="12"/>
      <c r="BL34" s="12"/>
      <c r="BM34" s="12"/>
      <c r="BN34" s="12"/>
      <c r="BO34" s="12"/>
      <c r="BP34" s="12"/>
      <c r="BQ34" s="12"/>
      <c r="BR34" s="12"/>
      <c r="BS34" s="12"/>
      <c r="BT34" s="12"/>
      <c r="BU34" s="12"/>
      <c r="BV34" s="12"/>
      <c r="BW34" s="12"/>
      <c r="BX34" s="13"/>
    </row>
    <row r="35" spans="1:76">
      <c r="A35" s="43"/>
      <c r="B35" s="164"/>
      <c r="C35" s="164"/>
      <c r="D35" s="164"/>
      <c r="E35" s="164"/>
      <c r="F35" s="164"/>
      <c r="G35" s="164"/>
      <c r="H35" s="164"/>
      <c r="I35" s="164"/>
      <c r="J35" s="164"/>
      <c r="K35" s="164"/>
      <c r="L35" s="164"/>
      <c r="M35" s="164"/>
      <c r="N35" s="164"/>
      <c r="O35" s="164"/>
      <c r="P35" s="164"/>
      <c r="Q35" s="164"/>
      <c r="R35" s="164"/>
      <c r="S35" s="44"/>
      <c r="T35" s="11"/>
      <c r="U35" s="12"/>
      <c r="V35" s="12"/>
      <c r="W35" s="12"/>
      <c r="X35" s="12"/>
      <c r="Y35" s="12"/>
      <c r="Z35" s="12"/>
      <c r="AA35" s="12"/>
      <c r="AB35" s="12"/>
      <c r="AC35" s="12"/>
      <c r="AD35" s="12"/>
      <c r="AE35" s="12"/>
      <c r="AF35" s="12"/>
      <c r="AG35" s="12"/>
      <c r="AH35" s="12"/>
      <c r="AI35" s="12"/>
      <c r="AJ35" s="12"/>
      <c r="AK35" s="12"/>
      <c r="AL35" s="13"/>
      <c r="AM35" s="11"/>
      <c r="AN35" s="12"/>
      <c r="AO35" s="12"/>
      <c r="AP35" s="12"/>
      <c r="AQ35" s="12"/>
      <c r="AR35" s="12"/>
      <c r="AS35" s="12"/>
      <c r="AT35" s="12"/>
      <c r="AU35" s="12"/>
      <c r="AV35" s="12"/>
      <c r="AW35" s="12"/>
      <c r="AX35" s="12"/>
      <c r="AY35" s="12"/>
      <c r="AZ35" s="12"/>
      <c r="BA35" s="12"/>
      <c r="BB35" s="12"/>
      <c r="BC35" s="12"/>
      <c r="BD35" s="12"/>
      <c r="BE35" s="13"/>
      <c r="BF35" s="11"/>
      <c r="BG35" s="12"/>
      <c r="BH35" s="12"/>
      <c r="BI35" s="12"/>
      <c r="BJ35" s="12"/>
      <c r="BK35" s="12"/>
      <c r="BL35" s="12"/>
      <c r="BM35" s="12"/>
      <c r="BN35" s="12"/>
      <c r="BO35" s="12"/>
      <c r="BP35" s="12"/>
      <c r="BQ35" s="12"/>
      <c r="BR35" s="12"/>
      <c r="BS35" s="12"/>
      <c r="BT35" s="12"/>
      <c r="BU35" s="12"/>
      <c r="BV35" s="12"/>
      <c r="BW35" s="12"/>
      <c r="BX35" s="13"/>
    </row>
    <row r="36" spans="1:76">
      <c r="A36" s="43"/>
      <c r="B36" s="164"/>
      <c r="C36" s="164"/>
      <c r="D36" s="164"/>
      <c r="E36" s="164"/>
      <c r="F36" s="164"/>
      <c r="G36" s="164"/>
      <c r="H36" s="164"/>
      <c r="I36" s="164"/>
      <c r="J36" s="164"/>
      <c r="K36" s="164"/>
      <c r="L36" s="164"/>
      <c r="M36" s="164"/>
      <c r="N36" s="164"/>
      <c r="O36" s="164"/>
      <c r="P36" s="164"/>
      <c r="Q36" s="164"/>
      <c r="R36" s="164"/>
      <c r="S36" s="44"/>
      <c r="T36" s="11"/>
      <c r="U36" s="12"/>
      <c r="V36" s="12"/>
      <c r="W36" s="12"/>
      <c r="X36" s="12"/>
      <c r="Y36" s="12"/>
      <c r="Z36" s="12"/>
      <c r="AA36" s="12"/>
      <c r="AB36" s="12"/>
      <c r="AC36" s="12"/>
      <c r="AD36" s="12"/>
      <c r="AE36" s="12"/>
      <c r="AF36" s="12"/>
      <c r="AG36" s="12"/>
      <c r="AH36" s="12"/>
      <c r="AI36" s="12"/>
      <c r="AJ36" s="12"/>
      <c r="AK36" s="12"/>
      <c r="AL36" s="13"/>
      <c r="AM36" s="11"/>
      <c r="AN36" s="12"/>
      <c r="AO36" s="12"/>
      <c r="AP36" s="12"/>
      <c r="AQ36" s="12"/>
      <c r="AR36" s="12"/>
      <c r="AS36" s="12"/>
      <c r="AT36" s="12"/>
      <c r="AU36" s="12"/>
      <c r="AV36" s="12"/>
      <c r="AW36" s="12"/>
      <c r="AX36" s="12"/>
      <c r="AY36" s="12"/>
      <c r="AZ36" s="12"/>
      <c r="BA36" s="12"/>
      <c r="BB36" s="12"/>
      <c r="BC36" s="12"/>
      <c r="BD36" s="12"/>
      <c r="BE36" s="13"/>
      <c r="BF36" s="11"/>
      <c r="BG36" s="12"/>
      <c r="BH36" s="12"/>
      <c r="BI36" s="12"/>
      <c r="BJ36" s="12"/>
      <c r="BK36" s="12"/>
      <c r="BL36" s="12"/>
      <c r="BM36" s="12"/>
      <c r="BN36" s="12"/>
      <c r="BO36" s="12"/>
      <c r="BP36" s="12"/>
      <c r="BQ36" s="12"/>
      <c r="BR36" s="12"/>
      <c r="BS36" s="12"/>
      <c r="BT36" s="12"/>
      <c r="BU36" s="12"/>
      <c r="BV36" s="12"/>
      <c r="BW36" s="12"/>
      <c r="BX36" s="13"/>
    </row>
    <row r="37" spans="1:76">
      <c r="A37" s="43"/>
      <c r="B37" s="164"/>
      <c r="C37" s="164"/>
      <c r="D37" s="164"/>
      <c r="E37" s="164"/>
      <c r="F37" s="164"/>
      <c r="G37" s="164"/>
      <c r="H37" s="164"/>
      <c r="I37" s="164"/>
      <c r="J37" s="164"/>
      <c r="K37" s="164"/>
      <c r="L37" s="164"/>
      <c r="M37" s="164"/>
      <c r="N37" s="164"/>
      <c r="O37" s="164"/>
      <c r="P37" s="164"/>
      <c r="Q37" s="164"/>
      <c r="R37" s="164"/>
      <c r="S37" s="44"/>
      <c r="T37" s="11"/>
      <c r="U37" s="12"/>
      <c r="V37" s="12"/>
      <c r="W37" s="12"/>
      <c r="X37" s="12"/>
      <c r="Y37" s="12"/>
      <c r="Z37" s="12"/>
      <c r="AA37" s="12"/>
      <c r="AB37" s="12"/>
      <c r="AC37" s="12"/>
      <c r="AD37" s="12"/>
      <c r="AE37" s="12"/>
      <c r="AF37" s="12"/>
      <c r="AG37" s="12"/>
      <c r="AH37" s="12"/>
      <c r="AI37" s="12"/>
      <c r="AJ37" s="12"/>
      <c r="AK37" s="12"/>
      <c r="AL37" s="13"/>
      <c r="AM37" s="11"/>
      <c r="AN37" s="12"/>
      <c r="AO37" s="12"/>
      <c r="AP37" s="12"/>
      <c r="AQ37" s="12"/>
      <c r="AR37" s="12"/>
      <c r="AS37" s="12"/>
      <c r="AT37" s="12"/>
      <c r="AU37" s="12"/>
      <c r="AV37" s="12"/>
      <c r="AW37" s="12"/>
      <c r="AX37" s="12"/>
      <c r="AY37" s="12"/>
      <c r="AZ37" s="12"/>
      <c r="BA37" s="12"/>
      <c r="BB37" s="12"/>
      <c r="BC37" s="12"/>
      <c r="BD37" s="12"/>
      <c r="BE37" s="13"/>
      <c r="BF37" s="11"/>
      <c r="BG37" s="12"/>
      <c r="BH37" s="12"/>
      <c r="BI37" s="12"/>
      <c r="BJ37" s="12"/>
      <c r="BK37" s="12"/>
      <c r="BL37" s="12"/>
      <c r="BM37" s="12"/>
      <c r="BN37" s="12"/>
      <c r="BO37" s="12"/>
      <c r="BP37" s="12"/>
      <c r="BQ37" s="12"/>
      <c r="BR37" s="12"/>
      <c r="BS37" s="12"/>
      <c r="BT37" s="12"/>
      <c r="BU37" s="12"/>
      <c r="BV37" s="12"/>
      <c r="BW37" s="12"/>
      <c r="BX37" s="13"/>
    </row>
    <row r="38" spans="1:76">
      <c r="A38" s="43"/>
      <c r="B38" s="164"/>
      <c r="C38" s="164"/>
      <c r="D38" s="164"/>
      <c r="E38" s="164"/>
      <c r="F38" s="164"/>
      <c r="G38" s="164"/>
      <c r="H38" s="164"/>
      <c r="I38" s="164"/>
      <c r="J38" s="164"/>
      <c r="K38" s="164"/>
      <c r="L38" s="164"/>
      <c r="M38" s="164"/>
      <c r="N38" s="164"/>
      <c r="O38" s="164"/>
      <c r="P38" s="164"/>
      <c r="Q38" s="164"/>
      <c r="R38" s="164"/>
      <c r="S38" s="44"/>
      <c r="T38" s="11"/>
      <c r="U38" s="12"/>
      <c r="V38" s="12"/>
      <c r="W38" s="12"/>
      <c r="X38" s="12"/>
      <c r="Y38" s="12"/>
      <c r="Z38" s="12"/>
      <c r="AA38" s="12"/>
      <c r="AB38" s="12"/>
      <c r="AC38" s="12"/>
      <c r="AD38" s="12"/>
      <c r="AE38" s="12"/>
      <c r="AF38" s="12"/>
      <c r="AG38" s="12"/>
      <c r="AH38" s="12"/>
      <c r="AI38" s="12"/>
      <c r="AJ38" s="12"/>
      <c r="AK38" s="12"/>
      <c r="AL38" s="13"/>
      <c r="AM38" s="11"/>
      <c r="AN38" s="12"/>
      <c r="AO38" s="12"/>
      <c r="AP38" s="12"/>
      <c r="AQ38" s="12"/>
      <c r="AR38" s="12"/>
      <c r="AS38" s="12"/>
      <c r="AT38" s="12"/>
      <c r="AU38" s="12"/>
      <c r="AV38" s="12"/>
      <c r="AW38" s="12"/>
      <c r="AX38" s="12"/>
      <c r="AY38" s="12"/>
      <c r="AZ38" s="12"/>
      <c r="BA38" s="12"/>
      <c r="BB38" s="12"/>
      <c r="BC38" s="12"/>
      <c r="BD38" s="12"/>
      <c r="BE38" s="13"/>
      <c r="BF38" s="11"/>
      <c r="BG38" s="12"/>
      <c r="BH38" s="12"/>
      <c r="BI38" s="12"/>
      <c r="BJ38" s="12"/>
      <c r="BK38" s="12"/>
      <c r="BL38" s="12"/>
      <c r="BM38" s="12"/>
      <c r="BN38" s="12"/>
      <c r="BO38" s="12"/>
      <c r="BP38" s="12"/>
      <c r="BQ38" s="12"/>
      <c r="BR38" s="12"/>
      <c r="BS38" s="12"/>
      <c r="BT38" s="12"/>
      <c r="BU38" s="12"/>
      <c r="BV38" s="12"/>
      <c r="BW38" s="12"/>
      <c r="BX38" s="13"/>
    </row>
    <row r="39" spans="1:76">
      <c r="A39" s="43"/>
      <c r="B39" s="164"/>
      <c r="C39" s="164"/>
      <c r="D39" s="164"/>
      <c r="E39" s="164"/>
      <c r="F39" s="164"/>
      <c r="G39" s="164"/>
      <c r="H39" s="164"/>
      <c r="I39" s="164"/>
      <c r="J39" s="164"/>
      <c r="K39" s="164"/>
      <c r="L39" s="164"/>
      <c r="M39" s="164"/>
      <c r="N39" s="164"/>
      <c r="O39" s="164"/>
      <c r="P39" s="164"/>
      <c r="Q39" s="164"/>
      <c r="R39" s="164"/>
      <c r="S39" s="44"/>
      <c r="T39" s="11"/>
      <c r="U39" s="12"/>
      <c r="V39" s="12"/>
      <c r="W39" s="12"/>
      <c r="X39" s="12"/>
      <c r="Y39" s="12"/>
      <c r="Z39" s="12"/>
      <c r="AA39" s="12"/>
      <c r="AB39" s="12"/>
      <c r="AC39" s="12"/>
      <c r="AD39" s="12"/>
      <c r="AE39" s="12"/>
      <c r="AF39" s="12"/>
      <c r="AG39" s="12"/>
      <c r="AH39" s="12"/>
      <c r="AI39" s="12"/>
      <c r="AJ39" s="12"/>
      <c r="AK39" s="12"/>
      <c r="AL39" s="13"/>
      <c r="AM39" s="11"/>
      <c r="AN39" s="12"/>
      <c r="AO39" s="12"/>
      <c r="AP39" s="12"/>
      <c r="AQ39" s="12"/>
      <c r="AR39" s="12"/>
      <c r="AS39" s="12"/>
      <c r="AT39" s="12"/>
      <c r="AU39" s="12"/>
      <c r="AV39" s="12"/>
      <c r="AW39" s="12"/>
      <c r="AX39" s="12"/>
      <c r="AY39" s="12"/>
      <c r="AZ39" s="12"/>
      <c r="BA39" s="12"/>
      <c r="BB39" s="12"/>
      <c r="BC39" s="12"/>
      <c r="BD39" s="12"/>
      <c r="BE39" s="13"/>
      <c r="BF39" s="11"/>
      <c r="BG39" s="12"/>
      <c r="BH39" s="12"/>
      <c r="BI39" s="12"/>
      <c r="BJ39" s="12"/>
      <c r="BK39" s="12"/>
      <c r="BL39" s="12"/>
      <c r="BM39" s="12"/>
      <c r="BN39" s="12"/>
      <c r="BO39" s="12"/>
      <c r="BP39" s="12"/>
      <c r="BQ39" s="12"/>
      <c r="BR39" s="12"/>
      <c r="BS39" s="12"/>
      <c r="BT39" s="12"/>
      <c r="BU39" s="12"/>
      <c r="BV39" s="12"/>
      <c r="BW39" s="12"/>
      <c r="BX39" s="13"/>
    </row>
    <row r="40" spans="1:76">
      <c r="A40" s="43"/>
      <c r="B40" s="164"/>
      <c r="C40" s="164"/>
      <c r="D40" s="164"/>
      <c r="E40" s="164"/>
      <c r="F40" s="164"/>
      <c r="G40" s="164"/>
      <c r="H40" s="164"/>
      <c r="I40" s="164"/>
      <c r="J40" s="164"/>
      <c r="K40" s="164"/>
      <c r="L40" s="164"/>
      <c r="M40" s="164"/>
      <c r="N40" s="164"/>
      <c r="O40" s="164"/>
      <c r="P40" s="164"/>
      <c r="Q40" s="164"/>
      <c r="R40" s="164"/>
      <c r="S40" s="44"/>
      <c r="T40" s="11"/>
      <c r="U40" s="12"/>
      <c r="V40" s="12"/>
      <c r="W40" s="12"/>
      <c r="X40" s="12"/>
      <c r="Y40" s="12"/>
      <c r="Z40" s="12"/>
      <c r="AA40" s="12"/>
      <c r="AB40" s="12"/>
      <c r="AC40" s="12"/>
      <c r="AD40" s="12"/>
      <c r="AE40" s="12"/>
      <c r="AF40" s="12"/>
      <c r="AG40" s="12"/>
      <c r="AH40" s="12"/>
      <c r="AI40" s="12"/>
      <c r="AJ40" s="12"/>
      <c r="AK40" s="12"/>
      <c r="AL40" s="13"/>
      <c r="AM40" s="11"/>
      <c r="AN40" s="12"/>
      <c r="AO40" s="12"/>
      <c r="AP40" s="12"/>
      <c r="AQ40" s="12"/>
      <c r="AR40" s="12"/>
      <c r="AS40" s="12"/>
      <c r="AT40" s="12"/>
      <c r="AU40" s="12"/>
      <c r="AV40" s="12"/>
      <c r="AW40" s="12"/>
      <c r="AX40" s="12"/>
      <c r="AY40" s="12"/>
      <c r="AZ40" s="12"/>
      <c r="BA40" s="12"/>
      <c r="BB40" s="12"/>
      <c r="BC40" s="12"/>
      <c r="BD40" s="12"/>
      <c r="BE40" s="13"/>
      <c r="BF40" s="11"/>
      <c r="BG40" s="12"/>
      <c r="BH40" s="12"/>
      <c r="BI40" s="12"/>
      <c r="BJ40" s="12"/>
      <c r="BK40" s="12"/>
      <c r="BL40" s="12"/>
      <c r="BM40" s="12"/>
      <c r="BN40" s="12"/>
      <c r="BO40" s="12"/>
      <c r="BP40" s="12"/>
      <c r="BQ40" s="12"/>
      <c r="BR40" s="12"/>
      <c r="BS40" s="12"/>
      <c r="BT40" s="12"/>
      <c r="BU40" s="12"/>
      <c r="BV40" s="12"/>
      <c r="BW40" s="12"/>
      <c r="BX40" s="13"/>
    </row>
    <row r="41" spans="1:76">
      <c r="A41" s="43"/>
      <c r="B41" s="164"/>
      <c r="C41" s="164"/>
      <c r="D41" s="164"/>
      <c r="E41" s="164"/>
      <c r="F41" s="164"/>
      <c r="G41" s="164"/>
      <c r="H41" s="164"/>
      <c r="I41" s="164"/>
      <c r="J41" s="164"/>
      <c r="K41" s="164"/>
      <c r="L41" s="164"/>
      <c r="M41" s="164"/>
      <c r="N41" s="164"/>
      <c r="O41" s="164"/>
      <c r="P41" s="164"/>
      <c r="Q41" s="164"/>
      <c r="R41" s="164"/>
      <c r="S41" s="44"/>
      <c r="T41" s="11"/>
      <c r="U41" s="12"/>
      <c r="V41" s="12"/>
      <c r="W41" s="12"/>
      <c r="X41" s="12"/>
      <c r="Y41" s="12"/>
      <c r="Z41" s="12"/>
      <c r="AA41" s="12"/>
      <c r="AB41" s="12"/>
      <c r="AC41" s="12"/>
      <c r="AD41" s="12"/>
      <c r="AE41" s="12"/>
      <c r="AF41" s="12"/>
      <c r="AG41" s="12"/>
      <c r="AH41" s="12"/>
      <c r="AI41" s="12"/>
      <c r="AJ41" s="12"/>
      <c r="AK41" s="12"/>
      <c r="AL41" s="13"/>
      <c r="AM41" s="11"/>
      <c r="AN41" s="12"/>
      <c r="AO41" s="12"/>
      <c r="AP41" s="12"/>
      <c r="AQ41" s="12"/>
      <c r="AR41" s="12"/>
      <c r="AS41" s="12"/>
      <c r="AT41" s="12"/>
      <c r="AU41" s="12"/>
      <c r="AV41" s="12"/>
      <c r="AW41" s="12"/>
      <c r="AX41" s="12"/>
      <c r="AY41" s="12"/>
      <c r="AZ41" s="12"/>
      <c r="BA41" s="12"/>
      <c r="BB41" s="12"/>
      <c r="BC41" s="12"/>
      <c r="BD41" s="12"/>
      <c r="BE41" s="13"/>
      <c r="BF41" s="11"/>
      <c r="BG41" s="12"/>
      <c r="BH41" s="12"/>
      <c r="BI41" s="12"/>
      <c r="BJ41" s="12"/>
      <c r="BK41" s="12"/>
      <c r="BL41" s="12"/>
      <c r="BM41" s="12"/>
      <c r="BN41" s="12"/>
      <c r="BO41" s="12"/>
      <c r="BP41" s="12"/>
      <c r="BQ41" s="12"/>
      <c r="BR41" s="12"/>
      <c r="BS41" s="12"/>
      <c r="BT41" s="12"/>
      <c r="BU41" s="12"/>
      <c r="BV41" s="12"/>
      <c r="BW41" s="12"/>
      <c r="BX41" s="13"/>
    </row>
    <row r="42" spans="1:76">
      <c r="A42" s="43"/>
      <c r="B42" s="164"/>
      <c r="C42" s="164"/>
      <c r="D42" s="164"/>
      <c r="E42" s="164"/>
      <c r="F42" s="164"/>
      <c r="G42" s="164"/>
      <c r="H42" s="164"/>
      <c r="I42" s="164"/>
      <c r="J42" s="164"/>
      <c r="K42" s="164"/>
      <c r="L42" s="164"/>
      <c r="M42" s="164"/>
      <c r="N42" s="164"/>
      <c r="O42" s="164"/>
      <c r="P42" s="164"/>
      <c r="Q42" s="164"/>
      <c r="R42" s="164"/>
      <c r="S42" s="44"/>
      <c r="T42" s="11"/>
      <c r="U42" s="12"/>
      <c r="V42" s="12"/>
      <c r="W42" s="12"/>
      <c r="X42" s="12"/>
      <c r="Y42" s="12"/>
      <c r="Z42" s="12"/>
      <c r="AA42" s="12"/>
      <c r="AB42" s="12"/>
      <c r="AC42" s="12"/>
      <c r="AD42" s="12"/>
      <c r="AE42" s="12"/>
      <c r="AF42" s="12"/>
      <c r="AG42" s="12"/>
      <c r="AH42" s="12"/>
      <c r="AI42" s="12"/>
      <c r="AJ42" s="12"/>
      <c r="AK42" s="12"/>
      <c r="AL42" s="13"/>
      <c r="AM42" s="11"/>
      <c r="AN42" s="12"/>
      <c r="AO42" s="12"/>
      <c r="AP42" s="12"/>
      <c r="AQ42" s="12"/>
      <c r="AR42" s="12"/>
      <c r="AS42" s="12"/>
      <c r="AT42" s="12"/>
      <c r="AU42" s="12"/>
      <c r="AV42" s="12"/>
      <c r="AW42" s="12"/>
      <c r="AX42" s="12"/>
      <c r="AY42" s="12"/>
      <c r="AZ42" s="12"/>
      <c r="BA42" s="12"/>
      <c r="BB42" s="12"/>
      <c r="BC42" s="12"/>
      <c r="BD42" s="12"/>
      <c r="BE42" s="13"/>
      <c r="BF42" s="11"/>
      <c r="BG42" s="12"/>
      <c r="BH42" s="12"/>
      <c r="BI42" s="12"/>
      <c r="BJ42" s="12"/>
      <c r="BK42" s="12"/>
      <c r="BL42" s="12"/>
      <c r="BM42" s="12"/>
      <c r="BN42" s="12"/>
      <c r="BO42" s="12"/>
      <c r="BP42" s="12"/>
      <c r="BQ42" s="12"/>
      <c r="BR42" s="12"/>
      <c r="BS42" s="12"/>
      <c r="BT42" s="12"/>
      <c r="BU42" s="12"/>
      <c r="BV42" s="12"/>
      <c r="BW42" s="12"/>
      <c r="BX42" s="13"/>
    </row>
    <row r="43" spans="1:76">
      <c r="A43" s="43"/>
      <c r="B43" s="164"/>
      <c r="C43" s="164"/>
      <c r="D43" s="164"/>
      <c r="E43" s="164"/>
      <c r="F43" s="164"/>
      <c r="G43" s="164"/>
      <c r="H43" s="164"/>
      <c r="I43" s="164"/>
      <c r="J43" s="164"/>
      <c r="K43" s="164"/>
      <c r="L43" s="164"/>
      <c r="M43" s="164"/>
      <c r="N43" s="164"/>
      <c r="O43" s="164"/>
      <c r="P43" s="164"/>
      <c r="Q43" s="164"/>
      <c r="R43" s="164"/>
      <c r="S43" s="44"/>
      <c r="T43" s="11"/>
      <c r="U43" s="12"/>
      <c r="V43" s="12"/>
      <c r="W43" s="12"/>
      <c r="X43" s="12"/>
      <c r="Y43" s="12"/>
      <c r="Z43" s="12"/>
      <c r="AA43" s="12"/>
      <c r="AB43" s="12"/>
      <c r="AC43" s="12"/>
      <c r="AD43" s="12"/>
      <c r="AE43" s="12"/>
      <c r="AF43" s="12"/>
      <c r="AG43" s="12"/>
      <c r="AH43" s="12"/>
      <c r="AI43" s="12"/>
      <c r="AJ43" s="12"/>
      <c r="AK43" s="12"/>
      <c r="AL43" s="13"/>
      <c r="AM43" s="11"/>
      <c r="AN43" s="12"/>
      <c r="AO43" s="12"/>
      <c r="AP43" s="12"/>
      <c r="AQ43" s="12"/>
      <c r="AR43" s="12"/>
      <c r="AS43" s="12"/>
      <c r="AT43" s="12"/>
      <c r="AU43" s="12"/>
      <c r="AV43" s="12"/>
      <c r="AW43" s="12"/>
      <c r="AX43" s="12"/>
      <c r="AY43" s="12"/>
      <c r="AZ43" s="12"/>
      <c r="BA43" s="12"/>
      <c r="BB43" s="12"/>
      <c r="BC43" s="12"/>
      <c r="BD43" s="12"/>
      <c r="BE43" s="13"/>
      <c r="BF43" s="11"/>
      <c r="BG43" s="12"/>
      <c r="BH43" s="12"/>
      <c r="BI43" s="12"/>
      <c r="BJ43" s="12"/>
      <c r="BK43" s="12"/>
      <c r="BL43" s="12"/>
      <c r="BM43" s="12"/>
      <c r="BN43" s="12"/>
      <c r="BO43" s="12"/>
      <c r="BP43" s="12"/>
      <c r="BQ43" s="12"/>
      <c r="BR43" s="12"/>
      <c r="BS43" s="12"/>
      <c r="BT43" s="12"/>
      <c r="BU43" s="12"/>
      <c r="BV43" s="12"/>
      <c r="BW43" s="12"/>
      <c r="BX43" s="13"/>
    </row>
    <row r="44" spans="1:76">
      <c r="A44" s="43"/>
      <c r="B44" s="164"/>
      <c r="C44" s="164"/>
      <c r="D44" s="164"/>
      <c r="E44" s="164"/>
      <c r="F44" s="164"/>
      <c r="G44" s="164"/>
      <c r="H44" s="164"/>
      <c r="I44" s="164"/>
      <c r="J44" s="164"/>
      <c r="K44" s="164"/>
      <c r="L44" s="164"/>
      <c r="M44" s="164"/>
      <c r="N44" s="164"/>
      <c r="O44" s="164"/>
      <c r="P44" s="164"/>
      <c r="Q44" s="164"/>
      <c r="R44" s="164"/>
      <c r="S44" s="44"/>
      <c r="T44" s="11"/>
      <c r="U44" s="12"/>
      <c r="V44" s="12"/>
      <c r="W44" s="12"/>
      <c r="X44" s="12"/>
      <c r="Y44" s="12"/>
      <c r="Z44" s="12"/>
      <c r="AA44" s="12"/>
      <c r="AB44" s="12"/>
      <c r="AC44" s="12"/>
      <c r="AD44" s="12"/>
      <c r="AE44" s="12"/>
      <c r="AF44" s="12"/>
      <c r="AG44" s="12"/>
      <c r="AH44" s="12"/>
      <c r="AI44" s="12"/>
      <c r="AJ44" s="12"/>
      <c r="AK44" s="12"/>
      <c r="AL44" s="13"/>
      <c r="AM44" s="11"/>
      <c r="AN44" s="12"/>
      <c r="AO44" s="12"/>
      <c r="AP44" s="12"/>
      <c r="AQ44" s="12"/>
      <c r="AR44" s="12"/>
      <c r="AS44" s="12"/>
      <c r="AT44" s="12"/>
      <c r="AU44" s="12"/>
      <c r="AV44" s="12"/>
      <c r="AW44" s="12"/>
      <c r="AX44" s="12"/>
      <c r="AY44" s="12"/>
      <c r="AZ44" s="12"/>
      <c r="BA44" s="12"/>
      <c r="BB44" s="12"/>
      <c r="BC44" s="12"/>
      <c r="BD44" s="12"/>
      <c r="BE44" s="13"/>
      <c r="BF44" s="11"/>
      <c r="BG44" s="12"/>
      <c r="BH44" s="12"/>
      <c r="BI44" s="12"/>
      <c r="BJ44" s="12"/>
      <c r="BK44" s="12"/>
      <c r="BL44" s="12"/>
      <c r="BM44" s="12"/>
      <c r="BN44" s="12"/>
      <c r="BO44" s="12"/>
      <c r="BP44" s="12"/>
      <c r="BQ44" s="12"/>
      <c r="BR44" s="12"/>
      <c r="BS44" s="12"/>
      <c r="BT44" s="12"/>
      <c r="BU44" s="12"/>
      <c r="BV44" s="12"/>
      <c r="BW44" s="12"/>
      <c r="BX44" s="13"/>
    </row>
    <row r="45" spans="1:76">
      <c r="A45" s="43"/>
      <c r="B45" s="164"/>
      <c r="C45" s="164"/>
      <c r="D45" s="164"/>
      <c r="E45" s="164"/>
      <c r="F45" s="164"/>
      <c r="G45" s="164"/>
      <c r="H45" s="164"/>
      <c r="I45" s="164"/>
      <c r="J45" s="164"/>
      <c r="K45" s="164"/>
      <c r="L45" s="164"/>
      <c r="M45" s="164"/>
      <c r="N45" s="164"/>
      <c r="O45" s="164"/>
      <c r="P45" s="164"/>
      <c r="Q45" s="164"/>
      <c r="R45" s="164"/>
      <c r="S45" s="44"/>
      <c r="T45" s="11"/>
      <c r="U45" s="12"/>
      <c r="V45" s="12"/>
      <c r="W45" s="12"/>
      <c r="X45" s="12"/>
      <c r="Y45" s="12"/>
      <c r="Z45" s="12"/>
      <c r="AA45" s="12"/>
      <c r="AB45" s="12"/>
      <c r="AC45" s="12"/>
      <c r="AD45" s="12"/>
      <c r="AE45" s="12"/>
      <c r="AF45" s="12"/>
      <c r="AG45" s="12"/>
      <c r="AH45" s="12"/>
      <c r="AI45" s="12"/>
      <c r="AJ45" s="12"/>
      <c r="AK45" s="12"/>
      <c r="AL45" s="13"/>
      <c r="AM45" s="11"/>
      <c r="AN45" s="12"/>
      <c r="AO45" s="12"/>
      <c r="AP45" s="12"/>
      <c r="AQ45" s="12"/>
      <c r="AR45" s="12"/>
      <c r="AS45" s="12"/>
      <c r="AT45" s="12"/>
      <c r="AU45" s="12"/>
      <c r="AV45" s="12"/>
      <c r="AW45" s="12"/>
      <c r="AX45" s="12"/>
      <c r="AY45" s="12"/>
      <c r="AZ45" s="12"/>
      <c r="BA45" s="12"/>
      <c r="BB45" s="12"/>
      <c r="BC45" s="12"/>
      <c r="BD45" s="12"/>
      <c r="BE45" s="13"/>
      <c r="BF45" s="11"/>
      <c r="BG45" s="12"/>
      <c r="BH45" s="12"/>
      <c r="BI45" s="12"/>
      <c r="BJ45" s="12"/>
      <c r="BK45" s="12"/>
      <c r="BL45" s="12"/>
      <c r="BM45" s="12"/>
      <c r="BN45" s="12"/>
      <c r="BO45" s="12"/>
      <c r="BP45" s="12"/>
      <c r="BQ45" s="12"/>
      <c r="BR45" s="12"/>
      <c r="BS45" s="12"/>
      <c r="BT45" s="12"/>
      <c r="BU45" s="12"/>
      <c r="BV45" s="12"/>
      <c r="BW45" s="12"/>
      <c r="BX45" s="13"/>
    </row>
    <row r="46" spans="1:76">
      <c r="A46" s="43"/>
      <c r="B46" s="164"/>
      <c r="C46" s="164"/>
      <c r="D46" s="164"/>
      <c r="E46" s="164"/>
      <c r="F46" s="164"/>
      <c r="G46" s="164"/>
      <c r="H46" s="164"/>
      <c r="I46" s="164"/>
      <c r="J46" s="164"/>
      <c r="K46" s="164"/>
      <c r="L46" s="164"/>
      <c r="M46" s="164"/>
      <c r="N46" s="164"/>
      <c r="O46" s="164"/>
      <c r="P46" s="164"/>
      <c r="Q46" s="164"/>
      <c r="R46" s="164"/>
      <c r="S46" s="44"/>
      <c r="T46" s="11"/>
      <c r="U46" s="12"/>
      <c r="V46" s="12"/>
      <c r="W46" s="12"/>
      <c r="X46" s="12"/>
      <c r="Y46" s="12"/>
      <c r="Z46" s="12"/>
      <c r="AA46" s="12"/>
      <c r="AB46" s="12"/>
      <c r="AC46" s="12"/>
      <c r="AD46" s="12"/>
      <c r="AE46" s="12"/>
      <c r="AF46" s="12"/>
      <c r="AG46" s="12"/>
      <c r="AH46" s="12"/>
      <c r="AI46" s="12"/>
      <c r="AJ46" s="12"/>
      <c r="AK46" s="12"/>
      <c r="AL46" s="13"/>
      <c r="AM46" s="11"/>
      <c r="AN46" s="12"/>
      <c r="AO46" s="12"/>
      <c r="AP46" s="12"/>
      <c r="AQ46" s="12"/>
      <c r="AR46" s="12"/>
      <c r="AS46" s="12"/>
      <c r="AT46" s="12"/>
      <c r="AU46" s="12"/>
      <c r="AV46" s="12"/>
      <c r="AW46" s="12"/>
      <c r="AX46" s="12"/>
      <c r="AY46" s="12"/>
      <c r="AZ46" s="12"/>
      <c r="BA46" s="12"/>
      <c r="BB46" s="12"/>
      <c r="BC46" s="12"/>
      <c r="BD46" s="12"/>
      <c r="BE46" s="13"/>
      <c r="BF46" s="11"/>
      <c r="BG46" s="12"/>
      <c r="BH46" s="12"/>
      <c r="BI46" s="12"/>
      <c r="BJ46" s="12"/>
      <c r="BK46" s="12"/>
      <c r="BL46" s="12"/>
      <c r="BM46" s="12"/>
      <c r="BN46" s="12"/>
      <c r="BO46" s="12"/>
      <c r="BP46" s="12"/>
      <c r="BQ46" s="12"/>
      <c r="BR46" s="12"/>
      <c r="BS46" s="12"/>
      <c r="BT46" s="12"/>
      <c r="BU46" s="12"/>
      <c r="BV46" s="12"/>
      <c r="BW46" s="12"/>
      <c r="BX46" s="13"/>
    </row>
    <row r="47" spans="1:76">
      <c r="A47" s="43"/>
      <c r="B47" s="164"/>
      <c r="C47" s="164"/>
      <c r="D47" s="164"/>
      <c r="E47" s="164"/>
      <c r="F47" s="164"/>
      <c r="G47" s="164"/>
      <c r="H47" s="164"/>
      <c r="I47" s="164"/>
      <c r="J47" s="164"/>
      <c r="K47" s="164"/>
      <c r="L47" s="164"/>
      <c r="M47" s="164"/>
      <c r="N47" s="164"/>
      <c r="O47" s="164"/>
      <c r="P47" s="164"/>
      <c r="Q47" s="164"/>
      <c r="R47" s="164"/>
      <c r="S47" s="44"/>
      <c r="T47" s="11"/>
      <c r="U47" s="12"/>
      <c r="V47" s="12"/>
      <c r="W47" s="12"/>
      <c r="X47" s="12"/>
      <c r="Y47" s="12"/>
      <c r="Z47" s="12"/>
      <c r="AA47" s="12"/>
      <c r="AB47" s="12"/>
      <c r="AC47" s="12"/>
      <c r="AD47" s="12"/>
      <c r="AE47" s="12"/>
      <c r="AF47" s="12"/>
      <c r="AG47" s="12"/>
      <c r="AH47" s="12"/>
      <c r="AI47" s="12"/>
      <c r="AJ47" s="12"/>
      <c r="AK47" s="12"/>
      <c r="AL47" s="13"/>
      <c r="AM47" s="11"/>
      <c r="AN47" s="12"/>
      <c r="AO47" s="12"/>
      <c r="AP47" s="12"/>
      <c r="AQ47" s="12"/>
      <c r="AR47" s="12"/>
      <c r="AS47" s="12"/>
      <c r="AT47" s="12"/>
      <c r="AU47" s="12"/>
      <c r="AV47" s="12"/>
      <c r="AW47" s="12"/>
      <c r="AX47" s="12"/>
      <c r="AY47" s="12"/>
      <c r="AZ47" s="12"/>
      <c r="BA47" s="12"/>
      <c r="BB47" s="12"/>
      <c r="BC47" s="12"/>
      <c r="BD47" s="12"/>
      <c r="BE47" s="13"/>
      <c r="BF47" s="11"/>
      <c r="BG47" s="12"/>
      <c r="BH47" s="12"/>
      <c r="BI47" s="12"/>
      <c r="BJ47" s="12"/>
      <c r="BK47" s="12"/>
      <c r="BL47" s="12"/>
      <c r="BM47" s="12"/>
      <c r="BN47" s="12"/>
      <c r="BO47" s="12"/>
      <c r="BP47" s="12"/>
      <c r="BQ47" s="12"/>
      <c r="BR47" s="12"/>
      <c r="BS47" s="12"/>
      <c r="BT47" s="12"/>
      <c r="BU47" s="12"/>
      <c r="BV47" s="12"/>
      <c r="BW47" s="12"/>
      <c r="BX47" s="13"/>
    </row>
    <row r="48" spans="1:76">
      <c r="A48" s="43"/>
      <c r="B48" s="164"/>
      <c r="C48" s="164"/>
      <c r="D48" s="164"/>
      <c r="E48" s="164"/>
      <c r="F48" s="164"/>
      <c r="G48" s="164"/>
      <c r="H48" s="164"/>
      <c r="I48" s="164"/>
      <c r="J48" s="164"/>
      <c r="K48" s="164"/>
      <c r="L48" s="164"/>
      <c r="M48" s="164"/>
      <c r="N48" s="164"/>
      <c r="O48" s="164"/>
      <c r="P48" s="164"/>
      <c r="Q48" s="164"/>
      <c r="R48" s="164"/>
      <c r="S48" s="44"/>
      <c r="T48" s="11"/>
      <c r="U48" s="12"/>
      <c r="V48" s="12"/>
      <c r="W48" s="12"/>
      <c r="X48" s="12"/>
      <c r="Y48" s="12"/>
      <c r="Z48" s="12"/>
      <c r="AA48" s="12"/>
      <c r="AB48" s="12"/>
      <c r="AC48" s="12"/>
      <c r="AD48" s="12"/>
      <c r="AE48" s="12"/>
      <c r="AF48" s="12"/>
      <c r="AG48" s="12"/>
      <c r="AH48" s="12"/>
      <c r="AI48" s="12"/>
      <c r="AJ48" s="12"/>
      <c r="AK48" s="12"/>
      <c r="AL48" s="13"/>
      <c r="AM48" s="11"/>
      <c r="AN48" s="12"/>
      <c r="AO48" s="12"/>
      <c r="AP48" s="12"/>
      <c r="AQ48" s="12"/>
      <c r="AR48" s="12"/>
      <c r="AS48" s="12"/>
      <c r="AT48" s="12"/>
      <c r="AU48" s="12"/>
      <c r="AV48" s="12"/>
      <c r="AW48" s="12"/>
      <c r="AX48" s="12"/>
      <c r="AY48" s="12"/>
      <c r="AZ48" s="12"/>
      <c r="BA48" s="12"/>
      <c r="BB48" s="12"/>
      <c r="BC48" s="12"/>
      <c r="BD48" s="12"/>
      <c r="BE48" s="13"/>
      <c r="BF48" s="11"/>
      <c r="BG48" s="12"/>
      <c r="BH48" s="12"/>
      <c r="BI48" s="12"/>
      <c r="BJ48" s="12"/>
      <c r="BK48" s="12"/>
      <c r="BL48" s="12"/>
      <c r="BM48" s="12"/>
      <c r="BN48" s="12"/>
      <c r="BO48" s="12"/>
      <c r="BP48" s="12"/>
      <c r="BQ48" s="12"/>
      <c r="BR48" s="12"/>
      <c r="BS48" s="12"/>
      <c r="BT48" s="12"/>
      <c r="BU48" s="12"/>
      <c r="BV48" s="12"/>
      <c r="BW48" s="12"/>
      <c r="BX48" s="13"/>
    </row>
    <row r="49" spans="1:76">
      <c r="A49" s="43"/>
      <c r="B49" s="164"/>
      <c r="C49" s="164"/>
      <c r="D49" s="164"/>
      <c r="E49" s="164"/>
      <c r="F49" s="164"/>
      <c r="G49" s="164"/>
      <c r="H49" s="164"/>
      <c r="I49" s="164"/>
      <c r="J49" s="164"/>
      <c r="K49" s="164"/>
      <c r="L49" s="164"/>
      <c r="M49" s="164"/>
      <c r="N49" s="164"/>
      <c r="O49" s="164"/>
      <c r="P49" s="164"/>
      <c r="Q49" s="164"/>
      <c r="R49" s="164"/>
      <c r="S49" s="44"/>
      <c r="T49" s="11"/>
      <c r="U49" s="12"/>
      <c r="V49" s="12"/>
      <c r="W49" s="12"/>
      <c r="X49" s="12"/>
      <c r="Y49" s="12"/>
      <c r="Z49" s="12"/>
      <c r="AA49" s="12"/>
      <c r="AB49" s="12"/>
      <c r="AC49" s="12"/>
      <c r="AD49" s="12"/>
      <c r="AE49" s="12"/>
      <c r="AF49" s="12"/>
      <c r="AG49" s="12"/>
      <c r="AH49" s="12"/>
      <c r="AI49" s="12"/>
      <c r="AJ49" s="12"/>
      <c r="AK49" s="12"/>
      <c r="AL49" s="13"/>
      <c r="AM49" s="11"/>
      <c r="AN49" s="12"/>
      <c r="AO49" s="12"/>
      <c r="AP49" s="12"/>
      <c r="AQ49" s="12"/>
      <c r="AR49" s="12"/>
      <c r="AS49" s="12"/>
      <c r="AT49" s="12"/>
      <c r="AU49" s="12"/>
      <c r="AV49" s="12"/>
      <c r="AW49" s="12"/>
      <c r="AX49" s="12"/>
      <c r="AY49" s="12"/>
      <c r="AZ49" s="12"/>
      <c r="BA49" s="12"/>
      <c r="BB49" s="12"/>
      <c r="BC49" s="12"/>
      <c r="BD49" s="12"/>
      <c r="BE49" s="13"/>
      <c r="BF49" s="11"/>
      <c r="BG49" s="12"/>
      <c r="BH49" s="12"/>
      <c r="BI49" s="12"/>
      <c r="BJ49" s="12"/>
      <c r="BK49" s="12"/>
      <c r="BL49" s="12"/>
      <c r="BM49" s="12"/>
      <c r="BN49" s="12"/>
      <c r="BO49" s="12"/>
      <c r="BP49" s="12"/>
      <c r="BQ49" s="12"/>
      <c r="BR49" s="12"/>
      <c r="BS49" s="12"/>
      <c r="BT49" s="12"/>
      <c r="BU49" s="12"/>
      <c r="BV49" s="12"/>
      <c r="BW49" s="12"/>
      <c r="BX49" s="13"/>
    </row>
    <row r="50" spans="1:76">
      <c r="A50" s="43"/>
      <c r="B50" s="164"/>
      <c r="C50" s="164"/>
      <c r="D50" s="164"/>
      <c r="E50" s="164"/>
      <c r="F50" s="164"/>
      <c r="G50" s="164"/>
      <c r="H50" s="164"/>
      <c r="I50" s="164"/>
      <c r="J50" s="164"/>
      <c r="K50" s="164"/>
      <c r="L50" s="164"/>
      <c r="M50" s="164"/>
      <c r="N50" s="164"/>
      <c r="O50" s="164"/>
      <c r="P50" s="164"/>
      <c r="Q50" s="164"/>
      <c r="R50" s="164"/>
      <c r="S50" s="44"/>
      <c r="T50" s="11"/>
      <c r="U50" s="12"/>
      <c r="V50" s="12"/>
      <c r="W50" s="12"/>
      <c r="X50" s="12"/>
      <c r="Y50" s="12"/>
      <c r="Z50" s="12"/>
      <c r="AA50" s="12"/>
      <c r="AB50" s="12"/>
      <c r="AC50" s="12"/>
      <c r="AD50" s="12"/>
      <c r="AE50" s="12"/>
      <c r="AF50" s="12"/>
      <c r="AG50" s="12"/>
      <c r="AH50" s="12"/>
      <c r="AI50" s="12"/>
      <c r="AJ50" s="12"/>
      <c r="AK50" s="12"/>
      <c r="AL50" s="13"/>
      <c r="AM50" s="11"/>
      <c r="AN50" s="12"/>
      <c r="AO50" s="12"/>
      <c r="AP50" s="12"/>
      <c r="AQ50" s="12"/>
      <c r="AR50" s="12"/>
      <c r="AS50" s="12"/>
      <c r="AT50" s="12"/>
      <c r="AU50" s="12"/>
      <c r="AV50" s="12"/>
      <c r="AW50" s="12"/>
      <c r="AX50" s="12"/>
      <c r="AY50" s="12"/>
      <c r="AZ50" s="12"/>
      <c r="BA50" s="12"/>
      <c r="BB50" s="12"/>
      <c r="BC50" s="12"/>
      <c r="BD50" s="12"/>
      <c r="BE50" s="13"/>
      <c r="BF50" s="11"/>
      <c r="BG50" s="12"/>
      <c r="BH50" s="12"/>
      <c r="BI50" s="12"/>
      <c r="BJ50" s="12"/>
      <c r="BK50" s="12"/>
      <c r="BL50" s="12"/>
      <c r="BM50" s="12"/>
      <c r="BN50" s="12"/>
      <c r="BO50" s="12"/>
      <c r="BP50" s="12"/>
      <c r="BQ50" s="12"/>
      <c r="BR50" s="12"/>
      <c r="BS50" s="12"/>
      <c r="BT50" s="12"/>
      <c r="BU50" s="12"/>
      <c r="BV50" s="12"/>
      <c r="BW50" s="12"/>
      <c r="BX50" s="13"/>
    </row>
    <row r="51" spans="1:76">
      <c r="A51" s="43"/>
      <c r="B51" s="164"/>
      <c r="C51" s="164"/>
      <c r="D51" s="164"/>
      <c r="E51" s="164"/>
      <c r="F51" s="164"/>
      <c r="G51" s="164"/>
      <c r="H51" s="164"/>
      <c r="I51" s="164"/>
      <c r="J51" s="164"/>
      <c r="K51" s="164"/>
      <c r="L51" s="164"/>
      <c r="M51" s="164"/>
      <c r="N51" s="164"/>
      <c r="O51" s="164"/>
      <c r="P51" s="164"/>
      <c r="Q51" s="164"/>
      <c r="R51" s="164"/>
      <c r="S51" s="44"/>
      <c r="T51" s="11"/>
      <c r="U51" s="12"/>
      <c r="V51" s="12"/>
      <c r="W51" s="12"/>
      <c r="X51" s="12"/>
      <c r="Y51" s="12"/>
      <c r="Z51" s="12"/>
      <c r="AA51" s="12"/>
      <c r="AB51" s="12"/>
      <c r="AC51" s="12"/>
      <c r="AD51" s="12"/>
      <c r="AE51" s="12"/>
      <c r="AF51" s="12"/>
      <c r="AG51" s="12"/>
      <c r="AH51" s="12"/>
      <c r="AI51" s="12"/>
      <c r="AJ51" s="12"/>
      <c r="AK51" s="12"/>
      <c r="AL51" s="13"/>
      <c r="AM51" s="11"/>
      <c r="AN51" s="12"/>
      <c r="AO51" s="12"/>
      <c r="AP51" s="12"/>
      <c r="AQ51" s="12"/>
      <c r="AR51" s="12"/>
      <c r="AS51" s="12"/>
      <c r="AT51" s="12"/>
      <c r="AU51" s="12"/>
      <c r="AV51" s="12"/>
      <c r="AW51" s="12"/>
      <c r="AX51" s="12"/>
      <c r="AY51" s="12"/>
      <c r="AZ51" s="12"/>
      <c r="BA51" s="12"/>
      <c r="BB51" s="12"/>
      <c r="BC51" s="12"/>
      <c r="BD51" s="12"/>
      <c r="BE51" s="13"/>
      <c r="BF51" s="11"/>
      <c r="BG51" s="12"/>
      <c r="BH51" s="12"/>
      <c r="BI51" s="12"/>
      <c r="BJ51" s="12"/>
      <c r="BK51" s="12"/>
      <c r="BL51" s="12"/>
      <c r="BM51" s="12"/>
      <c r="BN51" s="12"/>
      <c r="BO51" s="12"/>
      <c r="BP51" s="12"/>
      <c r="BQ51" s="12"/>
      <c r="BR51" s="12"/>
      <c r="BS51" s="12"/>
      <c r="BT51" s="12"/>
      <c r="BU51" s="12"/>
      <c r="BV51" s="12"/>
      <c r="BW51" s="12"/>
      <c r="BX51" s="13"/>
    </row>
    <row r="52" spans="1:76">
      <c r="A52" s="43"/>
      <c r="B52" s="164"/>
      <c r="C52" s="164"/>
      <c r="D52" s="164"/>
      <c r="E52" s="164"/>
      <c r="F52" s="164"/>
      <c r="G52" s="164"/>
      <c r="H52" s="164"/>
      <c r="I52" s="164"/>
      <c r="J52" s="164"/>
      <c r="K52" s="164"/>
      <c r="L52" s="164"/>
      <c r="M52" s="164"/>
      <c r="N52" s="164"/>
      <c r="O52" s="164"/>
      <c r="P52" s="164"/>
      <c r="Q52" s="164"/>
      <c r="R52" s="164"/>
      <c r="S52" s="44"/>
      <c r="T52" s="11"/>
      <c r="U52" s="12"/>
      <c r="V52" s="12"/>
      <c r="W52" s="12"/>
      <c r="X52" s="12"/>
      <c r="Y52" s="12"/>
      <c r="Z52" s="12"/>
      <c r="AA52" s="12"/>
      <c r="AB52" s="12"/>
      <c r="AC52" s="12"/>
      <c r="AD52" s="12"/>
      <c r="AE52" s="12"/>
      <c r="AF52" s="12"/>
      <c r="AG52" s="12"/>
      <c r="AH52" s="12"/>
      <c r="AI52" s="12"/>
      <c r="AJ52" s="12"/>
      <c r="AK52" s="12"/>
      <c r="AL52" s="13"/>
      <c r="AM52" s="11"/>
      <c r="AN52" s="12"/>
      <c r="AO52" s="12"/>
      <c r="AP52" s="12"/>
      <c r="AQ52" s="12"/>
      <c r="AR52" s="12"/>
      <c r="AS52" s="12"/>
      <c r="AT52" s="12"/>
      <c r="AU52" s="12"/>
      <c r="AV52" s="12"/>
      <c r="AW52" s="12"/>
      <c r="AX52" s="12"/>
      <c r="AY52" s="12"/>
      <c r="AZ52" s="12"/>
      <c r="BA52" s="12"/>
      <c r="BB52" s="12"/>
      <c r="BC52" s="12"/>
      <c r="BD52" s="12"/>
      <c r="BE52" s="13"/>
      <c r="BF52" s="11"/>
      <c r="BG52" s="12"/>
      <c r="BH52" s="12"/>
      <c r="BI52" s="12"/>
      <c r="BJ52" s="12"/>
      <c r="BK52" s="12"/>
      <c r="BL52" s="12"/>
      <c r="BM52" s="12"/>
      <c r="BN52" s="12"/>
      <c r="BO52" s="12"/>
      <c r="BP52" s="12"/>
      <c r="BQ52" s="12"/>
      <c r="BR52" s="12"/>
      <c r="BS52" s="12"/>
      <c r="BT52" s="12"/>
      <c r="BU52" s="12"/>
      <c r="BV52" s="12"/>
      <c r="BW52" s="12"/>
      <c r="BX52" s="13"/>
    </row>
    <row r="53" spans="1:76">
      <c r="A53" s="43"/>
      <c r="B53" s="164"/>
      <c r="C53" s="164"/>
      <c r="D53" s="164"/>
      <c r="E53" s="164"/>
      <c r="F53" s="164"/>
      <c r="G53" s="164"/>
      <c r="H53" s="164"/>
      <c r="I53" s="164"/>
      <c r="J53" s="164"/>
      <c r="K53" s="164"/>
      <c r="L53" s="164"/>
      <c r="M53" s="164"/>
      <c r="N53" s="164"/>
      <c r="O53" s="164"/>
      <c r="P53" s="164"/>
      <c r="Q53" s="164"/>
      <c r="R53" s="164"/>
      <c r="S53" s="44"/>
      <c r="T53" s="11"/>
      <c r="U53" s="12"/>
      <c r="V53" s="12"/>
      <c r="W53" s="12"/>
      <c r="X53" s="12"/>
      <c r="Y53" s="12"/>
      <c r="Z53" s="12"/>
      <c r="AA53" s="12"/>
      <c r="AB53" s="12"/>
      <c r="AC53" s="12"/>
      <c r="AD53" s="12"/>
      <c r="AE53" s="12"/>
      <c r="AF53" s="12"/>
      <c r="AG53" s="12"/>
      <c r="AH53" s="12"/>
      <c r="AI53" s="12"/>
      <c r="AJ53" s="12"/>
      <c r="AK53" s="12"/>
      <c r="AL53" s="13"/>
      <c r="AM53" s="11"/>
      <c r="AN53" s="12"/>
      <c r="AO53" s="12"/>
      <c r="AP53" s="12"/>
      <c r="AQ53" s="12"/>
      <c r="AR53" s="12"/>
      <c r="AS53" s="12"/>
      <c r="AT53" s="12"/>
      <c r="AU53" s="12"/>
      <c r="AV53" s="12"/>
      <c r="AW53" s="12"/>
      <c r="AX53" s="12"/>
      <c r="AY53" s="12"/>
      <c r="AZ53" s="12"/>
      <c r="BA53" s="12"/>
      <c r="BB53" s="12"/>
      <c r="BC53" s="12"/>
      <c r="BD53" s="12"/>
      <c r="BE53" s="13"/>
      <c r="BF53" s="11"/>
      <c r="BG53" s="12"/>
      <c r="BH53" s="12"/>
      <c r="BI53" s="12"/>
      <c r="BJ53" s="12"/>
      <c r="BK53" s="12"/>
      <c r="BL53" s="12"/>
      <c r="BM53" s="12"/>
      <c r="BN53" s="12"/>
      <c r="BO53" s="12"/>
      <c r="BP53" s="12"/>
      <c r="BQ53" s="12"/>
      <c r="BR53" s="12"/>
      <c r="BS53" s="12"/>
      <c r="BT53" s="12"/>
      <c r="BU53" s="12"/>
      <c r="BV53" s="12"/>
      <c r="BW53" s="12"/>
      <c r="BX53" s="13"/>
    </row>
    <row r="54" spans="1:76">
      <c r="A54" s="43"/>
      <c r="B54" s="164"/>
      <c r="C54" s="164"/>
      <c r="D54" s="164"/>
      <c r="E54" s="164"/>
      <c r="F54" s="164"/>
      <c r="G54" s="164"/>
      <c r="H54" s="164"/>
      <c r="I54" s="164"/>
      <c r="J54" s="164"/>
      <c r="K54" s="164"/>
      <c r="L54" s="164"/>
      <c r="M54" s="164"/>
      <c r="N54" s="164"/>
      <c r="O54" s="164"/>
      <c r="P54" s="164"/>
      <c r="Q54" s="164"/>
      <c r="R54" s="164"/>
      <c r="S54" s="44"/>
      <c r="T54" s="11"/>
      <c r="U54" s="12"/>
      <c r="V54" s="12"/>
      <c r="W54" s="12"/>
      <c r="X54" s="12"/>
      <c r="Y54" s="12"/>
      <c r="Z54" s="12"/>
      <c r="AA54" s="12"/>
      <c r="AB54" s="12"/>
      <c r="AC54" s="12"/>
      <c r="AD54" s="12"/>
      <c r="AE54" s="12"/>
      <c r="AF54" s="12"/>
      <c r="AG54" s="12"/>
      <c r="AH54" s="12"/>
      <c r="AI54" s="12"/>
      <c r="AJ54" s="12"/>
      <c r="AK54" s="12"/>
      <c r="AL54" s="13"/>
      <c r="AM54" s="11"/>
      <c r="AN54" s="12"/>
      <c r="AO54" s="12"/>
      <c r="AP54" s="12"/>
      <c r="AQ54" s="12"/>
      <c r="AR54" s="12"/>
      <c r="AS54" s="12"/>
      <c r="AT54" s="12"/>
      <c r="AU54" s="12"/>
      <c r="AV54" s="12"/>
      <c r="AW54" s="12"/>
      <c r="AX54" s="12"/>
      <c r="AY54" s="12"/>
      <c r="AZ54" s="12"/>
      <c r="BA54" s="12"/>
      <c r="BB54" s="12"/>
      <c r="BC54" s="12"/>
      <c r="BD54" s="12"/>
      <c r="BE54" s="13"/>
      <c r="BF54" s="11"/>
      <c r="BG54" s="12"/>
      <c r="BH54" s="12"/>
      <c r="BI54" s="12"/>
      <c r="BJ54" s="12"/>
      <c r="BK54" s="12"/>
      <c r="BL54" s="12"/>
      <c r="BM54" s="12"/>
      <c r="BN54" s="12"/>
      <c r="BO54" s="12"/>
      <c r="BP54" s="12"/>
      <c r="BQ54" s="12"/>
      <c r="BR54" s="12"/>
      <c r="BS54" s="12"/>
      <c r="BT54" s="12"/>
      <c r="BU54" s="12"/>
      <c r="BV54" s="12"/>
      <c r="BW54" s="12"/>
      <c r="BX54" s="13"/>
    </row>
    <row r="55" spans="1:76">
      <c r="A55" s="43"/>
      <c r="B55" s="164"/>
      <c r="C55" s="164"/>
      <c r="D55" s="164"/>
      <c r="E55" s="164"/>
      <c r="F55" s="164"/>
      <c r="G55" s="164"/>
      <c r="H55" s="164"/>
      <c r="I55" s="164"/>
      <c r="J55" s="164"/>
      <c r="K55" s="164"/>
      <c r="L55" s="164"/>
      <c r="M55" s="164"/>
      <c r="N55" s="164"/>
      <c r="O55" s="164"/>
      <c r="P55" s="164"/>
      <c r="Q55" s="164"/>
      <c r="R55" s="164"/>
      <c r="S55" s="44"/>
      <c r="T55" s="11"/>
      <c r="U55" s="12"/>
      <c r="V55" s="12"/>
      <c r="W55" s="12"/>
      <c r="X55" s="12"/>
      <c r="Y55" s="12"/>
      <c r="Z55" s="12"/>
      <c r="AA55" s="12"/>
      <c r="AB55" s="12"/>
      <c r="AC55" s="12"/>
      <c r="AD55" s="12"/>
      <c r="AE55" s="12"/>
      <c r="AF55" s="12"/>
      <c r="AG55" s="12"/>
      <c r="AH55" s="12"/>
      <c r="AI55" s="12"/>
      <c r="AJ55" s="12"/>
      <c r="AK55" s="12"/>
      <c r="AL55" s="13"/>
      <c r="AM55" s="11"/>
      <c r="AN55" s="12"/>
      <c r="AO55" s="12"/>
      <c r="AP55" s="12"/>
      <c r="AQ55" s="12"/>
      <c r="AR55" s="12"/>
      <c r="AS55" s="12"/>
      <c r="AT55" s="12"/>
      <c r="AU55" s="12"/>
      <c r="AV55" s="12"/>
      <c r="AW55" s="12"/>
      <c r="AX55" s="12"/>
      <c r="AY55" s="12"/>
      <c r="AZ55" s="12"/>
      <c r="BA55" s="12"/>
      <c r="BB55" s="12"/>
      <c r="BC55" s="12"/>
      <c r="BD55" s="12"/>
      <c r="BE55" s="13"/>
      <c r="BF55" s="11"/>
      <c r="BG55" s="12"/>
      <c r="BH55" s="12"/>
      <c r="BI55" s="12"/>
      <c r="BJ55" s="12"/>
      <c r="BK55" s="12"/>
      <c r="BL55" s="12"/>
      <c r="BM55" s="12"/>
      <c r="BN55" s="12"/>
      <c r="BO55" s="12"/>
      <c r="BP55" s="12"/>
      <c r="BQ55" s="12"/>
      <c r="BR55" s="12"/>
      <c r="BS55" s="12"/>
      <c r="BT55" s="12"/>
      <c r="BU55" s="12"/>
      <c r="BV55" s="12"/>
      <c r="BW55" s="12"/>
      <c r="BX55" s="13"/>
    </row>
    <row r="56" spans="1:76">
      <c r="A56" s="43"/>
      <c r="B56" s="164"/>
      <c r="C56" s="164"/>
      <c r="D56" s="164"/>
      <c r="E56" s="164"/>
      <c r="F56" s="164"/>
      <c r="G56" s="164"/>
      <c r="H56" s="164"/>
      <c r="I56" s="164"/>
      <c r="J56" s="164"/>
      <c r="K56" s="164"/>
      <c r="L56" s="164"/>
      <c r="M56" s="164"/>
      <c r="N56" s="164"/>
      <c r="O56" s="164"/>
      <c r="P56" s="164"/>
      <c r="Q56" s="164"/>
      <c r="R56" s="164"/>
      <c r="S56" s="44"/>
      <c r="T56" s="11"/>
      <c r="U56" s="12"/>
      <c r="V56" s="12"/>
      <c r="W56" s="12"/>
      <c r="X56" s="12"/>
      <c r="Y56" s="12"/>
      <c r="Z56" s="12"/>
      <c r="AA56" s="12"/>
      <c r="AB56" s="12"/>
      <c r="AC56" s="12"/>
      <c r="AD56" s="12"/>
      <c r="AE56" s="12"/>
      <c r="AF56" s="12"/>
      <c r="AG56" s="12"/>
      <c r="AH56" s="12"/>
      <c r="AI56" s="12"/>
      <c r="AJ56" s="12"/>
      <c r="AK56" s="12"/>
      <c r="AL56" s="13"/>
      <c r="AM56" s="11"/>
      <c r="AN56" s="12"/>
      <c r="AO56" s="12"/>
      <c r="AP56" s="12"/>
      <c r="AQ56" s="12"/>
      <c r="AR56" s="12"/>
      <c r="AS56" s="12"/>
      <c r="AT56" s="12"/>
      <c r="AU56" s="12"/>
      <c r="AV56" s="12"/>
      <c r="AW56" s="12"/>
      <c r="AX56" s="12"/>
      <c r="AY56" s="12"/>
      <c r="AZ56" s="12"/>
      <c r="BA56" s="12"/>
      <c r="BB56" s="12"/>
      <c r="BC56" s="12"/>
      <c r="BD56" s="12"/>
      <c r="BE56" s="13"/>
      <c r="BF56" s="11"/>
      <c r="BG56" s="12"/>
      <c r="BH56" s="12"/>
      <c r="BI56" s="12"/>
      <c r="BJ56" s="12"/>
      <c r="BK56" s="12"/>
      <c r="BL56" s="12"/>
      <c r="BM56" s="12"/>
      <c r="BN56" s="12"/>
      <c r="BO56" s="12"/>
      <c r="BP56" s="12"/>
      <c r="BQ56" s="12"/>
      <c r="BR56" s="12"/>
      <c r="BS56" s="12"/>
      <c r="BT56" s="12"/>
      <c r="BU56" s="12"/>
      <c r="BV56" s="12"/>
      <c r="BW56" s="12"/>
      <c r="BX56" s="13"/>
    </row>
    <row r="57" spans="1:76">
      <c r="A57" s="43"/>
      <c r="B57" s="164"/>
      <c r="C57" s="164"/>
      <c r="D57" s="164"/>
      <c r="E57" s="164"/>
      <c r="F57" s="164"/>
      <c r="G57" s="164"/>
      <c r="H57" s="164"/>
      <c r="I57" s="164"/>
      <c r="J57" s="164"/>
      <c r="K57" s="164"/>
      <c r="L57" s="164"/>
      <c r="M57" s="164"/>
      <c r="N57" s="164"/>
      <c r="O57" s="164"/>
      <c r="P57" s="164"/>
      <c r="Q57" s="164"/>
      <c r="R57" s="164"/>
      <c r="S57" s="44"/>
      <c r="T57" s="11"/>
      <c r="U57" s="12"/>
      <c r="V57" s="12"/>
      <c r="W57" s="12"/>
      <c r="X57" s="12"/>
      <c r="Y57" s="12"/>
      <c r="Z57" s="12"/>
      <c r="AA57" s="12"/>
      <c r="AB57" s="12"/>
      <c r="AC57" s="12"/>
      <c r="AD57" s="12"/>
      <c r="AE57" s="12"/>
      <c r="AF57" s="12"/>
      <c r="AG57" s="12"/>
      <c r="AH57" s="12"/>
      <c r="AI57" s="12"/>
      <c r="AJ57" s="12"/>
      <c r="AK57" s="12"/>
      <c r="AL57" s="13"/>
      <c r="AM57" s="11"/>
      <c r="AN57" s="12"/>
      <c r="AO57" s="12"/>
      <c r="AP57" s="12"/>
      <c r="AQ57" s="12"/>
      <c r="AR57" s="12"/>
      <c r="AS57" s="12"/>
      <c r="AT57" s="12"/>
      <c r="AU57" s="12"/>
      <c r="AV57" s="12"/>
      <c r="AW57" s="12"/>
      <c r="AX57" s="12"/>
      <c r="AY57" s="12"/>
      <c r="AZ57" s="12"/>
      <c r="BA57" s="12"/>
      <c r="BB57" s="12"/>
      <c r="BC57" s="12"/>
      <c r="BD57" s="12"/>
      <c r="BE57" s="13"/>
      <c r="BF57" s="11"/>
      <c r="BG57" s="12"/>
      <c r="BH57" s="12"/>
      <c r="BI57" s="12"/>
      <c r="BJ57" s="12"/>
      <c r="BK57" s="12"/>
      <c r="BL57" s="12"/>
      <c r="BM57" s="12"/>
      <c r="BN57" s="12"/>
      <c r="BO57" s="12"/>
      <c r="BP57" s="12"/>
      <c r="BQ57" s="12"/>
      <c r="BR57" s="12"/>
      <c r="BS57" s="12"/>
      <c r="BT57" s="12"/>
      <c r="BU57" s="12"/>
      <c r="BV57" s="12"/>
      <c r="BW57" s="12"/>
      <c r="BX57" s="13"/>
    </row>
    <row r="58" spans="1:76">
      <c r="A58" s="43"/>
      <c r="B58" s="164"/>
      <c r="C58" s="164"/>
      <c r="D58" s="164"/>
      <c r="E58" s="164"/>
      <c r="F58" s="164"/>
      <c r="G58" s="164"/>
      <c r="H58" s="164"/>
      <c r="I58" s="164"/>
      <c r="J58" s="164"/>
      <c r="K58" s="164"/>
      <c r="L58" s="164"/>
      <c r="M58" s="164"/>
      <c r="N58" s="164"/>
      <c r="O58" s="164"/>
      <c r="P58" s="164"/>
      <c r="Q58" s="164"/>
      <c r="R58" s="164"/>
      <c r="S58" s="44"/>
      <c r="T58" s="11"/>
      <c r="U58" s="12"/>
      <c r="V58" s="12"/>
      <c r="W58" s="12"/>
      <c r="X58" s="12"/>
      <c r="Y58" s="12"/>
      <c r="Z58" s="12"/>
      <c r="AA58" s="12"/>
      <c r="AB58" s="12"/>
      <c r="AC58" s="12"/>
      <c r="AD58" s="12"/>
      <c r="AE58" s="12"/>
      <c r="AF58" s="12"/>
      <c r="AG58" s="12"/>
      <c r="AH58" s="12"/>
      <c r="AI58" s="12"/>
      <c r="AJ58" s="12"/>
      <c r="AK58" s="12"/>
      <c r="AL58" s="13"/>
      <c r="AM58" s="11"/>
      <c r="AN58" s="12"/>
      <c r="AO58" s="12"/>
      <c r="AP58" s="12"/>
      <c r="AQ58" s="12"/>
      <c r="AR58" s="12"/>
      <c r="AS58" s="12"/>
      <c r="AT58" s="12"/>
      <c r="AU58" s="12"/>
      <c r="AV58" s="12"/>
      <c r="AW58" s="12"/>
      <c r="AX58" s="12"/>
      <c r="AY58" s="12"/>
      <c r="AZ58" s="12"/>
      <c r="BA58" s="12"/>
      <c r="BB58" s="12"/>
      <c r="BC58" s="12"/>
      <c r="BD58" s="12"/>
      <c r="BE58" s="13"/>
      <c r="BF58" s="11"/>
      <c r="BG58" s="12"/>
      <c r="BH58" s="12"/>
      <c r="BI58" s="12"/>
      <c r="BJ58" s="12"/>
      <c r="BK58" s="12"/>
      <c r="BL58" s="12"/>
      <c r="BM58" s="12"/>
      <c r="BN58" s="12"/>
      <c r="BO58" s="12"/>
      <c r="BP58" s="12"/>
      <c r="BQ58" s="12"/>
      <c r="BR58" s="12"/>
      <c r="BS58" s="12"/>
      <c r="BT58" s="12"/>
      <c r="BU58" s="12"/>
      <c r="BV58" s="12"/>
      <c r="BW58" s="12"/>
      <c r="BX58" s="13"/>
    </row>
    <row r="59" spans="1:76">
      <c r="A59" s="43"/>
      <c r="B59" s="164"/>
      <c r="C59" s="164"/>
      <c r="D59" s="164"/>
      <c r="E59" s="164"/>
      <c r="F59" s="164"/>
      <c r="G59" s="164"/>
      <c r="H59" s="164"/>
      <c r="I59" s="164"/>
      <c r="J59" s="164"/>
      <c r="K59" s="164"/>
      <c r="L59" s="164"/>
      <c r="M59" s="164"/>
      <c r="N59" s="164"/>
      <c r="O59" s="164"/>
      <c r="P59" s="164"/>
      <c r="Q59" s="164"/>
      <c r="R59" s="164"/>
      <c r="S59" s="44"/>
      <c r="T59" s="11"/>
      <c r="U59" s="12"/>
      <c r="V59" s="12"/>
      <c r="W59" s="12"/>
      <c r="X59" s="12"/>
      <c r="Y59" s="12"/>
      <c r="Z59" s="12"/>
      <c r="AA59" s="12"/>
      <c r="AB59" s="12"/>
      <c r="AC59" s="12"/>
      <c r="AD59" s="12"/>
      <c r="AE59" s="12"/>
      <c r="AF59" s="12"/>
      <c r="AG59" s="12"/>
      <c r="AH59" s="12"/>
      <c r="AI59" s="12"/>
      <c r="AJ59" s="12"/>
      <c r="AK59" s="12"/>
      <c r="AL59" s="13"/>
      <c r="AM59" s="11"/>
      <c r="AN59" s="12"/>
      <c r="AO59" s="12"/>
      <c r="AP59" s="12"/>
      <c r="AQ59" s="12"/>
      <c r="AR59" s="12"/>
      <c r="AS59" s="12"/>
      <c r="AT59" s="12"/>
      <c r="AU59" s="12"/>
      <c r="AV59" s="12"/>
      <c r="AW59" s="12"/>
      <c r="AX59" s="12"/>
      <c r="AY59" s="12"/>
      <c r="AZ59" s="12"/>
      <c r="BA59" s="12"/>
      <c r="BB59" s="12"/>
      <c r="BC59" s="12"/>
      <c r="BD59" s="12"/>
      <c r="BE59" s="13"/>
      <c r="BF59" s="11"/>
      <c r="BG59" s="12"/>
      <c r="BH59" s="12"/>
      <c r="BI59" s="12"/>
      <c r="BJ59" s="12"/>
      <c r="BK59" s="12"/>
      <c r="BL59" s="12"/>
      <c r="BM59" s="12"/>
      <c r="BN59" s="12"/>
      <c r="BO59" s="12"/>
      <c r="BP59" s="12"/>
      <c r="BQ59" s="12"/>
      <c r="BR59" s="12"/>
      <c r="BS59" s="12"/>
      <c r="BT59" s="12"/>
      <c r="BU59" s="12"/>
      <c r="BV59" s="12"/>
      <c r="BW59" s="12"/>
      <c r="BX59" s="13"/>
    </row>
    <row r="60" spans="1:76">
      <c r="A60" s="43"/>
      <c r="B60" s="164"/>
      <c r="C60" s="164"/>
      <c r="D60" s="164"/>
      <c r="E60" s="164"/>
      <c r="F60" s="164"/>
      <c r="G60" s="164"/>
      <c r="H60" s="164"/>
      <c r="I60" s="164"/>
      <c r="J60" s="164"/>
      <c r="K60" s="164"/>
      <c r="L60" s="164"/>
      <c r="M60" s="164"/>
      <c r="N60" s="164"/>
      <c r="O60" s="164"/>
      <c r="P60" s="164"/>
      <c r="Q60" s="164"/>
      <c r="R60" s="164"/>
      <c r="S60" s="44"/>
      <c r="T60" s="11"/>
      <c r="U60" s="12"/>
      <c r="V60" s="12"/>
      <c r="W60" s="12"/>
      <c r="X60" s="12"/>
      <c r="Y60" s="12"/>
      <c r="Z60" s="12"/>
      <c r="AA60" s="12"/>
      <c r="AB60" s="12"/>
      <c r="AC60" s="12"/>
      <c r="AD60" s="12"/>
      <c r="AE60" s="12"/>
      <c r="AF60" s="12"/>
      <c r="AG60" s="12"/>
      <c r="AH60" s="12"/>
      <c r="AI60" s="12"/>
      <c r="AJ60" s="12"/>
      <c r="AK60" s="12"/>
      <c r="AL60" s="13"/>
      <c r="AM60" s="11"/>
      <c r="AN60" s="12"/>
      <c r="AO60" s="12"/>
      <c r="AP60" s="12"/>
      <c r="AQ60" s="12"/>
      <c r="AR60" s="12"/>
      <c r="AS60" s="12"/>
      <c r="AT60" s="12"/>
      <c r="AU60" s="12"/>
      <c r="AV60" s="12"/>
      <c r="AW60" s="12"/>
      <c r="AX60" s="12"/>
      <c r="AY60" s="12"/>
      <c r="AZ60" s="12"/>
      <c r="BA60" s="12"/>
      <c r="BB60" s="12"/>
      <c r="BC60" s="12"/>
      <c r="BD60" s="12"/>
      <c r="BE60" s="13"/>
      <c r="BF60" s="11"/>
      <c r="BG60" s="12"/>
      <c r="BH60" s="12"/>
      <c r="BI60" s="12"/>
      <c r="BJ60" s="12"/>
      <c r="BK60" s="12"/>
      <c r="BL60" s="12"/>
      <c r="BM60" s="12"/>
      <c r="BN60" s="12"/>
      <c r="BO60" s="12"/>
      <c r="BP60" s="12"/>
      <c r="BQ60" s="12"/>
      <c r="BR60" s="12"/>
      <c r="BS60" s="12"/>
      <c r="BT60" s="12"/>
      <c r="BU60" s="12"/>
      <c r="BV60" s="12"/>
      <c r="BW60" s="12"/>
      <c r="BX60" s="13"/>
    </row>
    <row r="61" spans="1:76">
      <c r="A61" s="43"/>
      <c r="B61" s="164"/>
      <c r="C61" s="164"/>
      <c r="D61" s="164"/>
      <c r="E61" s="164"/>
      <c r="F61" s="164"/>
      <c r="G61" s="164"/>
      <c r="H61" s="164"/>
      <c r="I61" s="164"/>
      <c r="J61" s="164"/>
      <c r="K61" s="164"/>
      <c r="L61" s="164"/>
      <c r="M61" s="164"/>
      <c r="N61" s="164"/>
      <c r="O61" s="164"/>
      <c r="P61" s="164"/>
      <c r="Q61" s="164"/>
      <c r="R61" s="164"/>
      <c r="S61" s="44"/>
      <c r="T61" s="11"/>
      <c r="U61" s="12"/>
      <c r="V61" s="12"/>
      <c r="W61" s="12"/>
      <c r="X61" s="12"/>
      <c r="Y61" s="12"/>
      <c r="Z61" s="12"/>
      <c r="AA61" s="12"/>
      <c r="AB61" s="12"/>
      <c r="AC61" s="12"/>
      <c r="AD61" s="12"/>
      <c r="AE61" s="12"/>
      <c r="AF61" s="12"/>
      <c r="AG61" s="12"/>
      <c r="AH61" s="12"/>
      <c r="AI61" s="12"/>
      <c r="AJ61" s="12"/>
      <c r="AK61" s="12"/>
      <c r="AL61" s="13"/>
      <c r="AM61" s="11"/>
      <c r="AN61" s="12"/>
      <c r="AO61" s="12"/>
      <c r="AP61" s="12"/>
      <c r="AQ61" s="12"/>
      <c r="AR61" s="12"/>
      <c r="AS61" s="12"/>
      <c r="AT61" s="12"/>
      <c r="AU61" s="12"/>
      <c r="AV61" s="12"/>
      <c r="AW61" s="12"/>
      <c r="AX61" s="12"/>
      <c r="AY61" s="12"/>
      <c r="AZ61" s="12"/>
      <c r="BA61" s="12"/>
      <c r="BB61" s="12"/>
      <c r="BC61" s="12"/>
      <c r="BD61" s="12"/>
      <c r="BE61" s="13"/>
      <c r="BF61" s="11"/>
      <c r="BG61" s="12"/>
      <c r="BH61" s="12"/>
      <c r="BI61" s="12"/>
      <c r="BJ61" s="12"/>
      <c r="BK61" s="12"/>
      <c r="BL61" s="12"/>
      <c r="BM61" s="12"/>
      <c r="BN61" s="12"/>
      <c r="BO61" s="12"/>
      <c r="BP61" s="12"/>
      <c r="BQ61" s="12"/>
      <c r="BR61" s="12"/>
      <c r="BS61" s="12"/>
      <c r="BT61" s="12"/>
      <c r="BU61" s="12"/>
      <c r="BV61" s="12"/>
      <c r="BW61" s="12"/>
      <c r="BX61" s="13"/>
    </row>
    <row r="62" spans="1:76">
      <c r="A62" s="43"/>
      <c r="B62" s="164"/>
      <c r="C62" s="164"/>
      <c r="D62" s="164"/>
      <c r="E62" s="164"/>
      <c r="F62" s="164"/>
      <c r="G62" s="164"/>
      <c r="H62" s="164"/>
      <c r="I62" s="164"/>
      <c r="J62" s="164"/>
      <c r="K62" s="164"/>
      <c r="L62" s="164"/>
      <c r="M62" s="164"/>
      <c r="N62" s="164"/>
      <c r="O62" s="164"/>
      <c r="P62" s="164"/>
      <c r="Q62" s="164"/>
      <c r="R62" s="164"/>
      <c r="S62" s="44"/>
      <c r="T62" s="11"/>
      <c r="U62" s="12"/>
      <c r="V62" s="12"/>
      <c r="W62" s="12"/>
      <c r="X62" s="12"/>
      <c r="Y62" s="12"/>
      <c r="Z62" s="12"/>
      <c r="AA62" s="12"/>
      <c r="AB62" s="12"/>
      <c r="AC62" s="12"/>
      <c r="AD62" s="12"/>
      <c r="AE62" s="12"/>
      <c r="AF62" s="12"/>
      <c r="AG62" s="12"/>
      <c r="AH62" s="12"/>
      <c r="AI62" s="12"/>
      <c r="AJ62" s="12"/>
      <c r="AK62" s="12"/>
      <c r="AL62" s="13"/>
      <c r="AM62" s="11"/>
      <c r="AN62" s="12"/>
      <c r="AO62" s="12"/>
      <c r="AP62" s="12"/>
      <c r="AQ62" s="12"/>
      <c r="AR62" s="12"/>
      <c r="AS62" s="12"/>
      <c r="AT62" s="12"/>
      <c r="AU62" s="12"/>
      <c r="AV62" s="12"/>
      <c r="AW62" s="12"/>
      <c r="AX62" s="12"/>
      <c r="AY62" s="12"/>
      <c r="AZ62" s="12"/>
      <c r="BA62" s="12"/>
      <c r="BB62" s="12"/>
      <c r="BC62" s="12"/>
      <c r="BD62" s="12"/>
      <c r="BE62" s="13"/>
      <c r="BF62" s="11"/>
      <c r="BG62" s="12"/>
      <c r="BH62" s="12"/>
      <c r="BI62" s="12"/>
      <c r="BJ62" s="12"/>
      <c r="BK62" s="12"/>
      <c r="BL62" s="12"/>
      <c r="BM62" s="12"/>
      <c r="BN62" s="12"/>
      <c r="BO62" s="12"/>
      <c r="BP62" s="12"/>
      <c r="BQ62" s="12"/>
      <c r="BR62" s="12"/>
      <c r="BS62" s="12"/>
      <c r="BT62" s="12"/>
      <c r="BU62" s="12"/>
      <c r="BV62" s="12"/>
      <c r="BW62" s="12"/>
      <c r="BX62" s="13"/>
    </row>
    <row r="63" spans="1:76">
      <c r="A63" s="45"/>
      <c r="B63" s="46"/>
      <c r="C63" s="46"/>
      <c r="D63" s="46"/>
      <c r="E63" s="46"/>
      <c r="F63" s="46"/>
      <c r="G63" s="46"/>
      <c r="H63" s="46"/>
      <c r="I63" s="46"/>
      <c r="J63" s="46"/>
      <c r="K63" s="46"/>
      <c r="L63" s="46"/>
      <c r="M63" s="46"/>
      <c r="N63" s="46"/>
      <c r="O63" s="46"/>
      <c r="P63" s="46"/>
      <c r="Q63" s="46"/>
      <c r="R63" s="46"/>
      <c r="S63" s="47"/>
      <c r="T63" s="16"/>
      <c r="U63" s="15"/>
      <c r="V63" s="15"/>
      <c r="W63" s="15"/>
      <c r="X63" s="15"/>
      <c r="Y63" s="15"/>
      <c r="Z63" s="15"/>
      <c r="AA63" s="15"/>
      <c r="AB63" s="15"/>
      <c r="AC63" s="15"/>
      <c r="AD63" s="15"/>
      <c r="AE63" s="15"/>
      <c r="AF63" s="15"/>
      <c r="AG63" s="15"/>
      <c r="AH63" s="15"/>
      <c r="AI63" s="15"/>
      <c r="AJ63" s="15"/>
      <c r="AK63" s="15"/>
      <c r="AL63" s="17"/>
      <c r="AM63" s="16"/>
      <c r="AN63" s="15"/>
      <c r="AO63" s="15"/>
      <c r="AP63" s="15"/>
      <c r="AQ63" s="15"/>
      <c r="AR63" s="15"/>
      <c r="AS63" s="15"/>
      <c r="AT63" s="15"/>
      <c r="AU63" s="15"/>
      <c r="AV63" s="15"/>
      <c r="AW63" s="15"/>
      <c r="AX63" s="15"/>
      <c r="AY63" s="15"/>
      <c r="AZ63" s="15"/>
      <c r="BA63" s="15"/>
      <c r="BB63" s="15"/>
      <c r="BC63" s="15"/>
      <c r="BD63" s="15"/>
      <c r="BE63" s="17"/>
      <c r="BF63" s="16"/>
      <c r="BG63" s="15"/>
      <c r="BH63" s="15"/>
      <c r="BI63" s="15"/>
      <c r="BJ63" s="15"/>
      <c r="BK63" s="15"/>
      <c r="BL63" s="15"/>
      <c r="BM63" s="15"/>
      <c r="BN63" s="15"/>
      <c r="BO63" s="15"/>
      <c r="BP63" s="15"/>
      <c r="BQ63" s="15"/>
      <c r="BR63" s="15"/>
      <c r="BS63" s="15"/>
      <c r="BT63" s="15"/>
      <c r="BU63" s="15"/>
      <c r="BV63" s="15"/>
      <c r="BW63" s="15"/>
      <c r="BX63" s="17"/>
    </row>
  </sheetData>
  <sheetProtection algorithmName="SHA-512" hashValue="Q5rfkfKcI/HI+8Dq8TMgcOt0y8BojMDrpqGPrhZf5ON1awwuBXD0UwJ1tbW8CflyWiwn6y6q1fUqFjv6Tv/Dww==" saltValue="gRGBZh6Tv7g51FndWHPATA==" spinCount="100000" sheet="1" scenarios="1"/>
  <protectedRanges>
    <protectedRange sqref="A8:S63 T1:BX63" name="Range1"/>
  </protectedRanges>
  <mergeCells count="4">
    <mergeCell ref="A1:S1"/>
    <mergeCell ref="D3:J3"/>
    <mergeCell ref="O3:S3"/>
    <mergeCell ref="A5:S6"/>
  </mergeCells>
  <phoneticPr fontId="2" type="noConversion"/>
  <hyperlinks>
    <hyperlink ref="O7" location="'Cover Sheet'!A1" display="BACK to COVER SHEET" xr:uid="{79DE4B79-F099-447D-B979-219C287ED324}"/>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1">
    <pageSetUpPr fitToPage="1"/>
  </sheetPr>
  <dimension ref="A1:AL56"/>
  <sheetViews>
    <sheetView showGridLines="0" view="pageBreakPreview" zoomScaleNormal="100" zoomScaleSheetLayoutView="100" workbookViewId="0">
      <selection sqref="A1:S1"/>
    </sheetView>
  </sheetViews>
  <sheetFormatPr defaultColWidth="11.42578125" defaultRowHeight="12.75"/>
  <cols>
    <col min="1" max="2" width="5" customWidth="1"/>
    <col min="3" max="3" width="6.5703125" customWidth="1"/>
    <col min="4" max="38" width="5" customWidth="1"/>
  </cols>
  <sheetData>
    <row r="1" spans="1:38">
      <c r="A1" s="633" t="s">
        <v>265</v>
      </c>
      <c r="B1" s="634"/>
      <c r="C1" s="634"/>
      <c r="D1" s="634"/>
      <c r="E1" s="634"/>
      <c r="F1" s="634"/>
      <c r="G1" s="634"/>
      <c r="H1" s="634"/>
      <c r="I1" s="634"/>
      <c r="J1" s="634"/>
      <c r="K1" s="634"/>
      <c r="L1" s="634"/>
      <c r="M1" s="634"/>
      <c r="N1" s="634"/>
      <c r="O1" s="634"/>
      <c r="P1" s="634"/>
      <c r="Q1" s="634"/>
      <c r="R1" s="634"/>
      <c r="S1" s="635"/>
      <c r="T1" s="399"/>
      <c r="U1" s="399"/>
      <c r="V1" s="399"/>
      <c r="W1" s="399"/>
      <c r="X1" s="399"/>
      <c r="Y1" s="399"/>
      <c r="Z1" s="399"/>
      <c r="AA1" s="399"/>
      <c r="AB1" s="399"/>
      <c r="AC1" s="399"/>
      <c r="AD1" s="399"/>
      <c r="AE1" s="399"/>
      <c r="AF1" s="399"/>
      <c r="AG1" s="399"/>
      <c r="AH1" s="399"/>
      <c r="AI1" s="399"/>
      <c r="AJ1" s="399"/>
      <c r="AK1" s="399"/>
      <c r="AL1" s="399"/>
    </row>
    <row r="2" spans="1:38">
      <c r="A2" s="75"/>
      <c r="B2" s="76"/>
      <c r="C2" s="76"/>
      <c r="D2" s="76"/>
      <c r="E2" s="76"/>
      <c r="F2" s="76"/>
      <c r="G2" s="76"/>
      <c r="H2" s="76"/>
      <c r="I2" s="76"/>
      <c r="J2" s="76"/>
      <c r="K2" s="76"/>
      <c r="L2" s="76"/>
      <c r="M2" s="76"/>
      <c r="N2" s="76"/>
      <c r="O2" s="76"/>
      <c r="P2" s="76"/>
      <c r="Q2" s="76"/>
      <c r="R2" s="76"/>
      <c r="S2" s="77"/>
      <c r="T2" s="399"/>
      <c r="U2" s="399"/>
      <c r="V2" s="399"/>
      <c r="W2" s="399"/>
      <c r="X2" s="399"/>
      <c r="Y2" s="399"/>
      <c r="Z2" s="399"/>
      <c r="AA2" s="399"/>
      <c r="AB2" s="399"/>
      <c r="AC2" s="399"/>
      <c r="AD2" s="399"/>
      <c r="AE2" s="399"/>
      <c r="AF2" s="399"/>
      <c r="AG2" s="399"/>
      <c r="AH2" s="399"/>
      <c r="AI2" s="399"/>
      <c r="AJ2" s="399"/>
      <c r="AK2" s="399"/>
      <c r="AL2" s="399"/>
    </row>
    <row r="3" spans="1:38">
      <c r="A3" s="59"/>
      <c r="B3" s="401" t="s">
        <v>266</v>
      </c>
      <c r="C3" s="398"/>
      <c r="D3" s="398"/>
      <c r="E3" s="398"/>
      <c r="F3" s="398"/>
      <c r="G3" s="398"/>
      <c r="H3" s="398"/>
      <c r="I3" s="398"/>
      <c r="J3" s="398"/>
      <c r="K3" s="398"/>
      <c r="L3" s="398"/>
      <c r="M3" s="398"/>
      <c r="N3" s="398"/>
      <c r="O3" s="398"/>
      <c r="P3" s="398"/>
      <c r="Q3" s="398"/>
      <c r="R3" s="398"/>
      <c r="S3" s="60"/>
      <c r="T3" s="399"/>
      <c r="U3" s="400"/>
      <c r="V3" s="399"/>
      <c r="W3" s="399"/>
      <c r="X3" s="399"/>
      <c r="Y3" s="399"/>
      <c r="Z3" s="399"/>
      <c r="AA3" s="399"/>
      <c r="AB3" s="399"/>
      <c r="AC3" s="399"/>
      <c r="AD3" s="399"/>
      <c r="AE3" s="399"/>
      <c r="AF3" s="399"/>
      <c r="AG3" s="399"/>
      <c r="AH3" s="399"/>
      <c r="AI3" s="399"/>
      <c r="AJ3" s="399"/>
      <c r="AK3" s="399"/>
      <c r="AL3" s="399"/>
    </row>
    <row r="4" spans="1:38">
      <c r="A4" s="59"/>
      <c r="B4" s="401"/>
      <c r="C4" s="398"/>
      <c r="D4" s="398"/>
      <c r="E4" s="398"/>
      <c r="F4" s="398"/>
      <c r="G4" s="398"/>
      <c r="H4" s="398"/>
      <c r="I4" s="398"/>
      <c r="J4" s="398"/>
      <c r="K4" s="398"/>
      <c r="L4" s="398"/>
      <c r="M4" s="398"/>
      <c r="N4" s="398"/>
      <c r="O4" s="398"/>
      <c r="P4" s="398"/>
      <c r="Q4" s="398"/>
      <c r="R4" s="398"/>
      <c r="S4" s="60"/>
      <c r="T4" s="399"/>
      <c r="U4" s="400"/>
      <c r="V4" s="399"/>
      <c r="W4" s="399"/>
      <c r="X4" s="399"/>
      <c r="Y4" s="399"/>
      <c r="Z4" s="399"/>
      <c r="AA4" s="399"/>
      <c r="AB4" s="399"/>
      <c r="AC4" s="399"/>
      <c r="AD4" s="399"/>
      <c r="AE4" s="399"/>
      <c r="AF4" s="399"/>
      <c r="AG4" s="399"/>
      <c r="AH4" s="399"/>
      <c r="AI4" s="399"/>
      <c r="AJ4" s="399"/>
      <c r="AK4" s="399"/>
      <c r="AL4" s="399"/>
    </row>
    <row r="5" spans="1:38">
      <c r="A5" s="59"/>
      <c r="B5" s="296" t="s">
        <v>267</v>
      </c>
      <c r="C5" s="398"/>
      <c r="D5" s="398"/>
      <c r="E5" s="398"/>
      <c r="F5" s="398"/>
      <c r="G5" s="398"/>
      <c r="H5" s="398"/>
      <c r="I5" s="398"/>
      <c r="J5" s="398"/>
      <c r="K5" s="398"/>
      <c r="L5" s="398"/>
      <c r="M5" s="398"/>
      <c r="N5" s="398"/>
      <c r="O5" s="398"/>
      <c r="P5" s="398"/>
      <c r="Q5" s="398"/>
      <c r="R5" s="398"/>
      <c r="S5" s="60"/>
      <c r="T5" s="399"/>
      <c r="U5" s="400"/>
      <c r="V5" s="399"/>
      <c r="W5" s="399"/>
      <c r="X5" s="399"/>
      <c r="Y5" s="399"/>
      <c r="Z5" s="399"/>
      <c r="AA5" s="399"/>
      <c r="AB5" s="399"/>
      <c r="AC5" s="399"/>
      <c r="AD5" s="399"/>
      <c r="AE5" s="399"/>
      <c r="AF5" s="399"/>
      <c r="AG5" s="399"/>
      <c r="AH5" s="399"/>
      <c r="AI5" s="399"/>
      <c r="AJ5" s="399"/>
      <c r="AK5" s="399"/>
      <c r="AL5" s="399"/>
    </row>
    <row r="6" spans="1:38">
      <c r="A6" s="59"/>
      <c r="B6" s="401"/>
      <c r="C6" s="398"/>
      <c r="D6" s="398"/>
      <c r="E6" s="398"/>
      <c r="F6" s="398"/>
      <c r="G6" s="398"/>
      <c r="H6" s="398"/>
      <c r="I6" s="398"/>
      <c r="J6" s="398"/>
      <c r="K6" s="398"/>
      <c r="L6" s="402"/>
      <c r="M6" s="398"/>
      <c r="N6" s="398"/>
      <c r="O6" s="398"/>
      <c r="P6" s="398"/>
      <c r="Q6" s="398"/>
      <c r="R6" s="398"/>
      <c r="S6" s="60"/>
      <c r="T6" s="399"/>
      <c r="U6" s="399"/>
      <c r="V6" s="399"/>
      <c r="W6" s="399"/>
      <c r="X6" s="399"/>
      <c r="Y6" s="399"/>
      <c r="Z6" s="399"/>
      <c r="AA6" s="399"/>
      <c r="AB6" s="399"/>
      <c r="AC6" s="399"/>
      <c r="AD6" s="399"/>
      <c r="AE6" s="399"/>
      <c r="AF6" s="399"/>
      <c r="AG6" s="399"/>
      <c r="AH6" s="399"/>
      <c r="AI6" s="399"/>
      <c r="AJ6" s="399"/>
      <c r="AK6" s="399"/>
      <c r="AL6" s="399"/>
    </row>
    <row r="7" spans="1:38">
      <c r="A7" s="59"/>
      <c r="B7" s="401" t="s">
        <v>268</v>
      </c>
      <c r="C7" s="398"/>
      <c r="D7" s="398"/>
      <c r="E7" s="398"/>
      <c r="F7" s="398"/>
      <c r="G7" s="398"/>
      <c r="H7" s="398"/>
      <c r="I7" s="398"/>
      <c r="J7" s="398"/>
      <c r="K7" s="398"/>
      <c r="L7" s="398"/>
      <c r="M7" s="398"/>
      <c r="N7" s="398"/>
      <c r="O7" s="398"/>
      <c r="P7" s="398"/>
      <c r="Q7" s="398"/>
      <c r="R7" s="398"/>
      <c r="S7" s="60"/>
      <c r="T7" s="399"/>
      <c r="U7" s="399"/>
      <c r="V7" s="399"/>
      <c r="W7" s="399"/>
      <c r="X7" s="399"/>
      <c r="Y7" s="399"/>
      <c r="Z7" s="399"/>
      <c r="AA7" s="399"/>
      <c r="AB7" s="399"/>
      <c r="AC7" s="399"/>
      <c r="AD7" s="399"/>
      <c r="AE7" s="399"/>
      <c r="AF7" s="399"/>
      <c r="AG7" s="399"/>
      <c r="AH7" s="399"/>
      <c r="AI7" s="399"/>
      <c r="AJ7" s="399"/>
      <c r="AK7" s="399"/>
      <c r="AL7" s="399"/>
    </row>
    <row r="8" spans="1:38">
      <c r="A8" s="59"/>
      <c r="B8" s="401" t="s">
        <v>269</v>
      </c>
      <c r="C8" s="398"/>
      <c r="D8" s="398"/>
      <c r="E8" s="398"/>
      <c r="F8" s="398"/>
      <c r="G8" s="398"/>
      <c r="H8" s="398"/>
      <c r="I8" s="398"/>
      <c r="J8" s="398"/>
      <c r="K8" s="398"/>
      <c r="L8" s="398"/>
      <c r="M8" s="398"/>
      <c r="N8" s="398"/>
      <c r="O8" s="398"/>
      <c r="P8" s="398"/>
      <c r="Q8" s="398"/>
      <c r="R8" s="398"/>
      <c r="S8" s="60"/>
      <c r="T8" s="399"/>
      <c r="U8" s="399"/>
      <c r="V8" s="399"/>
      <c r="W8" s="399"/>
      <c r="X8" s="399"/>
      <c r="Y8" s="399"/>
      <c r="Z8" s="399"/>
      <c r="AA8" s="399"/>
      <c r="AB8" s="399"/>
      <c r="AC8" s="399"/>
      <c r="AD8" s="399"/>
      <c r="AE8" s="399"/>
      <c r="AF8" s="399"/>
      <c r="AG8" s="399"/>
      <c r="AH8" s="399"/>
      <c r="AI8" s="399"/>
      <c r="AJ8" s="399"/>
      <c r="AK8" s="399"/>
      <c r="AL8" s="399"/>
    </row>
    <row r="9" spans="1:38">
      <c r="A9" s="59"/>
      <c r="B9" s="401"/>
      <c r="C9" s="398"/>
      <c r="D9" s="398"/>
      <c r="E9" s="398"/>
      <c r="F9" s="398"/>
      <c r="G9" s="398"/>
      <c r="H9" s="398"/>
      <c r="I9" s="398"/>
      <c r="J9" s="398"/>
      <c r="K9" s="398"/>
      <c r="L9" s="398"/>
      <c r="M9" s="398"/>
      <c r="N9" s="398"/>
      <c r="O9" s="398"/>
      <c r="P9" s="398"/>
      <c r="Q9" s="398"/>
      <c r="R9" s="398"/>
      <c r="S9" s="60"/>
      <c r="T9" s="399"/>
      <c r="U9" s="399"/>
      <c r="V9" s="399"/>
      <c r="W9" s="399"/>
      <c r="X9" s="399"/>
      <c r="Y9" s="399"/>
      <c r="Z9" s="399"/>
      <c r="AA9" s="399"/>
      <c r="AB9" s="399"/>
      <c r="AC9" s="399"/>
      <c r="AD9" s="399"/>
      <c r="AE9" s="399"/>
      <c r="AF9" s="399"/>
      <c r="AG9" s="399"/>
      <c r="AH9" s="399"/>
      <c r="AI9" s="399"/>
      <c r="AJ9" s="399"/>
      <c r="AK9" s="399"/>
      <c r="AL9" s="399"/>
    </row>
    <row r="10" spans="1:38">
      <c r="A10" s="59"/>
      <c r="C10" s="398"/>
      <c r="D10" s="398"/>
      <c r="E10" s="398"/>
      <c r="F10" s="398"/>
      <c r="G10" s="398"/>
      <c r="H10" s="398"/>
      <c r="I10" s="398"/>
      <c r="J10" s="398"/>
      <c r="K10" s="398"/>
      <c r="L10" s="398"/>
      <c r="M10" s="398"/>
      <c r="N10" s="398"/>
      <c r="O10" s="398"/>
      <c r="P10" s="398"/>
      <c r="Q10" s="398"/>
      <c r="R10" s="398"/>
      <c r="S10" s="60"/>
      <c r="T10" s="399"/>
      <c r="U10" s="399"/>
      <c r="V10" s="399"/>
      <c r="W10" s="399"/>
      <c r="X10" s="399"/>
      <c r="Y10" s="399"/>
      <c r="Z10" s="399"/>
      <c r="AA10" s="399"/>
      <c r="AB10" s="399"/>
      <c r="AC10" s="399"/>
      <c r="AD10" s="399"/>
      <c r="AE10" s="399"/>
      <c r="AF10" s="399"/>
      <c r="AG10" s="399"/>
      <c r="AH10" s="399"/>
      <c r="AI10" s="399"/>
      <c r="AJ10" s="399"/>
      <c r="AK10" s="399"/>
      <c r="AL10" s="399"/>
    </row>
    <row r="11" spans="1:38">
      <c r="A11" s="59"/>
      <c r="B11" s="401"/>
      <c r="C11" s="398"/>
      <c r="D11" s="398"/>
      <c r="E11" s="398"/>
      <c r="F11" s="398"/>
      <c r="G11" s="398"/>
      <c r="H11" s="398"/>
      <c r="I11" s="398"/>
      <c r="J11" s="398"/>
      <c r="K11" s="398"/>
      <c r="L11" s="398"/>
      <c r="M11" s="398"/>
      <c r="N11" s="398"/>
      <c r="O11" s="398"/>
      <c r="P11" s="398"/>
      <c r="Q11" s="398"/>
      <c r="R11" s="398"/>
      <c r="S11" s="60"/>
      <c r="T11" s="399"/>
      <c r="U11" s="399"/>
      <c r="V11" s="399"/>
      <c r="W11" s="399"/>
      <c r="X11" s="399"/>
      <c r="Y11" s="399"/>
      <c r="Z11" s="399"/>
      <c r="AA11" s="399"/>
      <c r="AB11" s="399"/>
      <c r="AC11" s="399"/>
      <c r="AD11" s="399"/>
      <c r="AE11" s="399"/>
      <c r="AF11" s="399"/>
      <c r="AG11" s="399"/>
      <c r="AH11" s="399"/>
      <c r="AI11" s="399"/>
      <c r="AJ11" s="399"/>
      <c r="AK11" s="399"/>
      <c r="AL11" s="399"/>
    </row>
    <row r="12" spans="1:38">
      <c r="A12" s="59"/>
      <c r="C12" s="398"/>
      <c r="D12" s="398"/>
      <c r="E12" s="398"/>
      <c r="F12" s="398"/>
      <c r="G12" s="398"/>
      <c r="H12" s="398"/>
      <c r="I12" s="398"/>
      <c r="J12" s="398"/>
      <c r="K12" s="398"/>
      <c r="L12" s="398"/>
      <c r="M12" s="398"/>
      <c r="N12" s="398"/>
      <c r="O12" s="398"/>
      <c r="P12" s="398"/>
      <c r="Q12" s="398"/>
      <c r="R12" s="398"/>
      <c r="S12" s="60"/>
      <c r="T12" s="399"/>
      <c r="U12" s="399"/>
      <c r="V12" s="399"/>
      <c r="W12" s="399"/>
      <c r="X12" s="399"/>
      <c r="Y12" s="399"/>
      <c r="Z12" s="399"/>
      <c r="AA12" s="399"/>
      <c r="AB12" s="399"/>
      <c r="AC12" s="399"/>
      <c r="AD12" s="399"/>
      <c r="AE12" s="399"/>
      <c r="AF12" s="399"/>
      <c r="AG12" s="399"/>
      <c r="AH12" s="399"/>
      <c r="AI12" s="399"/>
      <c r="AJ12" s="399"/>
      <c r="AK12" s="399"/>
      <c r="AL12" s="399"/>
    </row>
    <row r="13" spans="1:38">
      <c r="A13" s="59"/>
      <c r="B13" s="403"/>
      <c r="C13" s="398"/>
      <c r="D13" s="398"/>
      <c r="E13" s="398"/>
      <c r="F13" s="398"/>
      <c r="G13" s="398"/>
      <c r="H13" s="398"/>
      <c r="I13" s="398"/>
      <c r="J13" s="398"/>
      <c r="K13" s="398"/>
      <c r="L13" s="398"/>
      <c r="M13" s="398"/>
      <c r="N13" s="398"/>
      <c r="O13" s="398"/>
      <c r="P13" s="398"/>
      <c r="Q13" s="398"/>
      <c r="R13" s="398"/>
      <c r="S13" s="60"/>
      <c r="T13" s="399"/>
      <c r="U13" s="399"/>
      <c r="V13" s="399"/>
      <c r="W13" s="399"/>
      <c r="X13" s="399"/>
      <c r="Y13" s="399"/>
      <c r="Z13" s="399"/>
      <c r="AA13" s="399"/>
      <c r="AB13" s="399"/>
      <c r="AC13" s="399"/>
      <c r="AD13" s="399"/>
      <c r="AE13" s="399"/>
      <c r="AF13" s="399"/>
      <c r="AG13" s="399"/>
      <c r="AH13" s="399"/>
      <c r="AI13" s="399"/>
      <c r="AJ13" s="399"/>
      <c r="AK13" s="399"/>
      <c r="AL13" s="399"/>
    </row>
    <row r="14" spans="1:38">
      <c r="A14" s="59"/>
      <c r="B14" s="403"/>
      <c r="C14" s="398"/>
      <c r="D14" s="398"/>
      <c r="E14" s="398"/>
      <c r="F14" s="398"/>
      <c r="G14" s="398"/>
      <c r="H14" s="398"/>
      <c r="I14" s="398"/>
      <c r="J14" s="398"/>
      <c r="K14" s="398"/>
      <c r="L14" s="398"/>
      <c r="M14" s="398"/>
      <c r="N14" s="398"/>
      <c r="O14" s="398"/>
      <c r="P14" s="398"/>
      <c r="Q14" s="398"/>
      <c r="R14" s="398"/>
      <c r="S14" s="60"/>
      <c r="T14" s="399"/>
      <c r="U14" s="399"/>
      <c r="V14" s="399"/>
      <c r="W14" s="399"/>
      <c r="X14" s="399"/>
      <c r="Y14" s="399"/>
      <c r="Z14" s="399"/>
      <c r="AA14" s="399"/>
      <c r="AB14" s="399"/>
      <c r="AC14" s="399"/>
      <c r="AD14" s="399"/>
      <c r="AE14" s="399"/>
      <c r="AF14" s="399"/>
      <c r="AG14" s="399"/>
      <c r="AH14" s="399"/>
      <c r="AI14" s="399"/>
      <c r="AJ14" s="399"/>
      <c r="AK14" s="399"/>
      <c r="AL14" s="399"/>
    </row>
    <row r="15" spans="1:38">
      <c r="A15" s="59"/>
      <c r="B15" s="404"/>
      <c r="C15" s="398"/>
      <c r="D15" s="398"/>
      <c r="E15" s="398"/>
      <c r="F15" s="398"/>
      <c r="G15" s="398"/>
      <c r="H15" s="398"/>
      <c r="I15" s="398"/>
      <c r="J15" s="398"/>
      <c r="K15" s="398"/>
      <c r="L15" s="398"/>
      <c r="M15" s="398"/>
      <c r="N15" s="398"/>
      <c r="O15" s="398"/>
      <c r="P15" s="398"/>
      <c r="Q15" s="398"/>
      <c r="R15" s="398"/>
      <c r="S15" s="60"/>
      <c r="T15" s="399"/>
      <c r="U15" s="399"/>
      <c r="V15" s="399"/>
      <c r="W15" s="399"/>
      <c r="X15" s="399"/>
      <c r="Y15" s="399"/>
      <c r="Z15" s="399"/>
      <c r="AA15" s="399"/>
      <c r="AB15" s="399"/>
      <c r="AC15" s="399"/>
      <c r="AD15" s="399"/>
      <c r="AE15" s="399"/>
      <c r="AF15" s="399"/>
      <c r="AG15" s="399"/>
      <c r="AH15" s="399"/>
      <c r="AI15" s="399"/>
      <c r="AJ15" s="399"/>
      <c r="AK15" s="399"/>
      <c r="AL15" s="399"/>
    </row>
    <row r="16" spans="1:38">
      <c r="A16" s="59"/>
      <c r="B16" s="296"/>
      <c r="C16" s="398"/>
      <c r="D16" s="398"/>
      <c r="E16" s="398"/>
      <c r="F16" s="398"/>
      <c r="G16" s="398"/>
      <c r="H16" s="398"/>
      <c r="I16" s="398"/>
      <c r="J16" s="398"/>
      <c r="K16" s="398"/>
      <c r="L16" s="398"/>
      <c r="M16" s="398"/>
      <c r="N16" s="398"/>
      <c r="O16" s="398"/>
      <c r="P16" s="398"/>
      <c r="Q16" s="398"/>
      <c r="R16" s="398"/>
      <c r="S16" s="60"/>
      <c r="T16" s="399"/>
      <c r="U16" s="399"/>
      <c r="V16" s="399"/>
      <c r="W16" s="399"/>
      <c r="X16" s="399"/>
      <c r="Y16" s="399"/>
      <c r="Z16" s="399"/>
      <c r="AA16" s="399"/>
      <c r="AB16" s="399"/>
      <c r="AC16" s="399"/>
      <c r="AD16" s="399"/>
      <c r="AE16" s="399"/>
      <c r="AF16" s="399"/>
      <c r="AG16" s="399"/>
      <c r="AH16" s="399"/>
      <c r="AI16" s="399"/>
      <c r="AJ16" s="399"/>
      <c r="AK16" s="399"/>
      <c r="AL16" s="399"/>
    </row>
    <row r="17" spans="1:38">
      <c r="A17" s="59"/>
      <c r="B17" s="296"/>
      <c r="C17" s="398"/>
      <c r="D17" s="398"/>
      <c r="E17" s="398"/>
      <c r="F17" s="398"/>
      <c r="G17" s="398"/>
      <c r="H17" s="398"/>
      <c r="I17" s="398"/>
      <c r="J17" s="398"/>
      <c r="K17" s="398"/>
      <c r="L17" s="398"/>
      <c r="M17" s="398"/>
      <c r="N17" s="398"/>
      <c r="O17" s="398"/>
      <c r="P17" s="398"/>
      <c r="Q17" s="398"/>
      <c r="R17" s="398"/>
      <c r="S17" s="60"/>
      <c r="T17" s="399"/>
      <c r="U17" s="399"/>
      <c r="V17" s="399"/>
      <c r="W17" s="399"/>
      <c r="X17" s="399"/>
      <c r="Y17" s="399"/>
      <c r="Z17" s="399"/>
      <c r="AA17" s="399"/>
      <c r="AB17" s="399"/>
      <c r="AC17" s="399"/>
      <c r="AD17" s="399"/>
      <c r="AE17" s="399"/>
      <c r="AF17" s="399"/>
      <c r="AG17" s="399"/>
      <c r="AH17" s="399"/>
      <c r="AI17" s="399"/>
      <c r="AJ17" s="399"/>
      <c r="AK17" s="399"/>
      <c r="AL17" s="399"/>
    </row>
    <row r="18" spans="1:38">
      <c r="A18" s="59"/>
      <c r="B18" s="401"/>
      <c r="C18" s="398"/>
      <c r="D18" s="398"/>
      <c r="E18" s="398"/>
      <c r="F18" s="398"/>
      <c r="G18" s="398"/>
      <c r="H18" s="398"/>
      <c r="I18" s="398"/>
      <c r="J18" s="398"/>
      <c r="K18" s="398"/>
      <c r="L18" s="398"/>
      <c r="M18" s="398"/>
      <c r="N18" s="398"/>
      <c r="O18" s="398"/>
      <c r="P18" s="398"/>
      <c r="Q18" s="398"/>
      <c r="R18" s="398"/>
      <c r="S18" s="60"/>
      <c r="T18" s="399"/>
      <c r="U18" s="399"/>
      <c r="V18" s="399"/>
      <c r="W18" s="399"/>
      <c r="X18" s="399"/>
      <c r="Y18" s="399"/>
      <c r="Z18" s="399"/>
      <c r="AA18" s="399"/>
      <c r="AB18" s="399"/>
      <c r="AC18" s="399"/>
      <c r="AD18" s="399"/>
      <c r="AE18" s="399"/>
      <c r="AF18" s="399"/>
      <c r="AG18" s="399"/>
      <c r="AH18" s="399"/>
      <c r="AI18" s="399"/>
      <c r="AJ18" s="399"/>
      <c r="AK18" s="399"/>
      <c r="AL18" s="399"/>
    </row>
    <row r="19" spans="1:38">
      <c r="A19" s="59"/>
      <c r="B19" s="401"/>
      <c r="C19" s="401"/>
      <c r="D19" s="398"/>
      <c r="E19" s="398"/>
      <c r="F19" s="398"/>
      <c r="G19" s="398"/>
      <c r="H19" s="398"/>
      <c r="I19" s="398"/>
      <c r="J19" s="398"/>
      <c r="K19" s="398"/>
      <c r="L19" s="398"/>
      <c r="M19" s="398"/>
      <c r="N19" s="398"/>
      <c r="O19" s="398"/>
      <c r="P19" s="398"/>
      <c r="Q19" s="398"/>
      <c r="R19" s="398"/>
      <c r="S19" s="60"/>
      <c r="T19" s="399"/>
      <c r="U19" s="399"/>
      <c r="V19" s="399"/>
      <c r="W19" s="399"/>
      <c r="X19" s="399"/>
      <c r="Y19" s="399"/>
      <c r="Z19" s="399"/>
      <c r="AA19" s="399"/>
      <c r="AB19" s="399"/>
      <c r="AC19" s="399"/>
      <c r="AD19" s="399"/>
      <c r="AE19" s="399"/>
      <c r="AF19" s="399"/>
      <c r="AG19" s="399"/>
      <c r="AH19" s="399"/>
      <c r="AI19" s="399"/>
      <c r="AJ19" s="399"/>
      <c r="AK19" s="399"/>
      <c r="AL19" s="399"/>
    </row>
    <row r="20" spans="1:38">
      <c r="A20" s="59"/>
      <c r="B20" s="398"/>
      <c r="C20" s="398"/>
      <c r="D20" s="398"/>
      <c r="E20" s="398"/>
      <c r="F20" s="398"/>
      <c r="G20" s="398"/>
      <c r="H20" s="398"/>
      <c r="I20" s="398"/>
      <c r="J20" s="398"/>
      <c r="K20" s="398"/>
      <c r="L20" s="398"/>
      <c r="M20" s="398"/>
      <c r="N20" s="398"/>
      <c r="O20" s="398"/>
      <c r="P20" s="398"/>
      <c r="Q20" s="398"/>
      <c r="R20" s="398"/>
      <c r="S20" s="60"/>
      <c r="T20" s="399"/>
      <c r="U20" s="399"/>
      <c r="V20" s="399"/>
      <c r="W20" s="399"/>
      <c r="X20" s="399"/>
      <c r="Y20" s="399"/>
      <c r="Z20" s="399"/>
      <c r="AA20" s="399"/>
      <c r="AB20" s="399"/>
      <c r="AC20" s="399"/>
      <c r="AD20" s="399"/>
      <c r="AE20" s="399"/>
      <c r="AF20" s="399"/>
      <c r="AG20" s="399"/>
      <c r="AH20" s="399"/>
      <c r="AI20" s="399"/>
      <c r="AJ20" s="399"/>
      <c r="AK20" s="399"/>
      <c r="AL20" s="399"/>
    </row>
    <row r="21" spans="1:38">
      <c r="A21" s="59"/>
      <c r="B21" s="401"/>
      <c r="C21" s="398"/>
      <c r="D21" s="398"/>
      <c r="E21" s="398"/>
      <c r="F21" s="398"/>
      <c r="G21" s="398"/>
      <c r="H21" s="398"/>
      <c r="I21" s="398"/>
      <c r="J21" s="398"/>
      <c r="K21" s="398"/>
      <c r="L21" s="398"/>
      <c r="M21" s="398"/>
      <c r="N21" s="398"/>
      <c r="O21" s="398"/>
      <c r="P21" s="398"/>
      <c r="Q21" s="398"/>
      <c r="R21" s="398"/>
      <c r="S21" s="60"/>
      <c r="T21" s="399"/>
      <c r="U21" s="399"/>
      <c r="V21" s="399"/>
      <c r="W21" s="399"/>
      <c r="X21" s="399"/>
      <c r="Y21" s="399"/>
      <c r="Z21" s="399"/>
      <c r="AA21" s="399"/>
      <c r="AB21" s="399"/>
      <c r="AC21" s="399"/>
      <c r="AD21" s="399"/>
      <c r="AE21" s="399"/>
      <c r="AF21" s="399"/>
      <c r="AG21" s="399"/>
      <c r="AH21" s="399"/>
      <c r="AI21" s="399"/>
      <c r="AJ21" s="399"/>
      <c r="AK21" s="399"/>
      <c r="AL21" s="399"/>
    </row>
    <row r="22" spans="1:38">
      <c r="A22" s="59"/>
      <c r="B22" s="401"/>
      <c r="C22" s="398"/>
      <c r="D22" s="398"/>
      <c r="E22" s="398"/>
      <c r="F22" s="398"/>
      <c r="G22" s="398"/>
      <c r="H22" s="398"/>
      <c r="I22" s="398"/>
      <c r="J22" s="398"/>
      <c r="K22" s="398"/>
      <c r="L22" s="398"/>
      <c r="M22" s="398"/>
      <c r="N22" s="398"/>
      <c r="O22" s="398"/>
      <c r="P22" s="398"/>
      <c r="Q22" s="398"/>
      <c r="R22" s="398"/>
      <c r="S22" s="60"/>
      <c r="T22" s="399"/>
      <c r="U22" s="399"/>
      <c r="V22" s="399"/>
      <c r="W22" s="399"/>
      <c r="X22" s="399"/>
      <c r="Y22" s="399"/>
      <c r="Z22" s="399"/>
      <c r="AA22" s="399"/>
      <c r="AB22" s="399"/>
      <c r="AC22" s="399"/>
      <c r="AD22" s="399"/>
      <c r="AE22" s="399"/>
      <c r="AF22" s="399"/>
      <c r="AG22" s="399"/>
      <c r="AH22" s="399"/>
      <c r="AI22" s="399"/>
      <c r="AJ22" s="399"/>
      <c r="AK22" s="399"/>
      <c r="AL22" s="399"/>
    </row>
    <row r="23" spans="1:38">
      <c r="A23" s="59"/>
      <c r="B23" s="401"/>
      <c r="C23" s="398"/>
      <c r="D23" s="398"/>
      <c r="E23" s="398"/>
      <c r="F23" s="398"/>
      <c r="G23" s="398"/>
      <c r="H23" s="398"/>
      <c r="I23" s="398"/>
      <c r="J23" s="398"/>
      <c r="K23" s="398"/>
      <c r="L23" s="398"/>
      <c r="M23" s="398"/>
      <c r="N23" s="398"/>
      <c r="O23" s="398"/>
      <c r="P23" s="398"/>
      <c r="Q23" s="398"/>
      <c r="R23" s="398"/>
      <c r="S23" s="60"/>
      <c r="T23" s="399"/>
      <c r="U23" s="399"/>
      <c r="V23" s="399"/>
      <c r="W23" s="399"/>
      <c r="X23" s="399"/>
      <c r="Y23" s="399"/>
      <c r="Z23" s="399"/>
      <c r="AA23" s="399"/>
      <c r="AB23" s="399"/>
      <c r="AC23" s="399"/>
      <c r="AD23" s="399"/>
      <c r="AE23" s="399"/>
      <c r="AF23" s="399"/>
      <c r="AG23" s="399"/>
      <c r="AH23" s="399"/>
      <c r="AI23" s="399"/>
      <c r="AJ23" s="399"/>
      <c r="AK23" s="399"/>
      <c r="AL23" s="399"/>
    </row>
    <row r="24" spans="1:38">
      <c r="A24" s="59"/>
      <c r="C24" s="398"/>
      <c r="D24" s="398"/>
      <c r="E24" s="398"/>
      <c r="F24" s="398"/>
      <c r="G24" s="398"/>
      <c r="H24" s="398"/>
      <c r="I24" s="398"/>
      <c r="J24" s="398"/>
      <c r="K24" s="398"/>
      <c r="L24" s="398"/>
      <c r="M24" s="398"/>
      <c r="N24" s="398"/>
      <c r="O24" s="398"/>
      <c r="P24" s="398"/>
      <c r="Q24" s="398"/>
      <c r="R24" s="398"/>
      <c r="S24" s="60"/>
      <c r="T24" s="399"/>
      <c r="U24" s="399"/>
      <c r="V24" s="399"/>
      <c r="W24" s="399"/>
      <c r="X24" s="399"/>
      <c r="Y24" s="399"/>
      <c r="Z24" s="399"/>
      <c r="AA24" s="399"/>
      <c r="AB24" s="399"/>
      <c r="AC24" s="399"/>
      <c r="AD24" s="399"/>
      <c r="AE24" s="399"/>
      <c r="AF24" s="399"/>
      <c r="AG24" s="399"/>
      <c r="AH24" s="399"/>
      <c r="AI24" s="399"/>
      <c r="AJ24" s="399"/>
      <c r="AK24" s="399"/>
      <c r="AL24" s="399"/>
    </row>
    <row r="25" spans="1:38">
      <c r="A25" s="59"/>
      <c r="B25" s="403"/>
      <c r="C25" s="398"/>
      <c r="D25" s="398"/>
      <c r="E25" s="398"/>
      <c r="F25" s="398"/>
      <c r="G25" s="398"/>
      <c r="H25" s="398"/>
      <c r="I25" s="398"/>
      <c r="J25" s="398"/>
      <c r="K25" s="398"/>
      <c r="L25" s="398"/>
      <c r="M25" s="398"/>
      <c r="N25" s="398"/>
      <c r="O25" s="398"/>
      <c r="P25" s="398"/>
      <c r="Q25" s="398"/>
      <c r="R25" s="398"/>
      <c r="S25" s="60"/>
      <c r="T25" s="399"/>
      <c r="U25" s="399"/>
      <c r="V25" s="399"/>
      <c r="W25" s="399"/>
      <c r="X25" s="399"/>
      <c r="Y25" s="399"/>
      <c r="Z25" s="399"/>
      <c r="AA25" s="399"/>
      <c r="AB25" s="399"/>
      <c r="AC25" s="399"/>
      <c r="AD25" s="399"/>
      <c r="AE25" s="399"/>
      <c r="AF25" s="399"/>
      <c r="AG25" s="399"/>
      <c r="AH25" s="399"/>
      <c r="AI25" s="399"/>
      <c r="AJ25" s="399"/>
      <c r="AK25" s="399"/>
      <c r="AL25" s="399"/>
    </row>
    <row r="26" spans="1:38">
      <c r="A26" s="59"/>
      <c r="B26" s="403"/>
      <c r="C26" s="398"/>
      <c r="D26" s="398"/>
      <c r="E26" s="398"/>
      <c r="F26" s="398"/>
      <c r="G26" s="398"/>
      <c r="H26" s="398"/>
      <c r="I26" s="398"/>
      <c r="J26" s="398"/>
      <c r="K26" s="398"/>
      <c r="L26" s="398"/>
      <c r="M26" s="398"/>
      <c r="N26" s="398"/>
      <c r="O26" s="398"/>
      <c r="P26" s="398"/>
      <c r="Q26" s="398"/>
      <c r="R26" s="398"/>
      <c r="S26" s="60"/>
      <c r="T26" s="399"/>
      <c r="U26" s="399"/>
      <c r="V26" s="399"/>
      <c r="W26" s="399"/>
      <c r="X26" s="399"/>
      <c r="Y26" s="399"/>
      <c r="Z26" s="399"/>
      <c r="AA26" s="399"/>
      <c r="AB26" s="399"/>
      <c r="AC26" s="399"/>
      <c r="AD26" s="399"/>
      <c r="AE26" s="399"/>
      <c r="AF26" s="399"/>
      <c r="AG26" s="399"/>
      <c r="AH26" s="399"/>
      <c r="AI26" s="399"/>
      <c r="AJ26" s="399"/>
      <c r="AK26" s="399"/>
      <c r="AL26" s="399"/>
    </row>
    <row r="27" spans="1:38">
      <c r="A27" s="59"/>
      <c r="B27" s="404"/>
      <c r="C27" s="398"/>
      <c r="D27" s="398"/>
      <c r="E27" s="398"/>
      <c r="F27" s="398"/>
      <c r="G27" s="398"/>
      <c r="H27" s="398"/>
      <c r="I27" s="398"/>
      <c r="J27" s="398"/>
      <c r="K27" s="398"/>
      <c r="L27" s="398"/>
      <c r="M27" s="398"/>
      <c r="N27" s="398"/>
      <c r="O27" s="398"/>
      <c r="P27" s="398"/>
      <c r="Q27" s="398"/>
      <c r="R27" s="398"/>
      <c r="S27" s="60"/>
      <c r="T27" s="399"/>
      <c r="U27" s="399"/>
      <c r="V27" s="399"/>
      <c r="W27" s="399"/>
      <c r="X27" s="399"/>
      <c r="Y27" s="399"/>
      <c r="Z27" s="399"/>
      <c r="AA27" s="399"/>
      <c r="AB27" s="399"/>
      <c r="AC27" s="399"/>
      <c r="AD27" s="399"/>
      <c r="AE27" s="399"/>
      <c r="AF27" s="399"/>
      <c r="AG27" s="399"/>
      <c r="AH27" s="399"/>
      <c r="AI27" s="399"/>
      <c r="AJ27" s="399"/>
      <c r="AK27" s="399"/>
      <c r="AL27" s="399"/>
    </row>
    <row r="28" spans="1:38">
      <c r="A28" s="59"/>
      <c r="B28" s="296"/>
      <c r="C28" s="398"/>
      <c r="D28" s="398"/>
      <c r="E28" s="398"/>
      <c r="F28" s="398"/>
      <c r="G28" s="398"/>
      <c r="H28" s="398"/>
      <c r="I28" s="398"/>
      <c r="J28" s="398"/>
      <c r="K28" s="398"/>
      <c r="L28" s="398"/>
      <c r="M28" s="398"/>
      <c r="N28" s="398"/>
      <c r="O28" s="398"/>
      <c r="P28" s="398"/>
      <c r="Q28" s="398"/>
      <c r="R28" s="398"/>
      <c r="S28" s="60"/>
      <c r="T28" s="399"/>
      <c r="U28" s="399"/>
      <c r="V28" s="399"/>
      <c r="W28" s="399"/>
      <c r="X28" s="399"/>
      <c r="Y28" s="399"/>
      <c r="Z28" s="399"/>
      <c r="AA28" s="399"/>
      <c r="AB28" s="399"/>
      <c r="AC28" s="399"/>
      <c r="AD28" s="399"/>
      <c r="AE28" s="399"/>
      <c r="AF28" s="399"/>
      <c r="AG28" s="399"/>
      <c r="AH28" s="399"/>
      <c r="AI28" s="399"/>
      <c r="AJ28" s="399"/>
      <c r="AK28" s="399"/>
      <c r="AL28" s="399"/>
    </row>
    <row r="29" spans="1:38">
      <c r="A29" s="59"/>
      <c r="B29" s="296"/>
      <c r="C29" s="398"/>
      <c r="D29" s="398"/>
      <c r="E29" s="398"/>
      <c r="F29" s="398"/>
      <c r="G29" s="398"/>
      <c r="H29" s="398"/>
      <c r="I29" s="398"/>
      <c r="J29" s="398"/>
      <c r="K29" s="398"/>
      <c r="L29" s="398"/>
      <c r="M29" s="398"/>
      <c r="N29" s="398"/>
      <c r="O29" s="398"/>
      <c r="P29" s="398"/>
      <c r="Q29" s="398"/>
      <c r="R29" s="398"/>
      <c r="S29" s="60"/>
      <c r="T29" s="399"/>
      <c r="U29" s="399"/>
      <c r="V29" s="399"/>
      <c r="W29" s="399"/>
      <c r="X29" s="399"/>
      <c r="Y29" s="399"/>
      <c r="Z29" s="399"/>
      <c r="AA29" s="399"/>
      <c r="AB29" s="399"/>
      <c r="AC29" s="399"/>
      <c r="AD29" s="399"/>
      <c r="AE29" s="399"/>
      <c r="AF29" s="399"/>
      <c r="AG29" s="399"/>
      <c r="AH29" s="399"/>
      <c r="AI29" s="399"/>
      <c r="AJ29" s="399"/>
      <c r="AK29" s="399"/>
      <c r="AL29" s="399"/>
    </row>
    <row r="30" spans="1:38">
      <c r="A30" s="59"/>
      <c r="B30" s="401"/>
      <c r="C30" s="398"/>
      <c r="D30" s="398"/>
      <c r="E30" s="398"/>
      <c r="F30" s="398"/>
      <c r="G30" s="398"/>
      <c r="H30" s="398"/>
      <c r="I30" s="398"/>
      <c r="J30" s="398"/>
      <c r="K30" s="398"/>
      <c r="L30" s="398"/>
      <c r="M30" s="398"/>
      <c r="N30" s="398"/>
      <c r="O30" s="398"/>
      <c r="P30" s="398"/>
      <c r="Q30" s="398"/>
      <c r="R30" s="398"/>
      <c r="S30" s="60"/>
      <c r="T30" s="399"/>
      <c r="U30" s="399"/>
      <c r="V30" s="399"/>
      <c r="W30" s="399"/>
      <c r="X30" s="399"/>
      <c r="Y30" s="399"/>
      <c r="Z30" s="399"/>
      <c r="AA30" s="399"/>
      <c r="AB30" s="399"/>
      <c r="AC30" s="399"/>
      <c r="AD30" s="399"/>
      <c r="AE30" s="399"/>
      <c r="AF30" s="399"/>
      <c r="AG30" s="399"/>
      <c r="AH30" s="399"/>
      <c r="AI30" s="399"/>
      <c r="AJ30" s="399"/>
      <c r="AK30" s="399"/>
      <c r="AL30" s="399"/>
    </row>
    <row r="31" spans="1:38">
      <c r="A31" s="59"/>
      <c r="B31" s="401"/>
      <c r="C31" s="401"/>
      <c r="D31" s="398"/>
      <c r="E31" s="398"/>
      <c r="F31" s="398"/>
      <c r="G31" s="398"/>
      <c r="H31" s="398"/>
      <c r="I31" s="398"/>
      <c r="J31" s="398"/>
      <c r="K31" s="398"/>
      <c r="L31" s="398"/>
      <c r="M31" s="398"/>
      <c r="N31" s="398"/>
      <c r="O31" s="398"/>
      <c r="P31" s="398"/>
      <c r="Q31" s="398"/>
      <c r="R31" s="398"/>
      <c r="S31" s="60"/>
      <c r="T31" s="399"/>
      <c r="U31" s="399"/>
      <c r="V31" s="399"/>
      <c r="W31" s="399"/>
      <c r="X31" s="399"/>
      <c r="Y31" s="399"/>
      <c r="Z31" s="399"/>
      <c r="AA31" s="399"/>
      <c r="AB31" s="399"/>
      <c r="AC31" s="399"/>
      <c r="AD31" s="399"/>
      <c r="AE31" s="399"/>
      <c r="AF31" s="399"/>
      <c r="AG31" s="399"/>
      <c r="AH31" s="399"/>
      <c r="AI31" s="399"/>
      <c r="AJ31" s="399"/>
      <c r="AK31" s="399"/>
      <c r="AL31" s="399"/>
    </row>
    <row r="32" spans="1:38">
      <c r="A32" s="59"/>
      <c r="B32" s="398"/>
      <c r="C32" s="398"/>
      <c r="D32" s="398"/>
      <c r="E32" s="398"/>
      <c r="F32" s="398"/>
      <c r="G32" s="398"/>
      <c r="H32" s="398"/>
      <c r="I32" s="398"/>
      <c r="J32" s="398"/>
      <c r="K32" s="398"/>
      <c r="L32" s="398"/>
      <c r="M32" s="398"/>
      <c r="N32" s="398"/>
      <c r="O32" s="398"/>
      <c r="P32" s="398"/>
      <c r="Q32" s="398"/>
      <c r="R32" s="398"/>
      <c r="S32" s="60"/>
      <c r="T32" s="399"/>
      <c r="U32" s="399"/>
      <c r="V32" s="399"/>
      <c r="W32" s="399"/>
      <c r="X32" s="399"/>
      <c r="Y32" s="399"/>
      <c r="Z32" s="399"/>
      <c r="AA32" s="399"/>
      <c r="AB32" s="399"/>
      <c r="AC32" s="399"/>
      <c r="AD32" s="399"/>
      <c r="AE32" s="399"/>
      <c r="AF32" s="399"/>
      <c r="AG32" s="399"/>
      <c r="AH32" s="399"/>
      <c r="AI32" s="399"/>
      <c r="AJ32" s="399"/>
      <c r="AK32" s="399"/>
      <c r="AL32" s="399"/>
    </row>
    <row r="33" spans="1:38">
      <c r="A33" s="59"/>
      <c r="B33" s="398"/>
      <c r="C33" s="398"/>
      <c r="D33" s="398"/>
      <c r="E33" s="398"/>
      <c r="F33" s="398"/>
      <c r="G33" s="398"/>
      <c r="H33" s="398"/>
      <c r="I33" s="398"/>
      <c r="J33" s="398"/>
      <c r="K33" s="398"/>
      <c r="L33" s="398"/>
      <c r="M33" s="398"/>
      <c r="N33" s="398"/>
      <c r="O33" s="398"/>
      <c r="P33" s="398"/>
      <c r="Q33" s="398"/>
      <c r="R33" s="398"/>
      <c r="S33" s="60"/>
      <c r="T33" s="399"/>
      <c r="U33" s="399"/>
      <c r="V33" s="399"/>
      <c r="W33" s="399"/>
      <c r="X33" s="399"/>
      <c r="Y33" s="399"/>
      <c r="Z33" s="399"/>
      <c r="AA33" s="399"/>
      <c r="AB33" s="399"/>
      <c r="AC33" s="399"/>
      <c r="AD33" s="399"/>
      <c r="AE33" s="399"/>
      <c r="AF33" s="399"/>
      <c r="AG33" s="399"/>
      <c r="AH33" s="399"/>
      <c r="AI33" s="399"/>
      <c r="AJ33" s="399"/>
      <c r="AK33" s="399"/>
      <c r="AL33" s="399"/>
    </row>
    <row r="34" spans="1:38">
      <c r="A34" s="59"/>
      <c r="B34" s="398"/>
      <c r="C34" s="398"/>
      <c r="D34" s="398"/>
      <c r="E34" s="398"/>
      <c r="F34" s="398"/>
      <c r="G34" s="398"/>
      <c r="H34" s="398"/>
      <c r="I34" s="398"/>
      <c r="J34" s="398"/>
      <c r="K34" s="398"/>
      <c r="L34" s="398"/>
      <c r="M34" s="398"/>
      <c r="N34" s="398"/>
      <c r="O34" s="398"/>
      <c r="P34" s="398"/>
      <c r="Q34" s="398"/>
      <c r="R34" s="398"/>
      <c r="S34" s="60"/>
      <c r="T34" s="399"/>
      <c r="U34" s="399"/>
      <c r="V34" s="399"/>
      <c r="W34" s="399"/>
      <c r="X34" s="399"/>
      <c r="Y34" s="399"/>
      <c r="Z34" s="399"/>
      <c r="AA34" s="399"/>
      <c r="AB34" s="399"/>
      <c r="AC34" s="399"/>
      <c r="AD34" s="399"/>
      <c r="AE34" s="399"/>
      <c r="AF34" s="399"/>
      <c r="AG34" s="399"/>
      <c r="AH34" s="399"/>
      <c r="AI34" s="399"/>
      <c r="AJ34" s="399"/>
      <c r="AK34" s="399"/>
      <c r="AL34" s="399"/>
    </row>
    <row r="35" spans="1:38">
      <c r="A35" s="59"/>
      <c r="B35" s="398"/>
      <c r="C35" s="398"/>
      <c r="D35" s="398"/>
      <c r="E35" s="398"/>
      <c r="F35" s="398"/>
      <c r="G35" s="398"/>
      <c r="H35" s="398"/>
      <c r="I35" s="398"/>
      <c r="J35" s="398"/>
      <c r="K35" s="398"/>
      <c r="L35" s="398"/>
      <c r="M35" s="398"/>
      <c r="N35" s="398"/>
      <c r="O35" s="398"/>
      <c r="P35" s="398"/>
      <c r="Q35" s="398"/>
      <c r="R35" s="398"/>
      <c r="S35" s="60"/>
      <c r="T35" s="399"/>
      <c r="U35" s="399"/>
      <c r="V35" s="399"/>
      <c r="W35" s="399"/>
      <c r="X35" s="399"/>
      <c r="Y35" s="399"/>
      <c r="Z35" s="399"/>
      <c r="AA35" s="399"/>
      <c r="AB35" s="399"/>
      <c r="AC35" s="399"/>
      <c r="AD35" s="399"/>
      <c r="AE35" s="399"/>
      <c r="AF35" s="399"/>
      <c r="AG35" s="399"/>
      <c r="AH35" s="399"/>
      <c r="AI35" s="399"/>
      <c r="AJ35" s="399"/>
      <c r="AK35" s="399"/>
      <c r="AL35" s="399"/>
    </row>
    <row r="36" spans="1:38">
      <c r="A36" s="59"/>
      <c r="B36" s="398"/>
      <c r="C36" s="398"/>
      <c r="D36" s="398"/>
      <c r="E36" s="398"/>
      <c r="F36" s="398"/>
      <c r="G36" s="398"/>
      <c r="H36" s="398"/>
      <c r="I36" s="398"/>
      <c r="J36" s="398"/>
      <c r="K36" s="398"/>
      <c r="L36" s="398"/>
      <c r="M36" s="398"/>
      <c r="N36" s="398"/>
      <c r="O36" s="398"/>
      <c r="P36" s="398"/>
      <c r="Q36" s="398"/>
      <c r="R36" s="398"/>
      <c r="S36" s="60"/>
      <c r="T36" s="399"/>
      <c r="U36" s="399"/>
      <c r="V36" s="399"/>
      <c r="W36" s="399"/>
      <c r="X36" s="399"/>
      <c r="Y36" s="399"/>
      <c r="Z36" s="399"/>
      <c r="AA36" s="399"/>
      <c r="AB36" s="399"/>
      <c r="AC36" s="399"/>
      <c r="AD36" s="399"/>
      <c r="AE36" s="399"/>
      <c r="AF36" s="399"/>
      <c r="AG36" s="399"/>
      <c r="AH36" s="399"/>
      <c r="AI36" s="399"/>
      <c r="AJ36" s="399"/>
      <c r="AK36" s="399"/>
      <c r="AL36" s="399"/>
    </row>
    <row r="37" spans="1:38">
      <c r="A37" s="59"/>
      <c r="B37" s="398"/>
      <c r="C37" s="398"/>
      <c r="D37" s="398"/>
      <c r="E37" s="398"/>
      <c r="F37" s="398"/>
      <c r="G37" s="398"/>
      <c r="H37" s="398"/>
      <c r="I37" s="398"/>
      <c r="J37" s="398"/>
      <c r="K37" s="398"/>
      <c r="L37" s="398"/>
      <c r="M37" s="398"/>
      <c r="N37" s="398"/>
      <c r="O37" s="398"/>
      <c r="P37" s="398"/>
      <c r="Q37" s="398"/>
      <c r="R37" s="398"/>
      <c r="S37" s="60"/>
      <c r="T37" s="399"/>
      <c r="U37" s="399"/>
      <c r="V37" s="399"/>
      <c r="W37" s="399"/>
      <c r="X37" s="399"/>
      <c r="Y37" s="399"/>
      <c r="Z37" s="399"/>
      <c r="AA37" s="399"/>
      <c r="AB37" s="399"/>
      <c r="AC37" s="399"/>
      <c r="AD37" s="399"/>
      <c r="AE37" s="399"/>
      <c r="AF37" s="399"/>
      <c r="AG37" s="399"/>
      <c r="AH37" s="399"/>
      <c r="AI37" s="399"/>
      <c r="AJ37" s="399"/>
      <c r="AK37" s="399"/>
      <c r="AL37" s="399"/>
    </row>
    <row r="38" spans="1:38">
      <c r="A38" s="59"/>
      <c r="B38" s="398"/>
      <c r="D38" s="398"/>
      <c r="E38" s="398"/>
      <c r="F38" s="398"/>
      <c r="G38" s="398"/>
      <c r="H38" s="398"/>
      <c r="I38" s="398"/>
      <c r="J38" s="398"/>
      <c r="K38" s="398"/>
      <c r="L38" s="398"/>
      <c r="M38" s="398"/>
      <c r="N38" s="398"/>
      <c r="O38" s="398"/>
      <c r="P38" s="398"/>
      <c r="Q38" s="398"/>
      <c r="R38" s="398"/>
      <c r="S38" s="60"/>
      <c r="T38" s="399"/>
      <c r="U38" s="399"/>
      <c r="V38" s="399"/>
      <c r="W38" s="399"/>
      <c r="X38" s="399"/>
      <c r="Y38" s="399"/>
      <c r="Z38" s="399"/>
      <c r="AA38" s="399"/>
      <c r="AB38" s="399"/>
      <c r="AC38" s="399"/>
      <c r="AD38" s="399"/>
      <c r="AE38" s="399"/>
      <c r="AF38" s="399"/>
      <c r="AG38" s="399"/>
      <c r="AH38" s="399"/>
      <c r="AI38" s="399"/>
      <c r="AJ38" s="399"/>
      <c r="AK38" s="399"/>
      <c r="AL38" s="399"/>
    </row>
    <row r="39" spans="1:38">
      <c r="A39" s="59"/>
      <c r="B39" s="398"/>
      <c r="C39" s="398"/>
      <c r="D39" s="398"/>
      <c r="E39" s="398"/>
      <c r="F39" s="398"/>
      <c r="G39" s="398"/>
      <c r="H39" s="398"/>
      <c r="I39" s="398"/>
      <c r="J39" s="398"/>
      <c r="K39" s="398"/>
      <c r="L39" s="398"/>
      <c r="M39" s="398"/>
      <c r="N39" s="398"/>
      <c r="O39" s="398"/>
      <c r="P39" s="398"/>
      <c r="Q39" s="398"/>
      <c r="R39" s="398"/>
      <c r="S39" s="60"/>
      <c r="T39" s="399"/>
      <c r="U39" s="399"/>
      <c r="V39" s="399"/>
      <c r="W39" s="399"/>
      <c r="X39" s="399"/>
      <c r="Y39" s="399"/>
      <c r="Z39" s="399"/>
      <c r="AA39" s="399"/>
      <c r="AB39" s="399"/>
      <c r="AC39" s="399"/>
      <c r="AD39" s="399"/>
      <c r="AE39" s="399"/>
      <c r="AF39" s="399"/>
      <c r="AG39" s="399"/>
      <c r="AH39" s="399"/>
      <c r="AI39" s="399"/>
      <c r="AJ39" s="399"/>
      <c r="AK39" s="399"/>
      <c r="AL39" s="399"/>
    </row>
    <row r="40" spans="1:38">
      <c r="A40" s="59"/>
      <c r="B40" s="398"/>
      <c r="D40" s="398"/>
      <c r="E40" s="398"/>
      <c r="F40" s="398"/>
      <c r="G40" s="398"/>
      <c r="H40" s="398"/>
      <c r="I40" s="398"/>
      <c r="J40" s="398"/>
      <c r="K40" s="398"/>
      <c r="L40" s="398"/>
      <c r="M40" s="398"/>
      <c r="N40" s="398"/>
      <c r="O40" s="398"/>
      <c r="P40" s="398"/>
      <c r="Q40" s="167" t="s">
        <v>270</v>
      </c>
      <c r="R40" s="398"/>
      <c r="S40" s="60"/>
      <c r="T40" s="399"/>
      <c r="U40" s="399"/>
      <c r="V40" s="399"/>
      <c r="W40" s="399"/>
      <c r="X40" s="399"/>
      <c r="Y40" s="399"/>
      <c r="Z40" s="399"/>
      <c r="AA40" s="399"/>
      <c r="AB40" s="399"/>
      <c r="AC40" s="399"/>
      <c r="AD40" s="399"/>
      <c r="AE40" s="399"/>
      <c r="AF40" s="399"/>
      <c r="AG40" s="399"/>
      <c r="AH40" s="399"/>
      <c r="AI40" s="399"/>
      <c r="AJ40" s="399"/>
      <c r="AK40" s="399"/>
      <c r="AL40" s="399"/>
    </row>
    <row r="41" spans="1:38">
      <c r="A41" s="59"/>
      <c r="B41" s="398"/>
      <c r="C41" s="398"/>
      <c r="D41" s="398"/>
      <c r="E41" s="398"/>
      <c r="F41" s="398"/>
      <c r="G41" s="398"/>
      <c r="H41" s="398"/>
      <c r="I41" s="398"/>
      <c r="J41" s="398"/>
      <c r="K41" s="398"/>
      <c r="L41" s="398"/>
      <c r="M41" s="398"/>
      <c r="N41" s="398"/>
      <c r="O41" s="398"/>
      <c r="P41" s="398"/>
      <c r="Q41" s="398"/>
      <c r="R41" s="398"/>
      <c r="S41" s="60"/>
      <c r="T41" s="399"/>
      <c r="U41" s="399"/>
      <c r="V41" s="399"/>
      <c r="W41" s="399"/>
      <c r="X41" s="399"/>
      <c r="Y41" s="399"/>
      <c r="Z41" s="399"/>
      <c r="AA41" s="399"/>
      <c r="AB41" s="399"/>
      <c r="AC41" s="399"/>
      <c r="AD41" s="399"/>
      <c r="AE41" s="399"/>
      <c r="AF41" s="399"/>
      <c r="AG41" s="399"/>
      <c r="AH41" s="399"/>
      <c r="AI41" s="399"/>
      <c r="AJ41" s="399"/>
      <c r="AK41" s="399"/>
      <c r="AL41" s="399"/>
    </row>
    <row r="42" spans="1:38">
      <c r="A42" s="59"/>
      <c r="B42" s="398"/>
      <c r="C42" s="398"/>
      <c r="D42" s="398"/>
      <c r="E42" s="398"/>
      <c r="F42" s="398"/>
      <c r="G42" s="398"/>
      <c r="H42" s="398"/>
      <c r="I42" s="398"/>
      <c r="J42" s="398"/>
      <c r="K42" s="398"/>
      <c r="L42" s="398"/>
      <c r="M42" s="398"/>
      <c r="N42" s="398"/>
      <c r="O42" s="398"/>
      <c r="P42" s="398"/>
      <c r="Q42" s="398"/>
      <c r="R42" s="398"/>
      <c r="S42" s="60"/>
      <c r="T42" s="399"/>
      <c r="U42" s="399"/>
      <c r="V42" s="399"/>
      <c r="W42" s="399"/>
      <c r="X42" s="399"/>
      <c r="Y42" s="399"/>
      <c r="Z42" s="399"/>
      <c r="AA42" s="399"/>
      <c r="AB42" s="399"/>
      <c r="AC42" s="399"/>
      <c r="AD42" s="399"/>
      <c r="AE42" s="399"/>
      <c r="AF42" s="399"/>
      <c r="AG42" s="399"/>
      <c r="AH42" s="399"/>
      <c r="AI42" s="399"/>
      <c r="AJ42" s="399"/>
      <c r="AK42" s="399"/>
      <c r="AL42" s="399"/>
    </row>
    <row r="43" spans="1:38">
      <c r="A43" s="59"/>
      <c r="B43" s="398"/>
      <c r="C43" s="398"/>
      <c r="D43" s="398"/>
      <c r="E43" s="398"/>
      <c r="F43" s="398"/>
      <c r="G43" s="398"/>
      <c r="H43" s="398"/>
      <c r="I43" s="398"/>
      <c r="J43" s="398"/>
      <c r="K43" s="398"/>
      <c r="L43" s="398"/>
      <c r="M43" s="398"/>
      <c r="N43" s="398"/>
      <c r="O43" s="398"/>
      <c r="P43" s="398"/>
      <c r="Q43" s="398"/>
      <c r="R43" s="398"/>
      <c r="S43" s="60"/>
      <c r="T43" s="399"/>
      <c r="U43" s="399"/>
      <c r="V43" s="399"/>
      <c r="W43" s="399"/>
      <c r="X43" s="399"/>
      <c r="Y43" s="399"/>
      <c r="Z43" s="399"/>
      <c r="AA43" s="399"/>
      <c r="AB43" s="399"/>
      <c r="AC43" s="399"/>
      <c r="AD43" s="399"/>
      <c r="AE43" s="399"/>
      <c r="AF43" s="399"/>
      <c r="AG43" s="399"/>
      <c r="AH43" s="399"/>
      <c r="AI43" s="399"/>
      <c r="AJ43" s="399"/>
      <c r="AK43" s="399"/>
      <c r="AL43" s="399"/>
    </row>
    <row r="44" spans="1:38">
      <c r="A44" s="59"/>
      <c r="B44" s="398"/>
      <c r="C44" s="398"/>
      <c r="D44" s="398"/>
      <c r="E44" s="398"/>
      <c r="F44" s="398"/>
      <c r="G44" s="398"/>
      <c r="H44" s="398"/>
      <c r="I44" s="398"/>
      <c r="J44" s="398"/>
      <c r="K44" s="398"/>
      <c r="L44" s="398"/>
      <c r="M44" s="398"/>
      <c r="N44" s="398"/>
      <c r="O44" s="398"/>
      <c r="P44" s="398"/>
      <c r="Q44" s="398"/>
      <c r="R44" s="398"/>
      <c r="S44" s="60"/>
      <c r="T44" s="399"/>
      <c r="U44" s="399"/>
      <c r="V44" s="399"/>
      <c r="W44" s="399"/>
      <c r="X44" s="399"/>
      <c r="Y44" s="399"/>
      <c r="Z44" s="399"/>
      <c r="AA44" s="399"/>
      <c r="AB44" s="399"/>
      <c r="AC44" s="399"/>
      <c r="AD44" s="399"/>
      <c r="AE44" s="399"/>
      <c r="AF44" s="399"/>
      <c r="AG44" s="399"/>
      <c r="AH44" s="399"/>
      <c r="AI44" s="399"/>
      <c r="AJ44" s="399"/>
      <c r="AK44" s="399"/>
      <c r="AL44" s="399"/>
    </row>
    <row r="45" spans="1:38">
      <c r="A45" s="59"/>
      <c r="B45" s="398"/>
      <c r="C45" s="398"/>
      <c r="D45" s="398"/>
      <c r="E45" s="398"/>
      <c r="F45" s="398"/>
      <c r="G45" s="398"/>
      <c r="H45" s="398"/>
      <c r="I45" s="398"/>
      <c r="J45" s="398"/>
      <c r="K45" s="398"/>
      <c r="L45" s="398"/>
      <c r="M45" s="398"/>
      <c r="N45" s="398"/>
      <c r="O45" s="398"/>
      <c r="P45" s="398"/>
      <c r="Q45" s="398"/>
      <c r="R45" s="398"/>
      <c r="S45" s="60"/>
      <c r="T45" s="399"/>
      <c r="U45" s="399"/>
      <c r="V45" s="399"/>
      <c r="W45" s="399"/>
      <c r="X45" s="399"/>
      <c r="Y45" s="399"/>
      <c r="Z45" s="399"/>
      <c r="AA45" s="399"/>
      <c r="AB45" s="399"/>
      <c r="AC45" s="399"/>
      <c r="AD45" s="399"/>
      <c r="AE45" s="399"/>
      <c r="AF45" s="399"/>
      <c r="AG45" s="399"/>
      <c r="AH45" s="399"/>
      <c r="AI45" s="399"/>
      <c r="AJ45" s="399"/>
      <c r="AK45" s="399"/>
      <c r="AL45" s="399"/>
    </row>
    <row r="46" spans="1:38">
      <c r="A46" s="59"/>
      <c r="B46" s="398"/>
      <c r="C46" s="398"/>
      <c r="D46" s="398"/>
      <c r="E46" s="398"/>
      <c r="F46" s="398"/>
      <c r="G46" s="398"/>
      <c r="H46" s="398"/>
      <c r="I46" s="398"/>
      <c r="J46" s="398"/>
      <c r="K46" s="398"/>
      <c r="L46" s="398"/>
      <c r="M46" s="398"/>
      <c r="N46" s="398"/>
      <c r="O46" s="398"/>
      <c r="P46" s="398"/>
      <c r="Q46" s="398"/>
      <c r="R46" s="398"/>
      <c r="S46" s="60"/>
      <c r="T46" s="399"/>
      <c r="U46" s="399"/>
      <c r="V46" s="399"/>
      <c r="W46" s="399"/>
      <c r="X46" s="399"/>
      <c r="Y46" s="399"/>
      <c r="Z46" s="399"/>
      <c r="AA46" s="399"/>
      <c r="AB46" s="399"/>
      <c r="AC46" s="399"/>
      <c r="AD46" s="399"/>
      <c r="AE46" s="399"/>
      <c r="AF46" s="399"/>
      <c r="AG46" s="399"/>
      <c r="AH46" s="399"/>
      <c r="AI46" s="399"/>
      <c r="AJ46" s="399"/>
      <c r="AK46" s="399"/>
      <c r="AL46" s="399"/>
    </row>
    <row r="47" spans="1:38">
      <c r="A47" s="59"/>
      <c r="B47" s="398"/>
      <c r="C47" s="398"/>
      <c r="D47" s="398"/>
      <c r="E47" s="398"/>
      <c r="F47" s="398"/>
      <c r="G47" s="398"/>
      <c r="H47" s="398"/>
      <c r="I47" s="398"/>
      <c r="J47" s="398"/>
      <c r="K47" s="398"/>
      <c r="L47" s="398"/>
      <c r="M47" s="398"/>
      <c r="N47" s="398"/>
      <c r="O47" s="398"/>
      <c r="P47" s="398"/>
      <c r="Q47" s="398"/>
      <c r="R47" s="398"/>
      <c r="S47" s="60"/>
      <c r="T47" s="399"/>
      <c r="U47" s="399"/>
      <c r="V47" s="399"/>
      <c r="W47" s="399"/>
      <c r="X47" s="399"/>
      <c r="Y47" s="399"/>
      <c r="Z47" s="399"/>
      <c r="AA47" s="399"/>
      <c r="AB47" s="399"/>
      <c r="AC47" s="399"/>
      <c r="AD47" s="399"/>
      <c r="AE47" s="399"/>
      <c r="AF47" s="399"/>
      <c r="AG47" s="399"/>
      <c r="AH47" s="399"/>
      <c r="AI47" s="399"/>
      <c r="AJ47" s="399"/>
      <c r="AK47" s="399"/>
      <c r="AL47" s="399"/>
    </row>
    <row r="48" spans="1:38">
      <c r="A48" s="59"/>
      <c r="B48" s="398"/>
      <c r="C48" s="398"/>
      <c r="D48" s="398"/>
      <c r="E48" s="398"/>
      <c r="F48" s="398"/>
      <c r="G48" s="398"/>
      <c r="H48" s="398"/>
      <c r="I48" s="398"/>
      <c r="J48" s="398"/>
      <c r="K48" s="398"/>
      <c r="L48" s="398"/>
      <c r="M48" s="398"/>
      <c r="N48" s="398"/>
      <c r="O48" s="398"/>
      <c r="P48" s="398"/>
      <c r="Q48" s="398"/>
      <c r="R48" s="398"/>
      <c r="S48" s="60"/>
      <c r="T48" s="399"/>
      <c r="U48" s="399"/>
      <c r="V48" s="399"/>
      <c r="W48" s="399"/>
      <c r="X48" s="399"/>
      <c r="Y48" s="399"/>
      <c r="Z48" s="399"/>
      <c r="AA48" s="399"/>
      <c r="AB48" s="399"/>
      <c r="AC48" s="399"/>
      <c r="AD48" s="399"/>
      <c r="AE48" s="399"/>
      <c r="AF48" s="399"/>
      <c r="AG48" s="399"/>
      <c r="AH48" s="399"/>
      <c r="AI48" s="399"/>
      <c r="AJ48" s="399"/>
      <c r="AK48" s="399"/>
      <c r="AL48" s="399"/>
    </row>
    <row r="49" spans="1:38">
      <c r="A49" s="59"/>
      <c r="B49" s="398"/>
      <c r="C49" s="398"/>
      <c r="D49" s="398"/>
      <c r="E49" s="398"/>
      <c r="F49" s="398"/>
      <c r="G49" s="398"/>
      <c r="H49" s="398"/>
      <c r="I49" s="398"/>
      <c r="J49" s="398"/>
      <c r="K49" s="398"/>
      <c r="L49" s="398"/>
      <c r="M49" s="398"/>
      <c r="N49" s="398"/>
      <c r="O49" s="398"/>
      <c r="P49" s="398"/>
      <c r="Q49" s="398"/>
      <c r="R49" s="398"/>
      <c r="S49" s="60"/>
      <c r="T49" s="399"/>
      <c r="U49" s="399"/>
      <c r="V49" s="399"/>
      <c r="W49" s="399"/>
      <c r="X49" s="399"/>
      <c r="Y49" s="399"/>
      <c r="Z49" s="399"/>
      <c r="AA49" s="399"/>
      <c r="AB49" s="399"/>
      <c r="AC49" s="399"/>
      <c r="AD49" s="399"/>
      <c r="AE49" s="399"/>
      <c r="AF49" s="399"/>
      <c r="AG49" s="399"/>
      <c r="AH49" s="399"/>
      <c r="AI49" s="399"/>
      <c r="AJ49" s="399"/>
      <c r="AK49" s="399"/>
      <c r="AL49" s="399"/>
    </row>
    <row r="50" spans="1:38">
      <c r="A50" s="59"/>
      <c r="B50" s="398"/>
      <c r="C50" s="398"/>
      <c r="D50" s="398"/>
      <c r="E50" s="398"/>
      <c r="F50" s="398"/>
      <c r="G50" s="398"/>
      <c r="H50" s="398"/>
      <c r="I50" s="398"/>
      <c r="J50" s="398"/>
      <c r="K50" s="398"/>
      <c r="L50" s="398"/>
      <c r="M50" s="398"/>
      <c r="N50" s="398"/>
      <c r="O50" s="398"/>
      <c r="P50" s="398"/>
      <c r="Q50" s="398"/>
      <c r="R50" s="398"/>
      <c r="S50" s="60"/>
      <c r="T50" s="399"/>
      <c r="U50" s="399"/>
      <c r="V50" s="399"/>
      <c r="W50" s="399"/>
      <c r="X50" s="399"/>
      <c r="Y50" s="399"/>
      <c r="Z50" s="399"/>
      <c r="AA50" s="399"/>
      <c r="AB50" s="399"/>
      <c r="AC50" s="399"/>
      <c r="AD50" s="399"/>
      <c r="AE50" s="399"/>
      <c r="AF50" s="399"/>
      <c r="AG50" s="399"/>
      <c r="AH50" s="399"/>
      <c r="AI50" s="399"/>
      <c r="AJ50" s="399"/>
      <c r="AK50" s="399"/>
      <c r="AL50" s="399"/>
    </row>
    <row r="51" spans="1:38">
      <c r="A51" s="59"/>
      <c r="B51" s="398"/>
      <c r="C51" s="398"/>
      <c r="D51" s="398"/>
      <c r="E51" s="398"/>
      <c r="F51" s="398"/>
      <c r="G51" s="398"/>
      <c r="H51" s="398"/>
      <c r="I51" s="398"/>
      <c r="J51" s="398"/>
      <c r="K51" s="398"/>
      <c r="L51" s="398"/>
      <c r="M51" s="398"/>
      <c r="N51" s="398"/>
      <c r="O51" s="398"/>
      <c r="P51" s="398"/>
      <c r="Q51" s="398"/>
      <c r="R51" s="398"/>
      <c r="S51" s="60"/>
      <c r="T51" s="399"/>
      <c r="U51" s="399"/>
      <c r="V51" s="399"/>
      <c r="W51" s="399"/>
      <c r="X51" s="399"/>
      <c r="Y51" s="399"/>
      <c r="Z51" s="399"/>
      <c r="AA51" s="399"/>
      <c r="AB51" s="399"/>
      <c r="AC51" s="399"/>
      <c r="AD51" s="399"/>
      <c r="AE51" s="399"/>
      <c r="AF51" s="399"/>
      <c r="AG51" s="399"/>
      <c r="AH51" s="399"/>
      <c r="AI51" s="399"/>
      <c r="AJ51" s="399"/>
      <c r="AK51" s="399"/>
      <c r="AL51" s="399"/>
    </row>
    <row r="52" spans="1:38">
      <c r="A52" s="59"/>
      <c r="B52" s="398"/>
      <c r="C52" s="398"/>
      <c r="D52" s="398"/>
      <c r="E52" s="398"/>
      <c r="F52" s="398"/>
      <c r="G52" s="398"/>
      <c r="H52" s="398"/>
      <c r="I52" s="398"/>
      <c r="J52" s="398"/>
      <c r="K52" s="398"/>
      <c r="L52" s="398"/>
      <c r="M52" s="398"/>
      <c r="N52" s="398"/>
      <c r="O52" s="398"/>
      <c r="P52" s="398"/>
      <c r="Q52" s="398"/>
      <c r="R52" s="398"/>
      <c r="S52" s="60"/>
      <c r="T52" s="399"/>
      <c r="U52" s="399"/>
      <c r="V52" s="399"/>
      <c r="W52" s="399"/>
      <c r="X52" s="399"/>
      <c r="Y52" s="399"/>
      <c r="Z52" s="399"/>
      <c r="AA52" s="399"/>
      <c r="AB52" s="399"/>
      <c r="AC52" s="399"/>
      <c r="AD52" s="399"/>
      <c r="AE52" s="399"/>
      <c r="AF52" s="399"/>
      <c r="AG52" s="399"/>
      <c r="AH52" s="399"/>
      <c r="AI52" s="399"/>
      <c r="AJ52" s="399"/>
      <c r="AK52" s="399"/>
      <c r="AL52" s="399"/>
    </row>
    <row r="53" spans="1:38">
      <c r="A53" s="59"/>
      <c r="B53" s="398"/>
      <c r="C53" s="398"/>
      <c r="D53" s="398"/>
      <c r="E53" s="398"/>
      <c r="F53" s="398"/>
      <c r="G53" s="398"/>
      <c r="H53" s="398"/>
      <c r="I53" s="398"/>
      <c r="J53" s="398"/>
      <c r="K53" s="398"/>
      <c r="L53" s="398"/>
      <c r="M53" s="398"/>
      <c r="N53" s="398"/>
      <c r="O53" s="398"/>
      <c r="P53" s="398"/>
      <c r="Q53" s="398"/>
      <c r="R53" s="398"/>
      <c r="S53" s="60"/>
      <c r="T53" s="399"/>
      <c r="U53" s="399"/>
      <c r="V53" s="399"/>
      <c r="W53" s="399"/>
      <c r="X53" s="399"/>
      <c r="Y53" s="399"/>
      <c r="Z53" s="399"/>
      <c r="AA53" s="399"/>
      <c r="AB53" s="399"/>
      <c r="AC53" s="399"/>
      <c r="AD53" s="399"/>
      <c r="AE53" s="399"/>
      <c r="AF53" s="399"/>
      <c r="AG53" s="399"/>
      <c r="AH53" s="399"/>
      <c r="AI53" s="399"/>
      <c r="AJ53" s="399"/>
      <c r="AK53" s="399"/>
      <c r="AL53" s="399"/>
    </row>
    <row r="54" spans="1:38">
      <c r="A54" s="59"/>
      <c r="B54" s="401"/>
      <c r="C54" s="398"/>
      <c r="D54" s="398"/>
      <c r="E54" s="398"/>
      <c r="F54" s="398"/>
      <c r="G54" s="398"/>
      <c r="H54" s="398"/>
      <c r="I54" s="398"/>
      <c r="J54" s="398"/>
      <c r="K54" s="398"/>
      <c r="L54" s="398"/>
      <c r="M54" s="398"/>
      <c r="N54" s="398"/>
      <c r="O54" s="398"/>
      <c r="P54" s="398"/>
      <c r="Q54" s="398"/>
      <c r="R54" s="398"/>
      <c r="S54" s="60"/>
      <c r="T54" s="399"/>
      <c r="U54" s="399"/>
      <c r="V54" s="399"/>
      <c r="W54" s="399"/>
      <c r="X54" s="399"/>
      <c r="Y54" s="399"/>
      <c r="Z54" s="399"/>
      <c r="AA54" s="399"/>
      <c r="AB54" s="399"/>
      <c r="AC54" s="399"/>
      <c r="AD54" s="399"/>
      <c r="AE54" s="399"/>
      <c r="AF54" s="399"/>
      <c r="AG54" s="399"/>
      <c r="AH54" s="399"/>
      <c r="AI54" s="399"/>
      <c r="AJ54" s="399"/>
      <c r="AK54" s="399"/>
      <c r="AL54" s="399"/>
    </row>
    <row r="55" spans="1:38">
      <c r="A55" s="59"/>
      <c r="B55" s="401"/>
      <c r="C55" s="398"/>
      <c r="D55" s="398"/>
      <c r="E55" s="398"/>
      <c r="F55" s="398"/>
      <c r="G55" s="398"/>
      <c r="H55" s="398"/>
      <c r="I55" s="398"/>
      <c r="J55" s="398"/>
      <c r="K55" s="398"/>
      <c r="L55" s="398"/>
      <c r="M55" s="398"/>
      <c r="N55" s="398"/>
      <c r="O55" s="398"/>
      <c r="P55" s="398"/>
      <c r="Q55" s="398"/>
      <c r="R55" s="398"/>
      <c r="S55" s="60"/>
      <c r="T55" s="399"/>
      <c r="U55" s="399"/>
      <c r="V55" s="399"/>
      <c r="W55" s="399"/>
      <c r="X55" s="399"/>
      <c r="Y55" s="399"/>
      <c r="Z55" s="399"/>
      <c r="AA55" s="399"/>
      <c r="AB55" s="399"/>
      <c r="AC55" s="399"/>
      <c r="AD55" s="399"/>
      <c r="AE55" s="399"/>
      <c r="AF55" s="399"/>
      <c r="AG55" s="399"/>
      <c r="AH55" s="399"/>
      <c r="AI55" s="399"/>
      <c r="AJ55" s="399"/>
      <c r="AK55" s="399"/>
      <c r="AL55" s="399"/>
    </row>
    <row r="56" spans="1:38">
      <c r="A56" s="78"/>
      <c r="B56" s="61"/>
      <c r="C56" s="61"/>
      <c r="D56" s="61"/>
      <c r="E56" s="61"/>
      <c r="F56" s="61"/>
      <c r="G56" s="61"/>
      <c r="H56" s="61"/>
      <c r="I56" s="61"/>
      <c r="J56" s="61"/>
      <c r="K56" s="61"/>
      <c r="L56" s="61"/>
      <c r="M56" s="61"/>
      <c r="N56" s="61"/>
      <c r="O56" s="61"/>
      <c r="P56" s="61"/>
      <c r="Q56" s="61"/>
      <c r="R56" s="61"/>
      <c r="S56" s="62"/>
      <c r="T56" s="399"/>
      <c r="U56" s="399"/>
      <c r="V56" s="399"/>
      <c r="W56" s="399"/>
      <c r="X56" s="399"/>
      <c r="Y56" s="399"/>
      <c r="Z56" s="399"/>
      <c r="AA56" s="399"/>
      <c r="AB56" s="399"/>
      <c r="AC56" s="399"/>
      <c r="AD56" s="399"/>
      <c r="AE56" s="399"/>
      <c r="AF56" s="399"/>
      <c r="AG56" s="399"/>
      <c r="AH56" s="399"/>
      <c r="AI56" s="399"/>
      <c r="AJ56" s="399"/>
      <c r="AK56" s="399"/>
      <c r="AL56" s="399"/>
    </row>
  </sheetData>
  <sheetProtection algorithmName="SHA-512" hashValue="KWngAjmw/fHtdpF157Up6UXzr56bb3TZw6r5bTVz05326zR0NootUh8c147M7INmJlwTvYRp3CSH7Y2QKQxMKQ==" saltValue="ExTYwJcDoHwPDCgWUzu2uQ==" spinCount="100000" sheet="1" scenarios="1"/>
  <mergeCells count="1">
    <mergeCell ref="A1:S1"/>
  </mergeCells>
  <phoneticPr fontId="0" type="noConversion"/>
  <hyperlinks>
    <hyperlink ref="Q40" location="'EV5.5.5 Alt. Matl - Shear'!A1" display="BACK" xr:uid="{00000000-0004-0000-3000-000000000000}"/>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A3D1E-A24B-4BB8-AE99-8DA937E8428A}">
  <sheetPr codeName="Tabelle7">
    <pageSetUpPr fitToPage="1"/>
  </sheetPr>
  <dimension ref="A1:U56"/>
  <sheetViews>
    <sheetView showGridLines="0" view="pageBreakPreview" zoomScaleNormal="100" zoomScaleSheetLayoutView="100" workbookViewId="0">
      <selection sqref="A1:S1"/>
    </sheetView>
  </sheetViews>
  <sheetFormatPr defaultColWidth="11.42578125" defaultRowHeight="12.75" customHeight="1"/>
  <cols>
    <col min="1" max="27" width="5" style="51" customWidth="1"/>
    <col min="28" max="28" width="6.140625" style="51" customWidth="1"/>
    <col min="29" max="38" width="5" style="51" customWidth="1"/>
    <col min="39" max="16384" width="11.42578125" style="51"/>
  </cols>
  <sheetData>
    <row r="1" spans="1:21" ht="12.75" customHeight="1">
      <c r="A1" s="874" t="s">
        <v>271</v>
      </c>
      <c r="B1" s="874"/>
      <c r="C1" s="874"/>
      <c r="D1" s="874"/>
      <c r="E1" s="874"/>
      <c r="F1" s="874"/>
      <c r="G1" s="874"/>
      <c r="H1" s="874"/>
      <c r="I1" s="874"/>
      <c r="J1" s="874"/>
      <c r="K1" s="874"/>
      <c r="L1" s="874"/>
      <c r="M1" s="874"/>
      <c r="N1" s="874"/>
      <c r="O1" s="874"/>
      <c r="P1" s="874"/>
      <c r="Q1" s="874"/>
      <c r="R1" s="874"/>
      <c r="S1" s="874"/>
    </row>
    <row r="2" spans="1:21" ht="12.75" customHeight="1">
      <c r="A2" s="110"/>
      <c r="B2" s="111"/>
      <c r="C2" s="111"/>
      <c r="D2" s="111"/>
      <c r="E2" s="111"/>
      <c r="F2" s="111"/>
      <c r="G2" s="111"/>
      <c r="H2" s="111"/>
      <c r="I2" s="111"/>
      <c r="J2" s="111"/>
      <c r="K2" s="111"/>
      <c r="L2" s="111"/>
      <c r="M2" s="111"/>
      <c r="N2" s="111"/>
      <c r="O2" s="111"/>
      <c r="P2" s="111"/>
      <c r="Q2" s="111"/>
      <c r="R2" s="111"/>
      <c r="S2" s="127"/>
      <c r="U2" s="74"/>
    </row>
    <row r="3" spans="1:21" ht="12.75" customHeight="1">
      <c r="A3" s="113"/>
      <c r="B3" s="124" t="s">
        <v>272</v>
      </c>
      <c r="C3" s="92"/>
      <c r="D3" s="92"/>
      <c r="E3" s="92"/>
      <c r="F3" s="92"/>
      <c r="G3" s="92"/>
      <c r="H3" s="92"/>
      <c r="I3" s="92"/>
      <c r="J3" s="92"/>
      <c r="K3" s="92"/>
      <c r="L3" s="92"/>
      <c r="M3" s="92"/>
      <c r="N3" s="92"/>
      <c r="O3" s="92"/>
      <c r="P3" s="92"/>
      <c r="Q3" s="92"/>
      <c r="R3" s="92"/>
      <c r="S3" s="115"/>
    </row>
    <row r="4" spans="1:21" ht="12.75" customHeight="1">
      <c r="A4" s="92"/>
      <c r="B4" s="103" t="s">
        <v>273</v>
      </c>
      <c r="C4" s="92"/>
      <c r="D4" s="92"/>
      <c r="E4" s="92"/>
      <c r="F4" s="92"/>
      <c r="G4" s="92"/>
      <c r="H4" s="92"/>
      <c r="I4" s="92"/>
      <c r="J4" s="92"/>
      <c r="K4" s="92"/>
      <c r="L4" s="92"/>
      <c r="M4" s="92"/>
      <c r="N4" s="92"/>
      <c r="O4" s="92"/>
      <c r="P4" s="92"/>
      <c r="Q4" s="92"/>
      <c r="R4" s="92"/>
      <c r="S4" s="115"/>
      <c r="U4" s="74"/>
    </row>
    <row r="5" spans="1:21" ht="12.75" customHeight="1">
      <c r="A5" s="113"/>
      <c r="C5" s="92"/>
      <c r="D5" s="92"/>
      <c r="E5" s="92"/>
      <c r="F5" s="92"/>
      <c r="G5" s="92"/>
      <c r="H5" s="92"/>
      <c r="I5" s="92"/>
      <c r="J5" s="92"/>
      <c r="K5" s="92"/>
      <c r="L5" s="92"/>
      <c r="M5" s="92"/>
      <c r="N5" s="92"/>
      <c r="O5" s="92"/>
      <c r="P5" s="92"/>
      <c r="Q5" s="92"/>
      <c r="R5" s="92"/>
      <c r="S5" s="115"/>
    </row>
    <row r="6" spans="1:21" ht="12.75" customHeight="1">
      <c r="A6" s="113"/>
      <c r="B6" s="74" t="s">
        <v>401</v>
      </c>
      <c r="C6" s="92"/>
      <c r="D6" s="92"/>
      <c r="E6" s="92"/>
      <c r="F6" s="92"/>
      <c r="G6" s="92"/>
      <c r="H6" s="92"/>
      <c r="I6" s="92"/>
      <c r="J6" s="92"/>
      <c r="K6" s="92"/>
      <c r="L6" s="92"/>
      <c r="M6" s="92"/>
      <c r="N6" s="92"/>
      <c r="O6" s="92"/>
      <c r="P6" s="92"/>
      <c r="Q6" s="92"/>
      <c r="R6" s="92"/>
      <c r="S6" s="115"/>
    </row>
    <row r="7" spans="1:21" ht="12.75" customHeight="1">
      <c r="A7" s="5"/>
      <c r="C7" s="92"/>
      <c r="D7" s="92"/>
      <c r="E7" s="92"/>
      <c r="F7" s="92"/>
      <c r="G7" s="92"/>
      <c r="H7" s="92"/>
      <c r="I7" s="92"/>
      <c r="J7" s="92"/>
      <c r="K7" s="92"/>
      <c r="L7" s="92"/>
      <c r="M7" s="92"/>
      <c r="N7" s="92"/>
      <c r="O7" s="92"/>
      <c r="P7" s="92"/>
      <c r="Q7" s="92"/>
      <c r="R7" s="92"/>
      <c r="S7" s="115"/>
    </row>
    <row r="8" spans="1:21" ht="12.75" customHeight="1">
      <c r="A8" s="113"/>
      <c r="B8" s="103" t="s">
        <v>274</v>
      </c>
      <c r="C8" s="92"/>
      <c r="D8" s="92"/>
      <c r="E8" s="92"/>
      <c r="F8" s="92"/>
      <c r="G8" s="92"/>
      <c r="H8" s="92"/>
      <c r="I8" s="92"/>
      <c r="J8" s="92"/>
      <c r="K8" s="92"/>
      <c r="L8" s="92"/>
      <c r="M8" s="92"/>
      <c r="N8" s="92"/>
      <c r="O8" s="92"/>
      <c r="P8" s="92"/>
      <c r="Q8" s="92"/>
      <c r="R8" s="92"/>
      <c r="S8" s="115"/>
    </row>
    <row r="9" spans="1:21" ht="12.75" customHeight="1">
      <c r="A9" s="113"/>
      <c r="B9" s="104" t="s">
        <v>275</v>
      </c>
      <c r="C9" s="92"/>
      <c r="D9" s="92"/>
      <c r="E9" s="92"/>
      <c r="F9" s="92"/>
      <c r="G9" s="92"/>
      <c r="H9" s="92"/>
      <c r="I9" s="92"/>
      <c r="J9" s="92"/>
      <c r="K9" s="92"/>
      <c r="L9" s="92"/>
      <c r="M9" s="92"/>
      <c r="N9" s="92"/>
      <c r="O9" s="92"/>
      <c r="P9" s="92"/>
      <c r="Q9" s="92"/>
      <c r="R9" s="92"/>
      <c r="S9" s="115"/>
    </row>
    <row r="10" spans="1:21" ht="12.75" customHeight="1">
      <c r="A10" s="113"/>
      <c r="B10" s="93" t="s">
        <v>402</v>
      </c>
      <c r="C10" s="92"/>
      <c r="D10" s="92"/>
      <c r="E10" s="92"/>
      <c r="F10" s="92"/>
      <c r="G10" s="92"/>
      <c r="H10" s="92"/>
      <c r="I10" s="92"/>
      <c r="J10" s="92"/>
      <c r="K10" s="92"/>
      <c r="L10" s="92"/>
      <c r="M10" s="92"/>
      <c r="N10" s="92"/>
      <c r="O10" s="92"/>
      <c r="P10" s="92"/>
      <c r="Q10" s="92"/>
      <c r="R10" s="92"/>
      <c r="S10" s="115"/>
    </row>
    <row r="11" spans="1:21" ht="12.75" customHeight="1">
      <c r="A11" s="113"/>
      <c r="B11" s="92" t="s">
        <v>276</v>
      </c>
      <c r="C11" s="92"/>
      <c r="D11" s="92"/>
      <c r="E11" s="92"/>
      <c r="F11" s="92"/>
      <c r="G11" s="92"/>
      <c r="H11" s="92"/>
      <c r="I11" s="92"/>
      <c r="J11" s="92"/>
      <c r="K11" s="92"/>
      <c r="L11" s="92"/>
      <c r="M11" s="92"/>
      <c r="N11" s="92"/>
      <c r="O11" s="92"/>
      <c r="P11" s="92"/>
      <c r="Q11" s="92"/>
      <c r="R11" s="92"/>
      <c r="S11" s="115"/>
    </row>
    <row r="12" spans="1:21" ht="12.75" customHeight="1">
      <c r="A12" s="113"/>
      <c r="B12" s="93" t="s">
        <v>277</v>
      </c>
      <c r="C12" s="92"/>
      <c r="D12" s="92"/>
      <c r="E12" s="92"/>
      <c r="F12" s="92"/>
      <c r="G12" s="92"/>
      <c r="H12" s="92"/>
      <c r="I12" s="92"/>
      <c r="J12" s="92"/>
      <c r="K12" s="92"/>
      <c r="L12" s="92"/>
      <c r="M12" s="92"/>
      <c r="N12" s="92"/>
      <c r="O12" s="92"/>
      <c r="P12" s="92"/>
      <c r="Q12" s="92"/>
      <c r="R12" s="92"/>
      <c r="S12" s="115"/>
    </row>
    <row r="13" spans="1:21" ht="12.75" customHeight="1">
      <c r="A13" s="113"/>
      <c r="B13" s="94" t="s">
        <v>278</v>
      </c>
      <c r="C13" s="92"/>
      <c r="D13" s="92"/>
      <c r="E13" s="92"/>
      <c r="F13" s="92"/>
      <c r="G13" s="92"/>
      <c r="H13" s="92"/>
      <c r="I13" s="92"/>
      <c r="J13" s="92"/>
      <c r="K13" s="92"/>
      <c r="L13" s="92"/>
      <c r="M13" s="92"/>
      <c r="N13" s="92"/>
      <c r="O13" s="92"/>
      <c r="P13" s="92"/>
      <c r="Q13" s="92"/>
      <c r="R13" s="92"/>
      <c r="S13" s="115"/>
    </row>
    <row r="14" spans="1:21" ht="12.75" customHeight="1">
      <c r="A14" s="113"/>
      <c r="B14" s="93" t="s">
        <v>279</v>
      </c>
      <c r="C14" s="92"/>
      <c r="D14" s="92"/>
      <c r="E14" s="92"/>
      <c r="F14" s="92"/>
      <c r="G14" s="92"/>
      <c r="H14" s="92"/>
      <c r="I14" s="92"/>
      <c r="J14" s="92"/>
      <c r="K14" s="92"/>
      <c r="L14" s="92"/>
      <c r="M14" s="92"/>
      <c r="N14" s="92"/>
      <c r="O14" s="92"/>
      <c r="P14" s="92"/>
      <c r="Q14" s="92"/>
      <c r="R14" s="92"/>
      <c r="S14" s="115"/>
    </row>
    <row r="15" spans="1:21" ht="12.75" customHeight="1">
      <c r="A15" s="113"/>
      <c r="B15" s="93" t="s">
        <v>280</v>
      </c>
      <c r="C15" s="92"/>
      <c r="D15" s="92"/>
      <c r="E15" s="92"/>
      <c r="F15" s="92"/>
      <c r="G15" s="92"/>
      <c r="H15" s="92"/>
      <c r="I15" s="92"/>
      <c r="J15" s="92"/>
      <c r="K15" s="92"/>
      <c r="L15" s="92"/>
      <c r="M15" s="92"/>
      <c r="N15" s="92"/>
      <c r="O15" s="92"/>
      <c r="P15" s="92"/>
      <c r="Q15" s="92"/>
      <c r="R15" s="92"/>
      <c r="S15" s="115"/>
    </row>
    <row r="16" spans="1:21" ht="12.75" customHeight="1">
      <c r="A16" s="113"/>
      <c r="B16" s="94" t="s">
        <v>281</v>
      </c>
      <c r="C16" s="92"/>
      <c r="D16" s="92"/>
      <c r="E16" s="92"/>
      <c r="F16" s="92"/>
      <c r="G16" s="92"/>
      <c r="H16" s="92"/>
      <c r="I16" s="92"/>
      <c r="J16" s="92"/>
      <c r="K16" s="92"/>
      <c r="L16" s="92"/>
      <c r="M16" s="92"/>
      <c r="N16" s="92"/>
      <c r="O16" s="92"/>
      <c r="P16" s="92"/>
      <c r="Q16" s="92"/>
      <c r="R16" s="92"/>
      <c r="S16" s="115"/>
    </row>
    <row r="17" spans="1:19" ht="12.75" customHeight="1">
      <c r="A17" s="113"/>
      <c r="B17" s="94" t="s">
        <v>282</v>
      </c>
      <c r="C17" s="92"/>
      <c r="D17" s="92"/>
      <c r="E17" s="92"/>
      <c r="F17" s="92"/>
      <c r="G17" s="92"/>
      <c r="H17" s="92"/>
      <c r="I17" s="92"/>
      <c r="J17" s="92"/>
      <c r="K17" s="92"/>
      <c r="L17" s="92"/>
      <c r="M17" s="92"/>
      <c r="N17" s="92"/>
      <c r="O17" s="92"/>
      <c r="P17" s="92"/>
      <c r="Q17" s="92"/>
      <c r="R17" s="92"/>
      <c r="S17" s="115"/>
    </row>
    <row r="18" spans="1:19" ht="12.75" customHeight="1">
      <c r="A18" s="113"/>
      <c r="B18" s="92"/>
      <c r="C18" s="92"/>
      <c r="D18" s="92"/>
      <c r="E18" s="92"/>
      <c r="F18" s="92"/>
      <c r="G18" s="92"/>
      <c r="H18" s="92"/>
      <c r="I18" s="92"/>
      <c r="J18" s="92"/>
      <c r="K18" s="92"/>
      <c r="L18" s="92"/>
      <c r="M18" s="92"/>
      <c r="N18" s="92"/>
      <c r="O18" s="92"/>
      <c r="P18" s="92"/>
      <c r="Q18" s="92"/>
      <c r="R18" s="92"/>
      <c r="S18" s="115"/>
    </row>
    <row r="19" spans="1:19" ht="12.75" customHeight="1">
      <c r="A19" s="113"/>
      <c r="B19" s="92"/>
      <c r="C19" s="92"/>
      <c r="D19" s="92"/>
      <c r="E19" s="92"/>
      <c r="F19" s="92"/>
      <c r="G19" s="92"/>
      <c r="H19" s="92"/>
      <c r="I19" s="92"/>
      <c r="J19" s="92"/>
      <c r="K19" s="92"/>
      <c r="L19" s="92"/>
      <c r="M19" s="92"/>
      <c r="N19" s="92"/>
      <c r="O19" s="92"/>
      <c r="P19" s="92"/>
      <c r="Q19" s="92"/>
      <c r="R19" s="159" t="s">
        <v>270</v>
      </c>
      <c r="S19" s="115"/>
    </row>
    <row r="20" spans="1:19" ht="12.75" customHeight="1">
      <c r="A20" s="113"/>
      <c r="B20" s="92"/>
      <c r="C20" s="92"/>
      <c r="D20" s="92"/>
      <c r="E20" s="92"/>
      <c r="F20" s="92"/>
      <c r="G20" s="92"/>
      <c r="H20" s="92"/>
      <c r="I20" s="92"/>
      <c r="J20" s="92"/>
      <c r="K20" s="92"/>
      <c r="L20" s="92"/>
      <c r="M20" s="92"/>
      <c r="N20" s="92"/>
      <c r="O20" s="92"/>
      <c r="P20" s="92"/>
      <c r="Q20" s="92"/>
      <c r="R20" s="92"/>
      <c r="S20" s="115"/>
    </row>
    <row r="21" spans="1:19" ht="12.75" customHeight="1">
      <c r="A21" s="113"/>
      <c r="B21" s="95"/>
      <c r="C21" s="92"/>
      <c r="D21" s="92"/>
      <c r="E21" s="92"/>
      <c r="F21" s="92"/>
      <c r="G21" s="92"/>
      <c r="H21" s="92"/>
      <c r="I21" s="92"/>
      <c r="J21" s="92"/>
      <c r="K21" s="92"/>
      <c r="L21" s="92"/>
      <c r="M21" s="92"/>
      <c r="N21" s="92"/>
      <c r="O21" s="92"/>
      <c r="P21" s="92"/>
      <c r="Q21" s="92"/>
      <c r="R21" s="92"/>
      <c r="S21" s="115"/>
    </row>
    <row r="22" spans="1:19" ht="12.75" customHeight="1">
      <c r="A22" s="113"/>
      <c r="B22" s="93"/>
      <c r="C22" s="92"/>
      <c r="D22" s="92"/>
      <c r="E22" s="92"/>
      <c r="F22" s="92"/>
      <c r="G22" s="92"/>
      <c r="H22" s="92"/>
      <c r="I22" s="92"/>
      <c r="J22" s="92"/>
      <c r="K22" s="92"/>
      <c r="L22" s="92"/>
      <c r="M22" s="92"/>
      <c r="N22" s="92"/>
      <c r="O22" s="92"/>
      <c r="P22" s="92"/>
      <c r="Q22" s="92"/>
      <c r="R22" s="92"/>
      <c r="S22" s="115"/>
    </row>
    <row r="23" spans="1:19" ht="12.75" customHeight="1">
      <c r="A23" s="95"/>
      <c r="B23" s="95"/>
      <c r="C23" s="92"/>
      <c r="D23" s="92"/>
      <c r="E23" s="92"/>
      <c r="F23" s="92"/>
      <c r="G23" s="92"/>
      <c r="H23" s="92"/>
      <c r="I23" s="92"/>
      <c r="J23" s="92"/>
      <c r="K23" s="92"/>
      <c r="L23" s="92"/>
      <c r="M23" s="92"/>
      <c r="N23" s="92"/>
      <c r="O23" s="92"/>
      <c r="P23" s="92"/>
      <c r="Q23" s="92"/>
      <c r="R23" s="92"/>
      <c r="S23" s="115"/>
    </row>
    <row r="24" spans="1:19" ht="12.75" customHeight="1">
      <c r="A24" s="95"/>
      <c r="B24" s="95"/>
      <c r="C24" s="92"/>
      <c r="D24" s="92"/>
      <c r="E24" s="92"/>
      <c r="F24" s="92"/>
      <c r="G24" s="92"/>
      <c r="H24" s="92"/>
      <c r="I24" s="92"/>
      <c r="J24" s="92"/>
      <c r="K24" s="92"/>
      <c r="L24" s="92"/>
      <c r="M24" s="92"/>
      <c r="N24" s="92"/>
      <c r="O24" s="92"/>
      <c r="P24" s="92"/>
      <c r="Q24" s="92"/>
      <c r="R24" s="92"/>
      <c r="S24" s="115"/>
    </row>
    <row r="25" spans="1:19" ht="12.75" customHeight="1">
      <c r="A25" s="95"/>
      <c r="B25" s="95"/>
      <c r="C25" s="95"/>
      <c r="D25" s="95"/>
      <c r="E25" s="95"/>
      <c r="F25" s="95"/>
      <c r="G25" s="95"/>
      <c r="H25" s="95"/>
      <c r="I25" s="95"/>
      <c r="J25" s="95"/>
      <c r="K25" s="95"/>
      <c r="L25" s="95"/>
      <c r="M25" s="95"/>
      <c r="N25" s="95"/>
      <c r="O25" s="95"/>
      <c r="P25" s="95"/>
      <c r="Q25" s="95"/>
      <c r="R25" s="95"/>
      <c r="S25" s="116"/>
    </row>
    <row r="26" spans="1:19" ht="12.75" customHeight="1">
      <c r="A26" s="95"/>
      <c r="B26" s="95"/>
      <c r="C26" s="95"/>
      <c r="D26" s="95"/>
      <c r="E26" s="95"/>
      <c r="F26" s="95"/>
      <c r="G26" s="95"/>
      <c r="H26" s="95"/>
      <c r="I26" s="95"/>
      <c r="J26" s="95"/>
      <c r="K26" s="95"/>
      <c r="L26" s="95"/>
      <c r="M26" s="95"/>
      <c r="N26" s="95"/>
      <c r="O26" s="95"/>
      <c r="P26" s="95"/>
      <c r="Q26" s="95"/>
      <c r="R26" s="95"/>
      <c r="S26" s="116"/>
    </row>
    <row r="27" spans="1:19" ht="12.75" customHeight="1">
      <c r="A27" s="95"/>
      <c r="B27" s="95"/>
      <c r="C27" s="95"/>
      <c r="D27" s="95"/>
      <c r="E27" s="95"/>
      <c r="F27" s="95"/>
      <c r="G27" s="95"/>
      <c r="H27" s="95"/>
      <c r="I27" s="95"/>
      <c r="J27" s="95"/>
      <c r="K27" s="95"/>
      <c r="L27" s="95"/>
      <c r="M27" s="95"/>
      <c r="N27" s="95"/>
      <c r="O27" s="95"/>
      <c r="P27" s="95"/>
      <c r="Q27" s="95"/>
      <c r="R27" s="95"/>
      <c r="S27" s="116"/>
    </row>
    <row r="28" spans="1:19" ht="12.75" customHeight="1">
      <c r="A28" s="95"/>
      <c r="B28" s="95"/>
      <c r="C28" s="95"/>
      <c r="D28" s="95"/>
      <c r="E28" s="95"/>
      <c r="F28" s="95"/>
      <c r="G28" s="95"/>
      <c r="H28" s="95"/>
      <c r="I28" s="95"/>
      <c r="J28" s="95"/>
      <c r="K28" s="95"/>
      <c r="L28" s="95"/>
      <c r="M28" s="95"/>
      <c r="N28" s="95"/>
      <c r="O28" s="95"/>
      <c r="P28" s="95"/>
      <c r="Q28" s="95"/>
      <c r="R28" s="95"/>
      <c r="S28" s="116"/>
    </row>
    <row r="29" spans="1:19" ht="12.75" customHeight="1">
      <c r="A29" s="95"/>
      <c r="B29" s="95"/>
      <c r="C29" s="95"/>
      <c r="D29" s="95"/>
      <c r="E29" s="95"/>
      <c r="F29" s="95"/>
      <c r="G29" s="95"/>
      <c r="H29" s="95"/>
      <c r="I29" s="95"/>
      <c r="J29" s="95"/>
      <c r="K29" s="95"/>
      <c r="L29" s="95"/>
      <c r="M29" s="95"/>
      <c r="N29" s="95"/>
      <c r="O29" s="95"/>
      <c r="P29" s="95"/>
      <c r="Q29" s="95"/>
      <c r="R29" s="95"/>
      <c r="S29" s="116"/>
    </row>
    <row r="30" spans="1:19" ht="12.75" customHeight="1">
      <c r="A30" s="95"/>
      <c r="B30" s="95"/>
      <c r="C30" s="95"/>
      <c r="D30" s="95"/>
      <c r="E30" s="95"/>
      <c r="F30" s="95"/>
      <c r="G30" s="95"/>
      <c r="H30" s="95"/>
      <c r="I30" s="95"/>
      <c r="J30" s="95"/>
      <c r="K30" s="95"/>
      <c r="L30" s="95"/>
      <c r="M30" s="95"/>
      <c r="N30" s="95"/>
      <c r="O30" s="95"/>
      <c r="P30" s="95"/>
      <c r="Q30" s="95"/>
      <c r="R30" s="95"/>
      <c r="S30" s="116"/>
    </row>
    <row r="31" spans="1:19" ht="12.75" customHeight="1">
      <c r="A31" s="113"/>
      <c r="B31" s="117"/>
      <c r="C31" s="117"/>
      <c r="D31" s="117"/>
      <c r="E31" s="117"/>
      <c r="F31" s="117"/>
      <c r="G31" s="117"/>
      <c r="H31" s="117"/>
      <c r="I31" s="117"/>
      <c r="J31" s="117"/>
      <c r="K31" s="117"/>
      <c r="L31" s="117"/>
      <c r="M31" s="117"/>
      <c r="N31" s="117"/>
      <c r="O31" s="117"/>
      <c r="P31" s="92"/>
      <c r="Q31" s="92"/>
      <c r="R31" s="92"/>
      <c r="S31" s="115"/>
    </row>
    <row r="32" spans="1:19" ht="12.75" customHeight="1">
      <c r="A32" s="113"/>
      <c r="B32" s="92"/>
      <c r="C32" s="92"/>
      <c r="D32" s="92"/>
      <c r="E32" s="92"/>
      <c r="F32" s="92"/>
      <c r="G32" s="92"/>
      <c r="H32" s="92"/>
      <c r="I32" s="92"/>
      <c r="J32" s="92"/>
      <c r="K32" s="92"/>
      <c r="L32" s="92"/>
      <c r="M32" s="92"/>
      <c r="N32" s="92"/>
      <c r="O32" s="92"/>
      <c r="P32" s="92"/>
      <c r="Q32" s="92"/>
      <c r="R32" s="92"/>
      <c r="S32" s="115"/>
    </row>
    <row r="33" spans="1:19" ht="12.75" customHeight="1">
      <c r="A33" s="113"/>
      <c r="B33" s="93"/>
      <c r="C33" s="92"/>
      <c r="D33" s="92"/>
      <c r="E33" s="92"/>
      <c r="F33" s="92"/>
      <c r="G33" s="92"/>
      <c r="H33" s="92"/>
      <c r="I33" s="92"/>
      <c r="J33" s="92"/>
      <c r="K33" s="92"/>
      <c r="L33" s="92"/>
      <c r="M33" s="92"/>
      <c r="N33" s="92"/>
      <c r="O33" s="92"/>
      <c r="P33" s="92"/>
      <c r="Q33" s="92"/>
      <c r="R33" s="92"/>
      <c r="S33" s="115"/>
    </row>
    <row r="34" spans="1:19" ht="12.75" customHeight="1">
      <c r="A34" s="113"/>
      <c r="B34" s="105"/>
      <c r="C34" s="92"/>
      <c r="D34" s="92"/>
      <c r="E34" s="92"/>
      <c r="F34" s="92"/>
      <c r="G34" s="92"/>
      <c r="H34" s="92"/>
      <c r="I34" s="92"/>
      <c r="J34" s="92"/>
      <c r="K34" s="92"/>
      <c r="L34" s="92"/>
      <c r="M34" s="92"/>
      <c r="N34" s="92"/>
      <c r="O34" s="92"/>
      <c r="P34" s="92"/>
      <c r="Q34" s="92"/>
      <c r="R34" s="92"/>
      <c r="S34" s="115"/>
    </row>
    <row r="35" spans="1:19" ht="12.75" customHeight="1">
      <c r="A35" s="95"/>
      <c r="B35" s="95"/>
      <c r="C35" s="92"/>
      <c r="D35" s="92"/>
      <c r="E35" s="92"/>
      <c r="F35" s="92"/>
      <c r="G35" s="92"/>
      <c r="H35" s="92"/>
      <c r="I35" s="92"/>
      <c r="J35" s="92"/>
      <c r="K35" s="92"/>
      <c r="L35" s="92"/>
      <c r="M35" s="92"/>
      <c r="N35" s="92"/>
      <c r="O35" s="92"/>
      <c r="P35" s="92"/>
      <c r="Q35" s="92"/>
      <c r="R35" s="92"/>
      <c r="S35" s="115"/>
    </row>
    <row r="36" spans="1:19" ht="12.75" customHeight="1">
      <c r="A36" s="113"/>
      <c r="B36" s="96"/>
      <c r="C36" s="118"/>
      <c r="D36" s="118"/>
      <c r="E36" s="92"/>
      <c r="F36" s="92"/>
      <c r="G36" s="92"/>
      <c r="H36" s="92"/>
      <c r="I36" s="92"/>
      <c r="J36" s="92"/>
      <c r="K36" s="92"/>
      <c r="L36" s="92"/>
      <c r="M36" s="92"/>
      <c r="N36" s="92"/>
      <c r="O36" s="92"/>
      <c r="P36" s="92"/>
      <c r="Q36" s="92"/>
      <c r="R36" s="92"/>
      <c r="S36" s="115"/>
    </row>
    <row r="37" spans="1:19" ht="12.75" customHeight="1">
      <c r="A37" s="113"/>
      <c r="B37" s="96"/>
      <c r="C37" s="119"/>
      <c r="D37" s="119"/>
      <c r="E37" s="119"/>
      <c r="F37" s="119"/>
      <c r="G37" s="119"/>
      <c r="H37" s="92"/>
      <c r="I37" s="92"/>
      <c r="J37" s="92"/>
      <c r="K37" s="92"/>
      <c r="L37" s="92"/>
      <c r="M37" s="92"/>
      <c r="N37" s="92"/>
      <c r="O37" s="92"/>
      <c r="P37" s="92"/>
      <c r="Q37" s="92"/>
      <c r="R37" s="92"/>
      <c r="S37" s="115"/>
    </row>
    <row r="38" spans="1:19" ht="12.75" customHeight="1">
      <c r="A38" s="113"/>
      <c r="B38" s="92"/>
      <c r="C38" s="92"/>
      <c r="D38" s="92"/>
      <c r="E38" s="92"/>
      <c r="F38" s="92"/>
      <c r="G38" s="92"/>
      <c r="H38" s="92"/>
      <c r="I38" s="92"/>
      <c r="J38" s="92"/>
      <c r="K38" s="92"/>
      <c r="L38" s="92"/>
      <c r="M38" s="92"/>
      <c r="N38" s="92"/>
      <c r="O38" s="92"/>
      <c r="P38" s="92"/>
      <c r="Q38" s="92"/>
      <c r="R38" s="92"/>
      <c r="S38" s="115"/>
    </row>
    <row r="39" spans="1:19" ht="12.75" customHeight="1">
      <c r="A39" s="106"/>
      <c r="B39" s="875"/>
      <c r="C39" s="876"/>
      <c r="D39" s="876"/>
      <c r="E39" s="876"/>
      <c r="F39" s="876"/>
      <c r="G39" s="876"/>
      <c r="H39" s="876"/>
      <c r="I39" s="876"/>
      <c r="J39" s="876"/>
      <c r="K39" s="876"/>
      <c r="L39" s="876"/>
      <c r="M39" s="876"/>
      <c r="N39" s="876"/>
      <c r="O39" s="876"/>
      <c r="P39" s="876"/>
      <c r="Q39" s="876"/>
      <c r="R39" s="876"/>
      <c r="S39" s="107"/>
    </row>
    <row r="40" spans="1:19" ht="12.75" customHeight="1">
      <c r="A40" s="113"/>
      <c r="B40" s="92"/>
      <c r="C40" s="92"/>
      <c r="D40" s="92"/>
      <c r="E40" s="92"/>
      <c r="F40" s="92"/>
      <c r="G40" s="92"/>
      <c r="H40" s="92"/>
      <c r="I40" s="92"/>
      <c r="J40" s="92"/>
      <c r="K40" s="92"/>
      <c r="L40" s="92"/>
      <c r="M40" s="92"/>
      <c r="N40" s="92"/>
      <c r="O40" s="92"/>
      <c r="P40" s="92"/>
      <c r="Q40" s="92"/>
      <c r="R40" s="92"/>
      <c r="S40" s="115"/>
    </row>
    <row r="41" spans="1:19" ht="12.75" customHeight="1">
      <c r="A41" s="113"/>
      <c r="B41" s="92"/>
      <c r="C41" s="92"/>
      <c r="D41" s="92"/>
      <c r="E41" s="92"/>
      <c r="F41" s="92"/>
      <c r="G41" s="92"/>
      <c r="H41" s="92"/>
      <c r="I41" s="92"/>
      <c r="J41" s="92"/>
      <c r="K41" s="92"/>
      <c r="L41" s="92"/>
      <c r="M41" s="92"/>
      <c r="N41" s="92"/>
      <c r="O41" s="92"/>
      <c r="P41" s="92"/>
      <c r="Q41" s="92"/>
      <c r="R41" s="92"/>
      <c r="S41" s="115"/>
    </row>
    <row r="42" spans="1:19" ht="12.75" customHeight="1">
      <c r="A42" s="113"/>
      <c r="B42" s="92"/>
      <c r="C42" s="92"/>
      <c r="D42" s="92"/>
      <c r="E42" s="92"/>
      <c r="F42" s="92"/>
      <c r="G42" s="92"/>
      <c r="H42" s="92"/>
      <c r="I42" s="92"/>
      <c r="J42" s="92"/>
      <c r="K42" s="92"/>
      <c r="L42" s="92"/>
      <c r="M42" s="92"/>
      <c r="N42" s="92"/>
      <c r="O42" s="92"/>
      <c r="P42" s="92"/>
      <c r="Q42" s="92"/>
      <c r="R42" s="92"/>
      <c r="S42" s="115"/>
    </row>
    <row r="43" spans="1:19" ht="12.75" customHeight="1">
      <c r="A43" s="113"/>
      <c r="B43" s="92"/>
      <c r="C43" s="92"/>
      <c r="D43" s="92"/>
      <c r="E43" s="92"/>
      <c r="F43" s="92"/>
      <c r="G43" s="92"/>
      <c r="H43" s="92"/>
      <c r="I43" s="92"/>
      <c r="J43" s="92"/>
      <c r="K43" s="92"/>
      <c r="L43" s="92"/>
      <c r="M43" s="92"/>
      <c r="N43" s="92"/>
      <c r="O43" s="92"/>
      <c r="P43" s="92"/>
      <c r="Q43" s="92"/>
      <c r="R43" s="92"/>
      <c r="S43" s="115"/>
    </row>
    <row r="44" spans="1:19" ht="12.75" customHeight="1">
      <c r="A44" s="113"/>
      <c r="B44" s="92"/>
      <c r="C44" s="92"/>
      <c r="D44" s="92"/>
      <c r="E44" s="92"/>
      <c r="F44" s="92"/>
      <c r="G44" s="92"/>
      <c r="H44" s="92"/>
      <c r="I44" s="92"/>
      <c r="J44" s="92"/>
      <c r="K44" s="92"/>
      <c r="L44" s="92"/>
      <c r="M44" s="92"/>
      <c r="N44" s="92"/>
      <c r="O44" s="92"/>
      <c r="P44" s="92"/>
      <c r="Q44" s="92"/>
      <c r="R44" s="92"/>
      <c r="S44" s="115"/>
    </row>
    <row r="45" spans="1:19" ht="12.75" customHeight="1">
      <c r="A45" s="113"/>
      <c r="B45" s="92"/>
      <c r="C45" s="92"/>
      <c r="D45" s="92"/>
      <c r="E45" s="92"/>
      <c r="F45" s="92"/>
      <c r="G45" s="92"/>
      <c r="H45" s="92"/>
      <c r="I45" s="92"/>
      <c r="J45" s="92"/>
      <c r="K45" s="92"/>
      <c r="L45" s="92"/>
      <c r="M45" s="92"/>
      <c r="N45" s="92"/>
      <c r="O45" s="92"/>
      <c r="P45" s="92"/>
      <c r="Q45" s="92"/>
      <c r="R45" s="92"/>
      <c r="S45" s="115"/>
    </row>
    <row r="46" spans="1:19" ht="12.75" customHeight="1">
      <c r="A46" s="113"/>
      <c r="B46" s="92"/>
      <c r="C46" s="92"/>
      <c r="D46" s="92"/>
      <c r="E46" s="92"/>
      <c r="F46" s="92"/>
      <c r="G46" s="92"/>
      <c r="H46" s="92"/>
      <c r="I46" s="92"/>
      <c r="J46" s="92"/>
      <c r="K46" s="92"/>
      <c r="L46" s="92"/>
      <c r="M46" s="92"/>
      <c r="N46" s="92"/>
      <c r="O46" s="92"/>
      <c r="P46" s="92"/>
      <c r="Q46" s="92"/>
      <c r="R46" s="92"/>
      <c r="S46" s="115"/>
    </row>
    <row r="47" spans="1:19" ht="12.75" customHeight="1">
      <c r="A47" s="113"/>
      <c r="B47" s="92"/>
      <c r="C47" s="92"/>
      <c r="D47" s="92"/>
      <c r="E47" s="92"/>
      <c r="F47" s="92"/>
      <c r="G47" s="92"/>
      <c r="H47" s="92"/>
      <c r="I47" s="92"/>
      <c r="J47" s="92"/>
      <c r="K47" s="92"/>
      <c r="L47" s="92"/>
      <c r="M47" s="92"/>
      <c r="N47" s="92"/>
      <c r="O47" s="92"/>
      <c r="P47" s="92"/>
      <c r="Q47" s="92"/>
      <c r="R47" s="92"/>
      <c r="S47" s="115"/>
    </row>
    <row r="48" spans="1:19" ht="12.75" customHeight="1">
      <c r="A48" s="113"/>
      <c r="B48" s="92"/>
      <c r="C48" s="92"/>
      <c r="D48" s="92"/>
      <c r="E48" s="92"/>
      <c r="F48" s="92"/>
      <c r="G48" s="92"/>
      <c r="H48" s="92"/>
      <c r="I48" s="92"/>
      <c r="J48" s="92"/>
      <c r="K48" s="92"/>
      <c r="L48" s="92"/>
      <c r="M48" s="92"/>
      <c r="N48" s="92"/>
      <c r="O48" s="92"/>
      <c r="P48" s="92"/>
      <c r="Q48" s="92"/>
      <c r="R48" s="92"/>
      <c r="S48" s="115"/>
    </row>
    <row r="49" spans="1:19" ht="12.75" customHeight="1">
      <c r="A49" s="113"/>
      <c r="B49" s="92"/>
      <c r="C49" s="92"/>
      <c r="D49" s="92"/>
      <c r="E49" s="92"/>
      <c r="F49" s="92"/>
      <c r="G49" s="92"/>
      <c r="H49" s="92"/>
      <c r="I49" s="92"/>
      <c r="J49" s="92"/>
      <c r="K49" s="92"/>
      <c r="L49" s="92"/>
      <c r="M49" s="92"/>
      <c r="N49" s="92"/>
      <c r="O49" s="92"/>
      <c r="P49" s="92"/>
      <c r="Q49" s="92"/>
      <c r="R49" s="92"/>
      <c r="S49" s="115"/>
    </row>
    <row r="50" spans="1:19" ht="12.75" customHeight="1">
      <c r="A50" s="113"/>
      <c r="B50" s="92"/>
      <c r="C50" s="92"/>
      <c r="D50" s="92"/>
      <c r="E50" s="92"/>
      <c r="F50" s="92"/>
      <c r="G50" s="92"/>
      <c r="H50" s="92"/>
      <c r="I50" s="92"/>
      <c r="J50" s="92"/>
      <c r="K50" s="92"/>
      <c r="L50" s="92"/>
      <c r="M50" s="92"/>
      <c r="N50" s="92"/>
      <c r="O50" s="92"/>
      <c r="P50" s="92"/>
      <c r="Q50" s="92"/>
      <c r="R50" s="92"/>
      <c r="S50" s="115"/>
    </row>
    <row r="51" spans="1:19" ht="12.75" customHeight="1">
      <c r="A51" s="113"/>
      <c r="B51" s="92"/>
      <c r="C51" s="92"/>
      <c r="D51" s="92"/>
      <c r="E51" s="92"/>
      <c r="F51" s="92"/>
      <c r="G51" s="92"/>
      <c r="H51" s="92"/>
      <c r="I51" s="92"/>
      <c r="J51" s="92"/>
      <c r="K51" s="92"/>
      <c r="L51" s="92"/>
      <c r="M51" s="92"/>
      <c r="N51" s="92"/>
      <c r="O51" s="92"/>
      <c r="P51" s="92"/>
      <c r="Q51" s="92"/>
      <c r="R51" s="92"/>
      <c r="S51" s="115"/>
    </row>
    <row r="52" spans="1:19" ht="12.75" customHeight="1">
      <c r="A52" s="92"/>
      <c r="B52" s="92"/>
      <c r="C52" s="92"/>
      <c r="D52" s="92"/>
      <c r="E52" s="92"/>
      <c r="F52" s="92"/>
      <c r="G52" s="92"/>
      <c r="H52" s="92"/>
      <c r="I52" s="92"/>
      <c r="J52" s="92"/>
      <c r="K52" s="92"/>
      <c r="L52" s="92"/>
      <c r="M52" s="92"/>
      <c r="N52" s="92"/>
      <c r="O52" s="92"/>
      <c r="P52" s="92"/>
      <c r="Q52" s="92"/>
      <c r="R52" s="92"/>
      <c r="S52" s="115"/>
    </row>
    <row r="53" spans="1:19" ht="12.75" customHeight="1">
      <c r="A53" s="92"/>
      <c r="B53" s="92"/>
      <c r="C53" s="92"/>
      <c r="D53" s="92"/>
      <c r="E53" s="92"/>
      <c r="F53" s="92"/>
      <c r="G53" s="92"/>
      <c r="H53" s="92"/>
      <c r="I53" s="92"/>
      <c r="J53" s="92"/>
      <c r="K53" s="92"/>
      <c r="L53" s="92"/>
      <c r="M53" s="92"/>
      <c r="N53" s="92"/>
      <c r="O53" s="92"/>
      <c r="P53" s="92"/>
      <c r="Q53" s="92"/>
      <c r="R53" s="92"/>
      <c r="S53" s="115"/>
    </row>
    <row r="54" spans="1:19" ht="12.75" customHeight="1">
      <c r="A54" s="128"/>
      <c r="B54" s="128"/>
      <c r="C54" s="128"/>
      <c r="D54" s="128"/>
      <c r="E54" s="128"/>
      <c r="F54" s="128"/>
      <c r="G54" s="128"/>
      <c r="H54" s="128"/>
      <c r="I54" s="128"/>
      <c r="J54" s="128"/>
      <c r="K54" s="128"/>
      <c r="L54" s="128"/>
      <c r="M54" s="128"/>
      <c r="N54" s="128"/>
      <c r="O54" s="128"/>
      <c r="P54" s="128"/>
      <c r="Q54" s="128"/>
      <c r="S54" s="129"/>
    </row>
    <row r="55" spans="1:19" ht="12.75" customHeight="1">
      <c r="A55" s="130"/>
      <c r="B55" s="128"/>
      <c r="C55" s="128"/>
      <c r="D55" s="128"/>
      <c r="E55" s="128"/>
      <c r="F55" s="128"/>
      <c r="G55" s="128"/>
      <c r="H55" s="128"/>
      <c r="I55" s="128"/>
      <c r="J55" s="128"/>
      <c r="K55" s="128"/>
      <c r="L55" s="128"/>
      <c r="M55" s="128"/>
      <c r="N55" s="128"/>
      <c r="O55" s="128"/>
      <c r="P55" s="128"/>
      <c r="Q55" s="128"/>
      <c r="R55" s="128"/>
      <c r="S55" s="129"/>
    </row>
    <row r="56" spans="1:19" ht="12.75" customHeight="1">
      <c r="A56" s="131"/>
      <c r="B56" s="132"/>
      <c r="C56" s="132"/>
      <c r="D56" s="132"/>
      <c r="E56" s="132"/>
      <c r="F56" s="132"/>
      <c r="G56" s="132"/>
      <c r="H56" s="132"/>
      <c r="I56" s="132"/>
      <c r="J56" s="132"/>
      <c r="K56" s="132"/>
      <c r="L56" s="132"/>
      <c r="M56" s="132"/>
      <c r="N56" s="132"/>
      <c r="O56" s="132"/>
      <c r="P56" s="132"/>
      <c r="Q56" s="132"/>
      <c r="R56" s="132"/>
      <c r="S56" s="133"/>
    </row>
  </sheetData>
  <sheetProtection algorithmName="SHA-512" hashValue="Lu8qyPQJG+FPsv6+7Q0JXm5r0dcUoDRb5bM3ExY+Eeu4ggCjKNCveCAcJeLZ8sdtwU0Pmm6ZX421kx5sVJtEAA==" saltValue="LmTfw7NyP9PVITKZeaGaaA==" spinCount="100000" sheet="1" scenarios="1"/>
  <mergeCells count="2">
    <mergeCell ref="A1:S1"/>
    <mergeCell ref="B39:R39"/>
  </mergeCells>
  <hyperlinks>
    <hyperlink ref="R19" location="'Materials Overview'!A1" display="BACK" xr:uid="{F3BD214B-A6C8-4705-8843-EF8D7BA6E498}"/>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43E97-43A9-4A75-90E5-80B3BB34189D}">
  <sheetPr codeName="Tabelle8">
    <pageSetUpPr fitToPage="1"/>
  </sheetPr>
  <dimension ref="A1:S56"/>
  <sheetViews>
    <sheetView showGridLines="0" view="pageBreakPreview" zoomScaleNormal="100" zoomScaleSheetLayoutView="100" workbookViewId="0">
      <selection sqref="A1:S1"/>
    </sheetView>
  </sheetViews>
  <sheetFormatPr defaultColWidth="11.42578125" defaultRowHeight="12.75" customHeight="1"/>
  <cols>
    <col min="1" max="27" width="5" style="109" customWidth="1"/>
    <col min="28" max="28" width="6.140625" style="109" customWidth="1"/>
    <col min="29" max="38" width="5" style="109" customWidth="1"/>
    <col min="39" max="16384" width="11.42578125" style="109"/>
  </cols>
  <sheetData>
    <row r="1" spans="1:19" ht="12.75" customHeight="1">
      <c r="A1" s="874" t="s">
        <v>283</v>
      </c>
      <c r="B1" s="874"/>
      <c r="C1" s="874"/>
      <c r="D1" s="874"/>
      <c r="E1" s="874"/>
      <c r="F1" s="874"/>
      <c r="G1" s="874"/>
      <c r="H1" s="874"/>
      <c r="I1" s="874"/>
      <c r="J1" s="874"/>
      <c r="K1" s="874"/>
      <c r="L1" s="874"/>
      <c r="M1" s="874"/>
      <c r="N1" s="874"/>
      <c r="O1" s="874"/>
      <c r="P1" s="874"/>
      <c r="Q1" s="874"/>
      <c r="R1" s="874"/>
      <c r="S1" s="874"/>
    </row>
    <row r="2" spans="1:19" ht="12.75" customHeight="1">
      <c r="A2" s="420"/>
      <c r="B2" s="421"/>
      <c r="C2" s="421"/>
      <c r="D2" s="421"/>
      <c r="E2" s="421"/>
      <c r="F2" s="421"/>
      <c r="G2" s="421"/>
      <c r="H2" s="421"/>
      <c r="I2" s="421"/>
      <c r="J2" s="421"/>
      <c r="K2" s="421"/>
      <c r="L2" s="421"/>
      <c r="M2" s="421"/>
      <c r="N2" s="421"/>
      <c r="O2" s="421"/>
      <c r="P2" s="421"/>
      <c r="Q2" s="421"/>
      <c r="R2" s="421"/>
      <c r="S2" s="422"/>
    </row>
    <row r="3" spans="1:19" ht="12.75" customHeight="1">
      <c r="A3" s="423"/>
      <c r="B3" s="424" t="s">
        <v>284</v>
      </c>
      <c r="C3" s="424"/>
      <c r="D3" s="424"/>
      <c r="E3" s="424"/>
      <c r="F3" s="424"/>
      <c r="G3" s="424"/>
      <c r="H3" s="424"/>
      <c r="I3" s="424"/>
      <c r="J3" s="424"/>
      <c r="K3" s="424"/>
      <c r="L3" s="424"/>
      <c r="M3" s="424"/>
      <c r="N3" s="424"/>
      <c r="O3" s="424"/>
      <c r="P3" s="424"/>
      <c r="Q3" s="424"/>
      <c r="R3" s="424"/>
      <c r="S3" s="425"/>
    </row>
    <row r="4" spans="1:19" ht="12.75" customHeight="1">
      <c r="A4" s="424"/>
      <c r="B4" s="424" t="s">
        <v>285</v>
      </c>
      <c r="C4" s="424"/>
      <c r="D4" s="424"/>
      <c r="E4" s="424"/>
      <c r="F4" s="424"/>
      <c r="G4" s="424"/>
      <c r="H4" s="424"/>
      <c r="I4" s="424"/>
      <c r="J4" s="424"/>
      <c r="K4" s="424"/>
      <c r="L4" s="424"/>
      <c r="M4" s="424"/>
      <c r="N4" s="424"/>
      <c r="O4" s="424"/>
      <c r="P4" s="424"/>
      <c r="Q4" s="424"/>
      <c r="R4" s="424"/>
      <c r="S4" s="425"/>
    </row>
    <row r="5" spans="1:19" ht="12.75" customHeight="1">
      <c r="A5" s="423"/>
      <c r="B5" s="424" t="s">
        <v>286</v>
      </c>
      <c r="C5" s="424"/>
      <c r="D5" s="424"/>
      <c r="E5" s="424"/>
      <c r="F5" s="424"/>
      <c r="G5" s="424"/>
      <c r="H5" s="424"/>
      <c r="I5" s="424"/>
      <c r="J5" s="424"/>
      <c r="K5" s="424"/>
      <c r="L5" s="424"/>
      <c r="M5" s="424"/>
      <c r="N5" s="424"/>
      <c r="O5" s="424"/>
      <c r="P5" s="424"/>
      <c r="Q5" s="424"/>
      <c r="R5" s="424"/>
      <c r="S5" s="425"/>
    </row>
    <row r="6" spans="1:19" ht="12.75" customHeight="1">
      <c r="A6" s="423"/>
      <c r="B6" s="424" t="s">
        <v>337</v>
      </c>
      <c r="C6" s="424"/>
      <c r="D6" s="424"/>
      <c r="E6" s="424"/>
      <c r="F6" s="424"/>
      <c r="G6" s="424"/>
      <c r="H6" s="424"/>
      <c r="I6" s="424"/>
      <c r="J6" s="424"/>
      <c r="K6" s="424"/>
      <c r="L6" s="424"/>
      <c r="M6" s="424"/>
      <c r="N6" s="424"/>
      <c r="O6" s="424"/>
      <c r="P6" s="424"/>
      <c r="Q6" s="424"/>
      <c r="R6" s="424"/>
      <c r="S6" s="425"/>
    </row>
    <row r="7" spans="1:19" ht="12.75" customHeight="1">
      <c r="A7" s="423"/>
      <c r="B7" s="424" t="s">
        <v>338</v>
      </c>
      <c r="C7" s="424"/>
      <c r="D7" s="424"/>
      <c r="E7" s="424"/>
      <c r="F7" s="424"/>
      <c r="G7" s="424"/>
      <c r="H7" s="424"/>
      <c r="I7" s="424"/>
      <c r="J7" s="424"/>
      <c r="K7" s="424"/>
      <c r="L7" s="424"/>
      <c r="M7" s="424"/>
      <c r="N7" s="424"/>
      <c r="O7" s="424"/>
      <c r="P7" s="424"/>
      <c r="Q7" s="424"/>
      <c r="R7" s="424"/>
      <c r="S7" s="425"/>
    </row>
    <row r="8" spans="1:19" ht="12.75" customHeight="1">
      <c r="A8" s="423"/>
      <c r="B8" s="424" t="s">
        <v>339</v>
      </c>
      <c r="C8" s="424"/>
      <c r="D8" s="424"/>
      <c r="E8" s="424"/>
      <c r="F8" s="424"/>
      <c r="G8" s="424"/>
      <c r="H8" s="424"/>
      <c r="I8" s="424"/>
      <c r="J8" s="424"/>
      <c r="K8" s="424"/>
      <c r="L8" s="424"/>
      <c r="M8" s="424"/>
      <c r="N8" s="424"/>
      <c r="O8" s="424"/>
      <c r="P8" s="424"/>
      <c r="Q8" s="424"/>
      <c r="R8" s="424"/>
      <c r="S8" s="425"/>
    </row>
    <row r="9" spans="1:19" ht="12.75" customHeight="1">
      <c r="A9" s="423"/>
      <c r="B9" s="424"/>
      <c r="C9" s="424"/>
      <c r="D9" s="424"/>
      <c r="E9" s="424"/>
      <c r="F9" s="424"/>
      <c r="G9" s="424"/>
      <c r="H9" s="424"/>
      <c r="I9" s="424"/>
      <c r="J9" s="424"/>
      <c r="K9" s="424"/>
      <c r="L9" s="424"/>
      <c r="M9" s="424"/>
      <c r="N9" s="424"/>
      <c r="O9" s="424"/>
      <c r="P9" s="424"/>
      <c r="Q9" s="424"/>
      <c r="R9" s="424"/>
      <c r="S9" s="425"/>
    </row>
    <row r="10" spans="1:19" ht="12.75" customHeight="1">
      <c r="A10" s="423"/>
      <c r="B10" s="424"/>
      <c r="C10" s="424"/>
      <c r="D10" s="424"/>
      <c r="E10" s="424"/>
      <c r="F10" s="424"/>
      <c r="G10" s="424"/>
      <c r="H10" s="424"/>
      <c r="I10" s="424"/>
      <c r="J10" s="424"/>
      <c r="K10" s="424"/>
      <c r="L10" s="424"/>
      <c r="M10" s="424"/>
      <c r="N10" s="424"/>
      <c r="O10" s="424"/>
      <c r="P10" s="424"/>
      <c r="Q10" s="424"/>
      <c r="R10" s="424"/>
      <c r="S10" s="425"/>
    </row>
    <row r="11" spans="1:19" ht="12.75" customHeight="1">
      <c r="A11" s="423"/>
      <c r="B11" s="426" t="s">
        <v>287</v>
      </c>
      <c r="C11" s="427"/>
      <c r="D11" s="427"/>
      <c r="E11" s="428"/>
      <c r="F11" s="428"/>
      <c r="G11" s="428"/>
      <c r="H11" s="428"/>
      <c r="I11" s="428"/>
      <c r="J11" s="428"/>
      <c r="K11" s="424"/>
      <c r="L11" s="424"/>
      <c r="M11" s="424"/>
      <c r="N11" s="424"/>
      <c r="O11" s="424"/>
      <c r="P11" s="424"/>
      <c r="Q11" s="424"/>
      <c r="R11" s="424"/>
      <c r="S11" s="425"/>
    </row>
    <row r="12" spans="1:19" ht="12.75" customHeight="1">
      <c r="A12" s="423"/>
      <c r="B12" s="426" t="s">
        <v>340</v>
      </c>
      <c r="C12" s="427"/>
      <c r="D12" s="427"/>
      <c r="E12" s="427"/>
      <c r="F12" s="427"/>
      <c r="G12" s="427"/>
      <c r="H12" s="428"/>
      <c r="I12" s="428"/>
      <c r="J12" s="428"/>
      <c r="K12" s="424"/>
      <c r="L12" s="424"/>
      <c r="M12" s="424"/>
      <c r="N12" s="424"/>
      <c r="O12" s="424"/>
      <c r="P12" s="424"/>
      <c r="Q12" s="424"/>
      <c r="R12" s="424"/>
      <c r="S12" s="425"/>
    </row>
    <row r="13" spans="1:19" ht="12.75" customHeight="1">
      <c r="A13" s="423"/>
      <c r="B13" s="424"/>
      <c r="C13" s="424"/>
      <c r="D13" s="424"/>
      <c r="E13" s="424"/>
      <c r="F13" s="424"/>
      <c r="G13" s="424"/>
      <c r="H13" s="424"/>
      <c r="I13" s="424"/>
      <c r="J13" s="424"/>
      <c r="K13" s="424"/>
      <c r="L13" s="424"/>
      <c r="M13" s="424"/>
      <c r="N13" s="424"/>
      <c r="O13" s="424"/>
      <c r="P13" s="424"/>
      <c r="Q13" s="424"/>
      <c r="R13" s="424"/>
      <c r="S13" s="425"/>
    </row>
    <row r="14" spans="1:19" ht="12.75" customHeight="1">
      <c r="A14" s="423"/>
      <c r="B14" s="877" t="s">
        <v>288</v>
      </c>
      <c r="C14" s="878"/>
      <c r="D14" s="878"/>
      <c r="E14" s="878"/>
      <c r="F14" s="878"/>
      <c r="G14" s="878"/>
      <c r="H14" s="878"/>
      <c r="I14" s="878"/>
      <c r="J14" s="878"/>
      <c r="K14" s="878"/>
      <c r="L14" s="878"/>
      <c r="M14" s="878"/>
      <c r="N14" s="878"/>
      <c r="O14" s="878"/>
      <c r="P14" s="878"/>
      <c r="Q14" s="878"/>
      <c r="R14" s="878"/>
      <c r="S14" s="425"/>
    </row>
    <row r="15" spans="1:19" ht="12.75" customHeight="1">
      <c r="A15" s="423"/>
      <c r="B15" s="429" t="s">
        <v>289</v>
      </c>
      <c r="C15" s="424"/>
      <c r="D15" s="424"/>
      <c r="E15" s="424"/>
      <c r="F15" s="424"/>
      <c r="G15" s="424"/>
      <c r="H15" s="424"/>
      <c r="I15" s="424"/>
      <c r="J15" s="424"/>
      <c r="K15" s="424"/>
      <c r="L15" s="424"/>
      <c r="M15" s="424"/>
      <c r="N15" s="424"/>
      <c r="O15" s="424"/>
      <c r="P15" s="424"/>
      <c r="Q15" s="424"/>
      <c r="R15" s="424"/>
      <c r="S15" s="425"/>
    </row>
    <row r="16" spans="1:19" ht="12.75" customHeight="1">
      <c r="A16" s="423"/>
      <c r="B16" s="429" t="s">
        <v>341</v>
      </c>
      <c r="C16" s="424"/>
      <c r="D16" s="424"/>
      <c r="E16" s="424"/>
      <c r="F16" s="424"/>
      <c r="G16" s="424"/>
      <c r="H16" s="424"/>
      <c r="I16" s="424"/>
      <c r="J16" s="424"/>
      <c r="K16" s="424"/>
      <c r="L16" s="424"/>
      <c r="M16" s="424"/>
      <c r="N16" s="424"/>
      <c r="O16" s="424"/>
      <c r="P16" s="424"/>
      <c r="Q16" s="424"/>
      <c r="R16" s="424"/>
      <c r="S16" s="425"/>
    </row>
    <row r="17" spans="1:19" ht="12.75" customHeight="1">
      <c r="A17" s="423"/>
      <c r="B17" s="430"/>
      <c r="C17" s="424"/>
      <c r="D17" s="424"/>
      <c r="E17" s="424"/>
      <c r="F17" s="424"/>
      <c r="G17" s="424"/>
      <c r="H17" s="424"/>
      <c r="I17" s="424"/>
      <c r="J17" s="424"/>
      <c r="K17" s="424"/>
      <c r="L17" s="424"/>
      <c r="M17" s="424"/>
      <c r="N17" s="424"/>
      <c r="O17" s="424"/>
      <c r="P17" s="424"/>
      <c r="Q17" s="424"/>
      <c r="R17" s="424"/>
      <c r="S17" s="425"/>
    </row>
    <row r="18" spans="1:19" ht="12.75" customHeight="1">
      <c r="A18" s="423"/>
      <c r="B18" s="424"/>
      <c r="C18" s="424"/>
      <c r="D18" s="424"/>
      <c r="E18" s="424"/>
      <c r="F18" s="424"/>
      <c r="G18" s="424"/>
      <c r="H18" s="424"/>
      <c r="I18" s="424"/>
      <c r="J18" s="424"/>
      <c r="K18" s="424"/>
      <c r="L18" s="424"/>
      <c r="M18" s="424"/>
      <c r="N18" s="424"/>
      <c r="O18" s="424"/>
      <c r="P18" s="424"/>
      <c r="Q18" s="424"/>
      <c r="R18" s="424"/>
      <c r="S18" s="425"/>
    </row>
    <row r="19" spans="1:19" ht="12.75" customHeight="1">
      <c r="A19" s="423"/>
      <c r="B19" s="424"/>
      <c r="C19" s="424"/>
      <c r="D19" s="424"/>
      <c r="E19" s="424"/>
      <c r="F19" s="424"/>
      <c r="G19" s="424"/>
      <c r="H19" s="424"/>
      <c r="I19" s="424"/>
      <c r="J19" s="424"/>
      <c r="K19" s="424"/>
      <c r="L19" s="424"/>
      <c r="M19" s="424"/>
      <c r="N19" s="424"/>
      <c r="O19" s="159" t="s">
        <v>472</v>
      </c>
      <c r="P19" s="424"/>
      <c r="Q19" s="424"/>
      <c r="R19" s="424"/>
      <c r="S19" s="425"/>
    </row>
    <row r="20" spans="1:19" ht="12.75" customHeight="1">
      <c r="A20" s="423"/>
      <c r="B20" s="424"/>
      <c r="C20" s="424"/>
      <c r="D20" s="424"/>
      <c r="E20" s="424"/>
      <c r="F20" s="424"/>
      <c r="G20" s="424"/>
      <c r="H20" s="424"/>
      <c r="I20" s="424"/>
      <c r="J20" s="424"/>
      <c r="K20" s="424"/>
      <c r="L20" s="424"/>
      <c r="M20" s="424"/>
      <c r="N20" s="424"/>
      <c r="O20" s="159" t="s">
        <v>473</v>
      </c>
      <c r="P20" s="424"/>
      <c r="Q20" s="424"/>
      <c r="R20" s="424"/>
      <c r="S20" s="425"/>
    </row>
    <row r="21" spans="1:19" ht="12.75" customHeight="1">
      <c r="A21" s="423"/>
      <c r="B21" s="431"/>
      <c r="C21" s="424"/>
      <c r="D21" s="424"/>
      <c r="E21" s="424"/>
      <c r="F21" s="424"/>
      <c r="G21" s="424"/>
      <c r="H21" s="424"/>
      <c r="I21" s="424"/>
      <c r="J21" s="424"/>
      <c r="K21" s="424"/>
      <c r="L21" s="424"/>
      <c r="M21" s="424"/>
      <c r="N21" s="424"/>
      <c r="O21" s="159" t="s">
        <v>474</v>
      </c>
      <c r="P21" s="424"/>
      <c r="Q21" s="424"/>
      <c r="R21" s="424"/>
      <c r="S21" s="425"/>
    </row>
    <row r="22" spans="1:19" ht="12.75" customHeight="1">
      <c r="A22" s="423"/>
      <c r="B22" s="432"/>
      <c r="C22" s="424"/>
      <c r="D22" s="424"/>
      <c r="E22" s="424"/>
      <c r="F22" s="424"/>
      <c r="G22" s="424"/>
      <c r="H22" s="424"/>
      <c r="I22" s="424"/>
      <c r="J22" s="424"/>
      <c r="K22" s="424"/>
      <c r="L22" s="424"/>
      <c r="M22" s="424"/>
      <c r="N22" s="424"/>
      <c r="O22" s="424"/>
      <c r="P22" s="424"/>
      <c r="Q22" s="424"/>
      <c r="R22" s="424"/>
      <c r="S22" s="433"/>
    </row>
    <row r="23" spans="1:19" ht="12.75" customHeight="1">
      <c r="A23" s="431"/>
      <c r="B23" s="431"/>
      <c r="C23" s="424"/>
      <c r="D23" s="424"/>
      <c r="E23" s="424"/>
      <c r="F23" s="424"/>
      <c r="G23" s="424"/>
      <c r="H23" s="424"/>
      <c r="I23" s="424"/>
      <c r="J23" s="424"/>
      <c r="K23" s="424"/>
      <c r="L23" s="424"/>
      <c r="M23" s="424"/>
      <c r="N23" s="424"/>
      <c r="O23" s="424"/>
      <c r="P23" s="424"/>
      <c r="Q23" s="424"/>
      <c r="R23" s="424"/>
      <c r="S23" s="433"/>
    </row>
    <row r="24" spans="1:19" ht="12.75" customHeight="1">
      <c r="A24" s="431"/>
      <c r="B24" s="431"/>
      <c r="C24" s="424"/>
      <c r="D24" s="424"/>
      <c r="E24" s="424"/>
      <c r="F24" s="424"/>
      <c r="G24" s="424"/>
      <c r="H24" s="424"/>
      <c r="I24" s="424"/>
      <c r="J24" s="424"/>
      <c r="K24" s="424"/>
      <c r="L24" s="424"/>
      <c r="M24" s="424"/>
      <c r="N24" s="424"/>
      <c r="O24" s="424"/>
      <c r="P24" s="424"/>
      <c r="Q24" s="424"/>
      <c r="R24" s="424"/>
      <c r="S24" s="433"/>
    </row>
    <row r="25" spans="1:19" ht="12.75" customHeight="1">
      <c r="A25" s="431"/>
      <c r="B25" s="431"/>
      <c r="C25" s="431"/>
      <c r="D25" s="431"/>
      <c r="E25" s="431"/>
      <c r="F25" s="431"/>
      <c r="G25" s="431"/>
      <c r="H25" s="431"/>
      <c r="I25" s="431"/>
      <c r="J25" s="431"/>
      <c r="K25" s="431"/>
      <c r="L25" s="431"/>
      <c r="M25" s="431"/>
      <c r="N25" s="431"/>
      <c r="O25" s="431"/>
      <c r="P25" s="431"/>
      <c r="Q25" s="431"/>
      <c r="R25" s="431"/>
      <c r="S25" s="433"/>
    </row>
    <row r="26" spans="1:19" ht="12.75" customHeight="1">
      <c r="A26" s="431"/>
      <c r="B26" s="431"/>
      <c r="C26" s="431"/>
      <c r="D26" s="431"/>
      <c r="E26" s="431"/>
      <c r="F26" s="431"/>
      <c r="G26" s="431"/>
      <c r="H26" s="431"/>
      <c r="I26" s="431"/>
      <c r="J26" s="431"/>
      <c r="K26" s="431"/>
      <c r="L26" s="431"/>
      <c r="M26" s="431"/>
      <c r="N26" s="431"/>
      <c r="O26" s="431"/>
      <c r="P26" s="431"/>
      <c r="Q26" s="431"/>
      <c r="R26" s="431"/>
      <c r="S26" s="433"/>
    </row>
    <row r="27" spans="1:19" ht="12.75" customHeight="1">
      <c r="A27" s="431"/>
      <c r="B27" s="431"/>
      <c r="C27" s="431"/>
      <c r="D27" s="431"/>
      <c r="E27" s="431"/>
      <c r="F27" s="431"/>
      <c r="G27" s="431"/>
      <c r="H27" s="431"/>
      <c r="I27" s="431"/>
      <c r="J27" s="431"/>
      <c r="K27" s="431"/>
      <c r="L27" s="431"/>
      <c r="M27" s="431"/>
      <c r="N27" s="431"/>
      <c r="O27" s="431"/>
      <c r="P27" s="431"/>
      <c r="Q27" s="431"/>
      <c r="R27" s="431"/>
      <c r="S27" s="433"/>
    </row>
    <row r="28" spans="1:19" ht="12.75" customHeight="1">
      <c r="A28" s="431"/>
      <c r="B28" s="431"/>
      <c r="C28" s="431"/>
      <c r="D28" s="431"/>
      <c r="E28" s="431"/>
      <c r="F28" s="431"/>
      <c r="G28" s="431"/>
      <c r="H28" s="431"/>
      <c r="I28" s="431"/>
      <c r="J28" s="431"/>
      <c r="K28" s="431"/>
      <c r="L28" s="431"/>
      <c r="M28" s="431"/>
      <c r="N28" s="431"/>
      <c r="O28" s="431"/>
      <c r="P28" s="431"/>
      <c r="Q28" s="431"/>
      <c r="R28" s="431"/>
      <c r="S28" s="433"/>
    </row>
    <row r="29" spans="1:19" ht="12.75" customHeight="1">
      <c r="A29" s="431"/>
      <c r="B29" s="431"/>
      <c r="C29" s="431"/>
      <c r="D29" s="431"/>
      <c r="E29" s="431"/>
      <c r="F29" s="431"/>
      <c r="G29" s="431"/>
      <c r="H29" s="431"/>
      <c r="I29" s="431"/>
      <c r="J29" s="431"/>
      <c r="K29" s="431"/>
      <c r="L29" s="431"/>
      <c r="M29" s="431"/>
      <c r="N29" s="431"/>
      <c r="O29" s="431"/>
      <c r="P29" s="431"/>
      <c r="Q29" s="431"/>
      <c r="R29" s="431"/>
      <c r="S29" s="433"/>
    </row>
    <row r="30" spans="1:19" ht="12.75" customHeight="1">
      <c r="A30" s="431"/>
      <c r="B30" s="431"/>
      <c r="C30" s="431"/>
      <c r="D30" s="431"/>
      <c r="E30" s="431"/>
      <c r="F30" s="431"/>
      <c r="G30" s="431"/>
      <c r="H30" s="431"/>
      <c r="I30" s="431"/>
      <c r="J30" s="431"/>
      <c r="K30" s="431"/>
      <c r="L30" s="431"/>
      <c r="M30" s="431"/>
      <c r="N30" s="431"/>
      <c r="O30" s="431"/>
      <c r="P30" s="431"/>
      <c r="Q30" s="431"/>
      <c r="R30" s="431"/>
      <c r="S30" s="433"/>
    </row>
    <row r="31" spans="1:19" ht="12.75" customHeight="1">
      <c r="A31" s="423"/>
      <c r="B31" s="428"/>
      <c r="C31" s="428"/>
      <c r="D31" s="428"/>
      <c r="E31" s="428"/>
      <c r="F31" s="428"/>
      <c r="G31" s="428"/>
      <c r="H31" s="428"/>
      <c r="I31" s="428"/>
      <c r="J31" s="428"/>
      <c r="K31" s="428"/>
      <c r="L31" s="428"/>
      <c r="M31" s="428"/>
      <c r="N31" s="428"/>
      <c r="O31" s="428"/>
      <c r="P31" s="424"/>
      <c r="Q31" s="424"/>
      <c r="R31" s="424"/>
      <c r="S31" s="433"/>
    </row>
    <row r="32" spans="1:19" ht="12.75" customHeight="1">
      <c r="A32" s="423"/>
      <c r="B32" s="424"/>
      <c r="C32" s="424"/>
      <c r="D32" s="424"/>
      <c r="E32" s="424"/>
      <c r="F32" s="424"/>
      <c r="G32" s="424"/>
      <c r="H32" s="424"/>
      <c r="I32" s="424"/>
      <c r="J32" s="424"/>
      <c r="K32" s="424"/>
      <c r="L32" s="424"/>
      <c r="M32" s="424"/>
      <c r="N32" s="424"/>
      <c r="O32" s="424"/>
      <c r="P32" s="424"/>
      <c r="Q32" s="424"/>
      <c r="R32" s="424"/>
      <c r="S32" s="433"/>
    </row>
    <row r="33" spans="1:19" ht="12.75" customHeight="1">
      <c r="A33" s="423"/>
      <c r="B33" s="432"/>
      <c r="C33" s="424"/>
      <c r="D33" s="424"/>
      <c r="E33" s="424"/>
      <c r="F33" s="424"/>
      <c r="G33" s="424"/>
      <c r="H33" s="424"/>
      <c r="I33" s="424"/>
      <c r="J33" s="424"/>
      <c r="K33" s="424"/>
      <c r="L33" s="424"/>
      <c r="M33" s="424"/>
      <c r="N33" s="424"/>
      <c r="O33" s="424"/>
      <c r="P33" s="424"/>
      <c r="Q33" s="424"/>
      <c r="R33" s="424"/>
      <c r="S33" s="433"/>
    </row>
    <row r="34" spans="1:19" ht="12.75" customHeight="1">
      <c r="A34" s="423"/>
      <c r="B34" s="434"/>
      <c r="C34" s="424"/>
      <c r="D34" s="424"/>
      <c r="E34" s="424"/>
      <c r="F34" s="424"/>
      <c r="G34" s="424"/>
      <c r="H34" s="424"/>
      <c r="I34" s="424"/>
      <c r="J34" s="424"/>
      <c r="K34" s="424"/>
      <c r="L34" s="424"/>
      <c r="M34" s="424"/>
      <c r="N34" s="424"/>
      <c r="O34" s="424"/>
      <c r="P34" s="424"/>
      <c r="Q34" s="424"/>
      <c r="R34" s="424"/>
      <c r="S34" s="433"/>
    </row>
    <row r="35" spans="1:19" ht="12.75" customHeight="1">
      <c r="A35" s="431"/>
      <c r="B35" s="431"/>
      <c r="C35" s="424"/>
      <c r="D35" s="424"/>
      <c r="E35" s="424"/>
      <c r="F35" s="424"/>
      <c r="G35" s="424"/>
      <c r="H35" s="424"/>
      <c r="I35" s="424"/>
      <c r="J35" s="424"/>
      <c r="K35" s="424"/>
      <c r="L35" s="424"/>
      <c r="M35" s="424"/>
      <c r="N35" s="424"/>
      <c r="O35" s="424"/>
      <c r="P35" s="424"/>
      <c r="Q35" s="424"/>
      <c r="R35" s="424"/>
      <c r="S35" s="433"/>
    </row>
    <row r="36" spans="1:19" ht="12.75" customHeight="1">
      <c r="A36" s="423"/>
      <c r="B36" s="435"/>
      <c r="C36" s="429"/>
      <c r="D36" s="429"/>
      <c r="E36" s="424"/>
      <c r="F36" s="424"/>
      <c r="G36" s="424"/>
      <c r="H36" s="424"/>
      <c r="I36" s="424"/>
      <c r="J36" s="424"/>
      <c r="K36" s="424"/>
      <c r="L36" s="424"/>
      <c r="M36" s="424"/>
      <c r="N36" s="424"/>
      <c r="O36" s="424"/>
      <c r="P36" s="424"/>
      <c r="Q36" s="424"/>
      <c r="R36" s="424"/>
      <c r="S36" s="425"/>
    </row>
    <row r="37" spans="1:19" ht="12.75" customHeight="1">
      <c r="A37" s="423"/>
      <c r="B37" s="435"/>
      <c r="C37" s="436"/>
      <c r="D37" s="436"/>
      <c r="E37" s="436"/>
      <c r="F37" s="436"/>
      <c r="G37" s="436"/>
      <c r="H37" s="424"/>
      <c r="I37" s="424"/>
      <c r="J37" s="424"/>
      <c r="K37" s="424"/>
      <c r="L37" s="424"/>
      <c r="M37" s="424"/>
      <c r="N37" s="424"/>
      <c r="O37" s="424"/>
      <c r="P37" s="424"/>
      <c r="Q37" s="424"/>
      <c r="R37" s="424"/>
      <c r="S37" s="425"/>
    </row>
    <row r="38" spans="1:19" ht="12.75" customHeight="1">
      <c r="A38" s="423"/>
      <c r="B38" s="424"/>
      <c r="C38" s="424"/>
      <c r="D38" s="424"/>
      <c r="E38" s="424"/>
      <c r="F38" s="424"/>
      <c r="G38" s="424"/>
      <c r="H38" s="424"/>
      <c r="I38" s="424"/>
      <c r="J38" s="424"/>
      <c r="K38" s="424"/>
      <c r="L38" s="424"/>
      <c r="M38" s="424"/>
      <c r="N38" s="424"/>
      <c r="O38" s="424"/>
      <c r="P38" s="424"/>
      <c r="Q38" s="424"/>
      <c r="R38" s="424"/>
      <c r="S38" s="425"/>
    </row>
    <row r="39" spans="1:19" ht="12.75" customHeight="1">
      <c r="A39" s="437"/>
      <c r="B39" s="877"/>
      <c r="C39" s="878"/>
      <c r="D39" s="878"/>
      <c r="E39" s="878"/>
      <c r="F39" s="878"/>
      <c r="G39" s="878"/>
      <c r="H39" s="878"/>
      <c r="I39" s="878"/>
      <c r="J39" s="878"/>
      <c r="K39" s="878"/>
      <c r="L39" s="878"/>
      <c r="M39" s="878"/>
      <c r="N39" s="878"/>
      <c r="O39" s="878"/>
      <c r="P39" s="878"/>
      <c r="Q39" s="878"/>
      <c r="R39" s="878"/>
      <c r="S39" s="438"/>
    </row>
    <row r="40" spans="1:19" ht="12.75" customHeight="1">
      <c r="A40" s="423"/>
      <c r="B40" s="424"/>
      <c r="C40" s="424"/>
      <c r="D40" s="424"/>
      <c r="E40" s="424"/>
      <c r="F40" s="424"/>
      <c r="G40" s="424"/>
      <c r="H40" s="424"/>
      <c r="I40" s="424"/>
      <c r="J40" s="424"/>
      <c r="K40" s="424"/>
      <c r="L40" s="424"/>
      <c r="M40" s="424"/>
      <c r="N40" s="424"/>
      <c r="O40" s="424"/>
      <c r="P40" s="424"/>
      <c r="Q40" s="424"/>
      <c r="R40" s="424"/>
      <c r="S40" s="425"/>
    </row>
    <row r="41" spans="1:19" ht="12.75" customHeight="1">
      <c r="A41" s="423"/>
      <c r="B41" s="424"/>
      <c r="C41" s="424"/>
      <c r="D41" s="424"/>
      <c r="E41" s="424"/>
      <c r="F41" s="424"/>
      <c r="G41" s="424"/>
      <c r="H41" s="424"/>
      <c r="I41" s="424"/>
      <c r="J41" s="424"/>
      <c r="K41" s="424"/>
      <c r="L41" s="424"/>
      <c r="M41" s="424"/>
      <c r="N41" s="424"/>
      <c r="O41" s="424"/>
      <c r="P41" s="424"/>
      <c r="Q41" s="424"/>
      <c r="R41" s="424"/>
      <c r="S41" s="425"/>
    </row>
    <row r="42" spans="1:19" ht="12.75" customHeight="1">
      <c r="A42" s="423"/>
      <c r="B42" s="424"/>
      <c r="C42" s="424"/>
      <c r="D42" s="424"/>
      <c r="E42" s="424"/>
      <c r="F42" s="424"/>
      <c r="G42" s="424"/>
      <c r="H42" s="424"/>
      <c r="I42" s="424"/>
      <c r="J42" s="424"/>
      <c r="K42" s="424"/>
      <c r="L42" s="424"/>
      <c r="M42" s="424"/>
      <c r="N42" s="424"/>
      <c r="O42" s="424"/>
      <c r="P42" s="424"/>
      <c r="Q42" s="424"/>
      <c r="R42" s="424"/>
      <c r="S42" s="425"/>
    </row>
    <row r="43" spans="1:19" ht="12.75" customHeight="1">
      <c r="A43" s="423"/>
      <c r="B43" s="424"/>
      <c r="C43" s="424"/>
      <c r="D43" s="424"/>
      <c r="E43" s="424"/>
      <c r="F43" s="424"/>
      <c r="G43" s="424"/>
      <c r="H43" s="424"/>
      <c r="I43" s="424"/>
      <c r="J43" s="424"/>
      <c r="K43" s="424"/>
      <c r="L43" s="424"/>
      <c r="M43" s="424"/>
      <c r="N43" s="424"/>
      <c r="O43" s="424"/>
      <c r="P43" s="424"/>
      <c r="Q43" s="424"/>
      <c r="R43" s="424"/>
      <c r="S43" s="425"/>
    </row>
    <row r="44" spans="1:19" ht="12.75" customHeight="1">
      <c r="A44" s="423"/>
      <c r="B44" s="424"/>
      <c r="C44" s="424"/>
      <c r="D44" s="424"/>
      <c r="E44" s="424"/>
      <c r="F44" s="424"/>
      <c r="G44" s="424"/>
      <c r="H44" s="424"/>
      <c r="I44" s="424"/>
      <c r="J44" s="424"/>
      <c r="K44" s="424"/>
      <c r="L44" s="424"/>
      <c r="M44" s="424"/>
      <c r="N44" s="424"/>
      <c r="O44" s="424"/>
      <c r="P44" s="424"/>
      <c r="Q44" s="424"/>
      <c r="R44" s="424"/>
      <c r="S44" s="425"/>
    </row>
    <row r="45" spans="1:19" ht="12.75" customHeight="1">
      <c r="A45" s="423"/>
      <c r="S45" s="425"/>
    </row>
    <row r="46" spans="1:19" ht="12.75" customHeight="1">
      <c r="A46" s="423"/>
      <c r="S46" s="425"/>
    </row>
    <row r="47" spans="1:19">
      <c r="A47" s="423"/>
      <c r="N47" s="424"/>
      <c r="O47" s="424"/>
      <c r="P47" s="424"/>
      <c r="Q47" s="424"/>
      <c r="R47" s="424"/>
      <c r="S47" s="424"/>
    </row>
    <row r="48" spans="1:19" ht="12.75" customHeight="1">
      <c r="A48" s="423"/>
      <c r="N48" s="424"/>
      <c r="O48" s="424"/>
      <c r="P48" s="424"/>
      <c r="Q48" s="424"/>
      <c r="R48" s="424"/>
      <c r="S48" s="424"/>
    </row>
    <row r="49" spans="1:19" ht="12.75" customHeight="1">
      <c r="A49" s="423"/>
      <c r="N49" s="424"/>
      <c r="O49" s="424"/>
      <c r="P49" s="424"/>
      <c r="Q49" s="424"/>
      <c r="R49" s="424"/>
      <c r="S49" s="424"/>
    </row>
    <row r="50" spans="1:19" ht="12.75" customHeight="1">
      <c r="A50" s="423"/>
      <c r="B50" s="424"/>
      <c r="C50" s="424"/>
      <c r="D50" s="424"/>
      <c r="E50" s="424"/>
      <c r="F50" s="424"/>
      <c r="G50" s="424"/>
      <c r="H50" s="424"/>
      <c r="I50" s="424"/>
      <c r="J50" s="424"/>
      <c r="K50" s="424"/>
      <c r="L50" s="424"/>
      <c r="M50" s="424"/>
      <c r="N50" s="424"/>
      <c r="O50" s="424"/>
      <c r="P50" s="424"/>
      <c r="Q50" s="424"/>
      <c r="R50" s="424"/>
      <c r="S50" s="424"/>
    </row>
    <row r="51" spans="1:19" ht="12.75" customHeight="1">
      <c r="A51" s="423"/>
      <c r="B51" s="424"/>
      <c r="C51" s="424"/>
      <c r="D51" s="424"/>
      <c r="E51" s="424"/>
      <c r="F51" s="424"/>
      <c r="G51" s="424"/>
      <c r="H51" s="424"/>
      <c r="I51" s="424"/>
      <c r="J51" s="424"/>
      <c r="K51" s="424"/>
      <c r="L51" s="424"/>
      <c r="M51" s="424"/>
      <c r="N51" s="424"/>
      <c r="O51" s="424"/>
      <c r="P51" s="424"/>
      <c r="Q51" s="424"/>
      <c r="R51" s="424"/>
      <c r="S51" s="424"/>
    </row>
    <row r="52" spans="1:19" ht="12.75" customHeight="1">
      <c r="A52" s="424"/>
      <c r="B52" s="424"/>
      <c r="C52" s="424"/>
      <c r="D52" s="424"/>
      <c r="E52" s="424"/>
      <c r="F52" s="424"/>
      <c r="G52" s="424"/>
      <c r="H52" s="424"/>
      <c r="I52" s="424"/>
      <c r="J52" s="424"/>
      <c r="K52" s="424"/>
      <c r="L52" s="424"/>
      <c r="M52" s="424"/>
      <c r="N52" s="424"/>
      <c r="P52" s="424"/>
      <c r="Q52" s="424"/>
      <c r="R52" s="424"/>
      <c r="S52" s="424"/>
    </row>
    <row r="53" spans="1:19" ht="12.75" customHeight="1">
      <c r="A53" s="424"/>
      <c r="B53" s="424"/>
      <c r="C53" s="424"/>
      <c r="D53" s="424"/>
      <c r="E53" s="424"/>
      <c r="F53" s="424"/>
      <c r="G53" s="424"/>
      <c r="H53" s="424"/>
      <c r="I53" s="424"/>
      <c r="J53" s="424"/>
      <c r="K53" s="424"/>
      <c r="L53" s="424"/>
      <c r="M53" s="424"/>
      <c r="N53" s="424"/>
      <c r="P53" s="424"/>
      <c r="Q53" s="424"/>
      <c r="R53" s="424"/>
      <c r="S53" s="424"/>
    </row>
    <row r="54" spans="1:19" ht="12.75" customHeight="1">
      <c r="A54" s="439"/>
      <c r="B54" s="439"/>
      <c r="C54" s="439"/>
      <c r="D54" s="439"/>
      <c r="E54" s="439"/>
      <c r="F54" s="439"/>
      <c r="G54" s="439"/>
      <c r="H54" s="439"/>
      <c r="I54" s="439"/>
      <c r="J54" s="439"/>
      <c r="K54" s="439"/>
      <c r="L54" s="439"/>
      <c r="M54" s="439"/>
      <c r="N54" s="424"/>
      <c r="P54" s="424"/>
      <c r="Q54" s="424"/>
      <c r="R54" s="424"/>
      <c r="S54" s="424"/>
    </row>
    <row r="55" spans="1:19" ht="12.75" customHeight="1">
      <c r="A55" s="440"/>
      <c r="B55" s="439"/>
      <c r="C55" s="439"/>
      <c r="D55" s="439"/>
      <c r="E55" s="439"/>
      <c r="F55" s="439"/>
      <c r="G55" s="439"/>
      <c r="H55" s="439"/>
      <c r="I55" s="439"/>
      <c r="J55" s="439"/>
      <c r="K55" s="439"/>
      <c r="L55" s="439"/>
      <c r="M55" s="439"/>
      <c r="N55" s="424"/>
      <c r="P55" s="424"/>
      <c r="Q55" s="424"/>
      <c r="R55" s="424"/>
      <c r="S55" s="424"/>
    </row>
    <row r="56" spans="1:19" ht="12.75" customHeight="1">
      <c r="A56" s="441"/>
      <c r="B56" s="442"/>
      <c r="C56" s="442"/>
      <c r="D56" s="442"/>
      <c r="E56" s="442"/>
      <c r="F56" s="442"/>
      <c r="G56" s="442"/>
      <c r="H56" s="442"/>
      <c r="I56" s="442"/>
      <c r="J56" s="442"/>
      <c r="K56" s="442"/>
      <c r="L56" s="442"/>
      <c r="M56" s="442"/>
      <c r="N56" s="424"/>
      <c r="O56" s="424"/>
      <c r="P56" s="424"/>
      <c r="Q56" s="424"/>
      <c r="R56" s="424"/>
      <c r="S56" s="424"/>
    </row>
  </sheetData>
  <sheetProtection algorithmName="SHA-512" hashValue="NZApVrBfVzQ/xOkj5jk2V9wtuk+hny4RxRaqiezP6sbBV6uKyRkJorCVB5fQH6Ir9E8RUl61bnxtYIZi3/VsGg==" saltValue="VE8jNICMnLe+MNddw549ew==" spinCount="100000" sheet="1" scenarios="1"/>
  <mergeCells count="3">
    <mergeCell ref="A1:S1"/>
    <mergeCell ref="B39:R39"/>
    <mergeCell ref="B14:R14"/>
  </mergeCells>
  <hyperlinks>
    <hyperlink ref="O19" location="'EV5.5.10-12 Cell Fixation'!A1" display="BACK: Cell fixation" xr:uid="{13A14610-D674-4EEE-8222-D05538480930}"/>
    <hyperlink ref="O20" location="'EV5.5.9 Segment'!A1" display="BACK: Segment" xr:uid="{00932AF4-96C2-4BEB-8B61-81937E9FAFD4}"/>
    <hyperlink ref="O21" location="'EV5.5.9 TSAC'!A1" display="BACK: TSAC" xr:uid="{A7E8B5A0-4B50-41C3-BD3A-866EA3DC252B}"/>
  </hyperlink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C9F65-86D2-452B-9A99-2272B731A2E1}">
  <sheetPr codeName="Tabelle9">
    <pageSetUpPr fitToPage="1"/>
  </sheetPr>
  <dimension ref="A1:U56"/>
  <sheetViews>
    <sheetView showGridLines="0" view="pageBreakPreview" zoomScaleNormal="100" zoomScaleSheetLayoutView="100" workbookViewId="0">
      <selection sqref="A1:S1"/>
    </sheetView>
  </sheetViews>
  <sheetFormatPr defaultColWidth="11.42578125" defaultRowHeight="12.75"/>
  <cols>
    <col min="1" max="27" width="5" style="51" customWidth="1"/>
    <col min="28" max="28" width="6.140625" style="51" customWidth="1"/>
    <col min="29" max="38" width="5" style="51" customWidth="1"/>
    <col min="39" max="16384" width="11.42578125" style="51"/>
  </cols>
  <sheetData>
    <row r="1" spans="1:21">
      <c r="A1" s="874" t="s">
        <v>290</v>
      </c>
      <c r="B1" s="874"/>
      <c r="C1" s="874"/>
      <c r="D1" s="874"/>
      <c r="E1" s="874"/>
      <c r="F1" s="874"/>
      <c r="G1" s="874"/>
      <c r="H1" s="874"/>
      <c r="I1" s="874"/>
      <c r="J1" s="874"/>
      <c r="K1" s="874"/>
      <c r="L1" s="874"/>
      <c r="M1" s="874"/>
      <c r="N1" s="874"/>
      <c r="O1" s="874"/>
      <c r="P1" s="874"/>
      <c r="Q1" s="874"/>
      <c r="R1" s="874"/>
      <c r="S1" s="874"/>
    </row>
    <row r="2" spans="1:21">
      <c r="A2" s="110"/>
      <c r="B2" s="111"/>
      <c r="C2" s="111"/>
      <c r="D2" s="111"/>
      <c r="E2" s="111"/>
      <c r="F2" s="111"/>
      <c r="G2" s="111"/>
      <c r="H2" s="111"/>
      <c r="I2" s="111"/>
      <c r="J2" s="111"/>
      <c r="K2" s="111"/>
      <c r="L2" s="111"/>
      <c r="M2" s="111"/>
      <c r="N2" s="111"/>
      <c r="O2" s="111"/>
      <c r="P2" s="111"/>
      <c r="Q2" s="111"/>
      <c r="R2" s="111"/>
      <c r="S2" s="112"/>
      <c r="U2" s="74"/>
    </row>
    <row r="3" spans="1:21">
      <c r="A3" s="113"/>
      <c r="B3" s="124" t="s">
        <v>291</v>
      </c>
      <c r="C3" s="92"/>
      <c r="D3" s="92"/>
      <c r="E3" s="92"/>
      <c r="F3" s="92"/>
      <c r="G3" s="92"/>
      <c r="H3" s="92"/>
      <c r="I3" s="92"/>
      <c r="J3" s="92"/>
      <c r="K3" s="92"/>
      <c r="L3" s="92"/>
      <c r="M3" s="92"/>
      <c r="N3" s="92"/>
      <c r="O3" s="92"/>
      <c r="P3" s="92"/>
      <c r="Q3" s="92"/>
      <c r="R3" s="92"/>
      <c r="S3" s="114"/>
    </row>
    <row r="4" spans="1:21">
      <c r="A4" s="92"/>
      <c r="B4" s="117" t="s">
        <v>243</v>
      </c>
      <c r="C4" s="92"/>
      <c r="D4" s="92"/>
      <c r="E4" s="92"/>
      <c r="F4" s="92"/>
      <c r="G4" s="92"/>
      <c r="H4" s="92"/>
      <c r="I4" s="92"/>
      <c r="J4" s="92"/>
      <c r="K4" s="92"/>
      <c r="L4" s="92"/>
      <c r="M4" s="92"/>
      <c r="N4" s="92"/>
      <c r="O4" s="92"/>
      <c r="P4" s="92"/>
      <c r="Q4" s="92"/>
      <c r="R4" s="92"/>
      <c r="S4" s="114"/>
      <c r="U4" s="74"/>
    </row>
    <row r="5" spans="1:21">
      <c r="A5" s="113"/>
      <c r="B5" s="92" t="s">
        <v>245</v>
      </c>
      <c r="C5" s="92"/>
      <c r="D5" s="92"/>
      <c r="E5" s="92"/>
      <c r="F5" s="92"/>
      <c r="G5" s="92"/>
      <c r="H5" s="92"/>
      <c r="I5" s="92"/>
      <c r="J5" s="92"/>
      <c r="K5" s="92"/>
      <c r="L5" s="92"/>
      <c r="M5" s="92"/>
      <c r="N5" s="92"/>
      <c r="O5" s="92"/>
      <c r="P5" s="92"/>
      <c r="Q5" s="92"/>
      <c r="R5" s="92"/>
      <c r="S5" s="114"/>
    </row>
    <row r="6" spans="1:21">
      <c r="A6" s="113"/>
      <c r="B6" s="92" t="s">
        <v>246</v>
      </c>
      <c r="C6" s="92"/>
      <c r="D6" s="92"/>
      <c r="E6" s="92"/>
      <c r="F6" s="92"/>
      <c r="G6" s="92"/>
      <c r="H6" s="92"/>
      <c r="I6" s="92"/>
      <c r="J6" s="92"/>
      <c r="K6" s="92"/>
      <c r="L6" s="92"/>
      <c r="M6" s="92"/>
      <c r="N6" s="92"/>
      <c r="O6" s="92"/>
      <c r="P6" s="92"/>
      <c r="Q6" s="92"/>
      <c r="R6" s="92"/>
      <c r="S6" s="114"/>
    </row>
    <row r="7" spans="1:21">
      <c r="A7" s="113"/>
      <c r="B7" s="92" t="s">
        <v>247</v>
      </c>
      <c r="C7" s="92"/>
      <c r="D7" s="92"/>
      <c r="E7" s="92"/>
      <c r="F7" s="92"/>
      <c r="G7" s="92"/>
      <c r="H7" s="92"/>
      <c r="I7" s="92"/>
      <c r="J7" s="92"/>
      <c r="K7" s="92"/>
      <c r="L7" s="92"/>
      <c r="M7" s="92"/>
      <c r="N7" s="92"/>
      <c r="O7" s="92"/>
      <c r="P7" s="92"/>
      <c r="Q7" s="92"/>
      <c r="R7" s="92"/>
      <c r="S7" s="114"/>
    </row>
    <row r="8" spans="1:21">
      <c r="A8" s="113"/>
      <c r="B8" s="92" t="s">
        <v>248</v>
      </c>
      <c r="C8" s="92"/>
      <c r="D8" s="92"/>
      <c r="E8" s="92"/>
      <c r="F8" s="92"/>
      <c r="G8" s="92"/>
      <c r="H8" s="92"/>
      <c r="I8" s="92"/>
      <c r="J8" s="92"/>
      <c r="K8" s="92"/>
      <c r="L8" s="92"/>
      <c r="M8" s="92"/>
      <c r="N8" s="92"/>
      <c r="O8" s="92"/>
      <c r="P8" s="92"/>
      <c r="Q8" s="92"/>
      <c r="R8" s="92"/>
      <c r="S8" s="114"/>
    </row>
    <row r="9" spans="1:21">
      <c r="A9" s="113"/>
      <c r="B9" s="92"/>
      <c r="C9" s="92"/>
      <c r="D9" s="92"/>
      <c r="E9" s="92"/>
      <c r="F9" s="92"/>
      <c r="G9" s="92"/>
      <c r="H9" s="92"/>
      <c r="I9" s="92"/>
      <c r="J9" s="92"/>
      <c r="K9" s="92"/>
      <c r="L9" s="92"/>
      <c r="M9" s="92"/>
      <c r="N9" s="92"/>
      <c r="O9" s="92"/>
      <c r="P9" s="92"/>
      <c r="Q9" s="92"/>
      <c r="R9" s="92"/>
      <c r="S9" s="114"/>
    </row>
    <row r="10" spans="1:21" ht="13.15" customHeight="1">
      <c r="A10" s="113"/>
      <c r="B10" s="117" t="s">
        <v>292</v>
      </c>
      <c r="C10" s="92"/>
      <c r="D10" s="92"/>
      <c r="E10" s="92"/>
      <c r="F10" s="92"/>
      <c r="G10" s="92"/>
      <c r="H10" s="92"/>
      <c r="I10" s="92"/>
      <c r="J10" s="92"/>
      <c r="K10" s="92"/>
      <c r="L10" s="92"/>
      <c r="M10" s="92"/>
      <c r="N10" s="92"/>
      <c r="O10" s="92"/>
      <c r="P10" s="92"/>
      <c r="Q10" s="92"/>
      <c r="R10" s="92"/>
      <c r="S10" s="114"/>
    </row>
    <row r="11" spans="1:21">
      <c r="A11" s="113"/>
      <c r="B11" s="92" t="s">
        <v>250</v>
      </c>
      <c r="C11" s="92"/>
      <c r="D11" s="92"/>
      <c r="E11" s="92"/>
      <c r="F11" s="92"/>
      <c r="G11" s="92"/>
      <c r="H11" s="92"/>
      <c r="I11" s="92"/>
      <c r="J11" s="92"/>
      <c r="K11" s="92"/>
      <c r="L11" s="92"/>
      <c r="M11" s="92"/>
      <c r="N11" s="92"/>
      <c r="O11" s="92"/>
      <c r="P11" s="92"/>
      <c r="Q11" s="92"/>
      <c r="R11" s="92"/>
      <c r="S11" s="114"/>
    </row>
    <row r="12" spans="1:21">
      <c r="A12" s="113"/>
      <c r="B12" s="95" t="s">
        <v>251</v>
      </c>
      <c r="C12" s="92"/>
      <c r="D12" s="92"/>
      <c r="E12" s="92"/>
      <c r="F12" s="92"/>
      <c r="G12" s="92"/>
      <c r="H12" s="92"/>
      <c r="I12" s="92"/>
      <c r="J12" s="92"/>
      <c r="K12" s="92"/>
      <c r="L12" s="92"/>
      <c r="M12" s="92"/>
      <c r="N12" s="92"/>
      <c r="O12" s="92"/>
      <c r="P12" s="92"/>
      <c r="Q12" s="92"/>
      <c r="R12" s="92"/>
      <c r="S12" s="114"/>
    </row>
    <row r="13" spans="1:21">
      <c r="A13" s="113"/>
      <c r="B13" s="93"/>
      <c r="C13" s="92"/>
      <c r="D13" s="92"/>
      <c r="E13" s="92"/>
      <c r="F13" s="92"/>
      <c r="G13" s="92"/>
      <c r="H13" s="92"/>
      <c r="I13" s="92"/>
      <c r="J13" s="92"/>
      <c r="K13" s="92"/>
      <c r="L13" s="92"/>
      <c r="M13" s="92"/>
      <c r="N13" s="92"/>
      <c r="O13" s="92"/>
      <c r="P13" s="92"/>
      <c r="Q13" s="92"/>
      <c r="R13" s="92"/>
      <c r="S13" s="114"/>
    </row>
    <row r="14" spans="1:21">
      <c r="A14" s="113"/>
      <c r="B14" s="125" t="s">
        <v>293</v>
      </c>
      <c r="C14" s="92"/>
      <c r="D14" s="92"/>
      <c r="E14" s="92"/>
      <c r="F14" s="92"/>
      <c r="G14" s="92"/>
      <c r="H14" s="92"/>
      <c r="I14" s="92"/>
      <c r="J14" s="92"/>
      <c r="K14" s="92"/>
      <c r="L14" s="92"/>
      <c r="M14" s="92"/>
      <c r="N14" s="92"/>
      <c r="O14" s="92"/>
      <c r="P14" s="92"/>
      <c r="Q14" s="92"/>
      <c r="R14" s="92"/>
      <c r="S14" s="114"/>
    </row>
    <row r="15" spans="1:21">
      <c r="A15" s="113"/>
      <c r="B15" s="126" t="s">
        <v>252</v>
      </c>
      <c r="C15" s="92"/>
      <c r="D15" s="92"/>
      <c r="E15" s="92"/>
      <c r="F15" s="92"/>
      <c r="G15" s="92"/>
      <c r="H15" s="92"/>
      <c r="I15" s="92"/>
      <c r="J15" s="92"/>
      <c r="K15" s="92"/>
      <c r="L15" s="92"/>
      <c r="M15" s="92"/>
      <c r="N15" s="92"/>
      <c r="O15" s="92"/>
      <c r="P15" s="92"/>
      <c r="Q15" s="92"/>
      <c r="R15" s="92"/>
      <c r="S15" s="114"/>
    </row>
    <row r="16" spans="1:21" ht="12.75" customHeight="1">
      <c r="A16" s="113"/>
      <c r="B16" s="95" t="s">
        <v>253</v>
      </c>
      <c r="C16" s="92"/>
      <c r="D16" s="92"/>
      <c r="E16" s="92"/>
      <c r="F16" s="92"/>
      <c r="G16" s="92"/>
      <c r="H16" s="92"/>
      <c r="I16" s="92"/>
      <c r="J16" s="92"/>
      <c r="K16" s="92"/>
      <c r="L16" s="92"/>
      <c r="M16" s="92"/>
      <c r="N16" s="92"/>
      <c r="O16" s="92"/>
      <c r="P16" s="92"/>
      <c r="Q16" s="92"/>
      <c r="R16" s="92"/>
      <c r="S16" s="114"/>
    </row>
    <row r="17" spans="1:19">
      <c r="A17" s="113"/>
      <c r="B17" s="94" t="s">
        <v>254</v>
      </c>
      <c r="C17" s="92"/>
      <c r="D17" s="92"/>
      <c r="E17" s="92"/>
      <c r="F17" s="92"/>
      <c r="G17" s="92"/>
      <c r="H17" s="92"/>
      <c r="I17" s="92"/>
      <c r="J17" s="92"/>
      <c r="K17" s="92"/>
      <c r="L17" s="92"/>
      <c r="M17" s="92"/>
      <c r="N17" s="92"/>
      <c r="O17" s="92"/>
      <c r="P17" s="92"/>
      <c r="Q17" s="92"/>
      <c r="R17" s="92"/>
      <c r="S17" s="114"/>
    </row>
    <row r="18" spans="1:19">
      <c r="A18" s="113"/>
      <c r="B18" s="92" t="s">
        <v>255</v>
      </c>
      <c r="C18" s="92"/>
      <c r="D18" s="92"/>
      <c r="E18" s="92"/>
      <c r="F18" s="92"/>
      <c r="G18" s="92"/>
      <c r="H18" s="92"/>
      <c r="I18" s="92"/>
      <c r="J18" s="92"/>
      <c r="K18" s="92"/>
      <c r="L18" s="92"/>
      <c r="M18" s="92"/>
      <c r="N18" s="92"/>
      <c r="O18" s="92"/>
      <c r="P18" s="92"/>
      <c r="Q18" s="92"/>
      <c r="R18" s="92"/>
      <c r="S18" s="114"/>
    </row>
    <row r="19" spans="1:19">
      <c r="A19" s="113"/>
      <c r="B19" s="92"/>
      <c r="C19" s="92"/>
      <c r="D19" s="92"/>
      <c r="E19" s="92"/>
      <c r="F19" s="92"/>
      <c r="G19" s="92"/>
      <c r="H19" s="92"/>
      <c r="I19" s="92"/>
      <c r="J19" s="92"/>
      <c r="K19" s="92"/>
      <c r="L19" s="92"/>
      <c r="M19" s="92"/>
      <c r="N19" s="92"/>
      <c r="O19" s="92"/>
      <c r="P19" s="92"/>
      <c r="Q19" s="92"/>
      <c r="R19" s="92"/>
      <c r="S19" s="114"/>
    </row>
    <row r="20" spans="1:19">
      <c r="A20" s="113"/>
      <c r="B20" s="117" t="s">
        <v>468</v>
      </c>
      <c r="C20" s="92"/>
      <c r="D20" s="92"/>
      <c r="E20" s="92"/>
      <c r="F20" s="92"/>
      <c r="G20" s="92"/>
      <c r="H20" s="92"/>
      <c r="I20" s="92"/>
      <c r="J20" s="92"/>
      <c r="K20" s="92"/>
      <c r="L20" s="92"/>
      <c r="M20" s="92"/>
      <c r="N20" s="92"/>
      <c r="O20" s="92"/>
      <c r="P20" s="92"/>
      <c r="Q20" s="92"/>
      <c r="R20" s="92"/>
      <c r="S20" s="114"/>
    </row>
    <row r="21" spans="1:19">
      <c r="A21" s="113"/>
      <c r="B21" s="123" t="s">
        <v>409</v>
      </c>
      <c r="C21" s="92"/>
      <c r="D21" s="92"/>
      <c r="E21" s="92"/>
      <c r="F21" s="92"/>
      <c r="G21" s="92"/>
      <c r="H21" s="92"/>
      <c r="I21" s="92"/>
      <c r="J21" s="92"/>
      <c r="K21" s="92"/>
      <c r="L21" s="92"/>
      <c r="M21" s="92"/>
      <c r="N21" s="92"/>
      <c r="O21" s="92"/>
      <c r="P21" s="92"/>
      <c r="Q21" s="92"/>
      <c r="R21" s="92"/>
      <c r="S21" s="114"/>
    </row>
    <row r="22" spans="1:19">
      <c r="A22" s="113"/>
      <c r="B22" s="93" t="s">
        <v>410</v>
      </c>
      <c r="C22" s="92"/>
      <c r="D22" s="92"/>
      <c r="E22" s="92"/>
      <c r="F22" s="92"/>
      <c r="G22" s="92"/>
      <c r="H22" s="92"/>
      <c r="I22" s="92"/>
      <c r="J22" s="92"/>
      <c r="K22" s="92"/>
      <c r="L22" s="92"/>
      <c r="M22" s="92"/>
      <c r="N22" s="92"/>
      <c r="O22" s="92"/>
      <c r="P22" s="92"/>
      <c r="Q22" s="92"/>
      <c r="R22" s="92"/>
      <c r="S22" s="114"/>
    </row>
    <row r="23" spans="1:19">
      <c r="A23" s="95"/>
      <c r="B23" s="95"/>
      <c r="C23" s="92"/>
      <c r="D23" s="92"/>
      <c r="E23" s="92"/>
      <c r="F23" s="92"/>
      <c r="G23" s="92"/>
      <c r="H23" s="92"/>
      <c r="I23" s="92"/>
      <c r="J23" s="92"/>
      <c r="K23" s="92"/>
      <c r="L23" s="92"/>
      <c r="M23" s="92"/>
      <c r="N23" s="92"/>
      <c r="O23" s="92"/>
      <c r="P23" s="92"/>
      <c r="Q23" s="92"/>
      <c r="R23" s="92"/>
      <c r="S23" s="115"/>
    </row>
    <row r="24" spans="1:19">
      <c r="A24" s="95"/>
      <c r="B24" s="95" t="s">
        <v>411</v>
      </c>
      <c r="C24" s="92"/>
      <c r="D24" s="92"/>
      <c r="E24" s="92"/>
      <c r="F24" s="92"/>
      <c r="G24" s="92"/>
      <c r="H24" s="92"/>
      <c r="I24" s="92"/>
      <c r="J24" s="92"/>
      <c r="K24" s="92"/>
      <c r="L24" s="92"/>
      <c r="M24" s="92"/>
      <c r="N24" s="92"/>
      <c r="O24" s="92"/>
      <c r="P24" s="92"/>
      <c r="Q24" s="92"/>
      <c r="R24" s="92"/>
      <c r="S24" s="115"/>
    </row>
    <row r="25" spans="1:19">
      <c r="A25" s="95"/>
      <c r="B25" s="95" t="s">
        <v>412</v>
      </c>
      <c r="C25" s="95"/>
      <c r="D25" s="95"/>
      <c r="E25" s="95"/>
      <c r="F25" s="95"/>
      <c r="G25" s="95"/>
      <c r="H25" s="95"/>
      <c r="I25" s="95"/>
      <c r="J25" s="95"/>
      <c r="K25" s="95"/>
      <c r="L25" s="95"/>
      <c r="M25" s="95"/>
      <c r="N25" s="95"/>
      <c r="O25" s="95"/>
      <c r="P25" s="95"/>
      <c r="Q25" s="95"/>
      <c r="R25" s="95"/>
      <c r="S25" s="116"/>
    </row>
    <row r="26" spans="1:19">
      <c r="A26" s="95"/>
      <c r="B26" s="95" t="s">
        <v>413</v>
      </c>
      <c r="C26" s="95"/>
      <c r="D26" s="95"/>
      <c r="E26" s="95"/>
      <c r="F26" s="95"/>
      <c r="G26" s="95"/>
      <c r="H26" s="95"/>
      <c r="I26" s="95"/>
      <c r="J26" s="95"/>
      <c r="K26" s="95"/>
      <c r="L26" s="95"/>
      <c r="M26" s="95"/>
      <c r="N26" s="95"/>
      <c r="O26" s="95"/>
      <c r="P26" s="95"/>
      <c r="Q26" s="95"/>
      <c r="R26" s="95"/>
      <c r="S26" s="116"/>
    </row>
    <row r="27" spans="1:19">
      <c r="A27" s="95"/>
      <c r="B27" s="95" t="s">
        <v>414</v>
      </c>
      <c r="C27" s="95"/>
      <c r="D27" s="95"/>
      <c r="E27" s="95"/>
      <c r="F27" s="95"/>
      <c r="G27" s="95"/>
      <c r="H27" s="95"/>
      <c r="I27" s="95"/>
      <c r="J27" s="95"/>
      <c r="K27" s="95"/>
      <c r="L27" s="95"/>
      <c r="M27" s="95"/>
      <c r="N27" s="95"/>
      <c r="O27" s="95"/>
      <c r="P27" s="95"/>
      <c r="Q27" s="95"/>
      <c r="R27" s="95"/>
      <c r="S27" s="116"/>
    </row>
    <row r="28" spans="1:19">
      <c r="A28" s="95"/>
      <c r="B28" s="95" t="s">
        <v>415</v>
      </c>
      <c r="C28" s="95"/>
      <c r="D28" s="95"/>
      <c r="E28" s="95"/>
      <c r="F28" s="95"/>
      <c r="G28" s="95"/>
      <c r="H28" s="95"/>
      <c r="I28" s="95"/>
      <c r="J28" s="95"/>
      <c r="K28" s="95"/>
      <c r="L28" s="95"/>
      <c r="M28" s="95"/>
      <c r="N28" s="95"/>
      <c r="O28" s="95"/>
      <c r="P28" s="95"/>
      <c r="Q28" s="95"/>
      <c r="R28" s="95"/>
      <c r="S28" s="116"/>
    </row>
    <row r="29" spans="1:19">
      <c r="A29" s="95"/>
      <c r="B29" s="95"/>
      <c r="C29" s="95"/>
      <c r="D29" s="95"/>
      <c r="E29" s="95"/>
      <c r="F29" s="95"/>
      <c r="G29" s="95"/>
      <c r="H29" s="95"/>
      <c r="I29" s="95"/>
      <c r="J29" s="95"/>
      <c r="K29" s="95"/>
      <c r="L29" s="95"/>
      <c r="M29" s="95"/>
      <c r="N29" s="95"/>
      <c r="O29" s="95"/>
      <c r="P29" s="95"/>
      <c r="Q29" s="95"/>
      <c r="R29" s="95"/>
      <c r="S29" s="116"/>
    </row>
    <row r="30" spans="1:19">
      <c r="A30" s="95"/>
      <c r="B30" s="95" t="s">
        <v>416</v>
      </c>
      <c r="C30" s="95"/>
      <c r="D30" s="95"/>
      <c r="E30" s="95"/>
      <c r="F30" s="95"/>
      <c r="G30" s="95"/>
      <c r="H30" s="95"/>
      <c r="I30" s="95"/>
      <c r="J30" s="95"/>
      <c r="K30" s="95"/>
      <c r="L30" s="95"/>
      <c r="M30" s="95"/>
      <c r="N30" s="95"/>
      <c r="O30" s="95"/>
      <c r="P30" s="95"/>
      <c r="Q30" s="95"/>
      <c r="R30" s="95"/>
      <c r="S30" s="116"/>
    </row>
    <row r="31" spans="1:19">
      <c r="A31" s="113"/>
      <c r="B31" s="95" t="s">
        <v>417</v>
      </c>
      <c r="C31" s="117"/>
      <c r="D31" s="117"/>
      <c r="E31" s="117"/>
      <c r="F31" s="117"/>
      <c r="G31" s="117"/>
      <c r="H31" s="117"/>
      <c r="I31" s="117"/>
      <c r="J31" s="117"/>
      <c r="K31" s="117"/>
      <c r="L31" s="117"/>
      <c r="M31" s="117"/>
      <c r="N31" s="117"/>
      <c r="O31" s="117"/>
      <c r="P31" s="92"/>
      <c r="Q31" s="92"/>
      <c r="R31" s="92"/>
      <c r="S31" s="115"/>
    </row>
    <row r="32" spans="1:19">
      <c r="A32" s="113"/>
      <c r="B32" s="95" t="s">
        <v>418</v>
      </c>
      <c r="C32" s="92"/>
      <c r="D32" s="92"/>
      <c r="E32" s="92"/>
      <c r="F32" s="92"/>
      <c r="G32" s="92"/>
      <c r="H32" s="92"/>
      <c r="I32" s="92"/>
      <c r="J32" s="92"/>
      <c r="K32" s="92"/>
      <c r="L32" s="92"/>
      <c r="M32" s="92"/>
      <c r="N32" s="92"/>
      <c r="O32" s="92"/>
      <c r="P32" s="92"/>
      <c r="Q32" s="92"/>
      <c r="R32" s="92"/>
      <c r="S32" s="115"/>
    </row>
    <row r="33" spans="1:19">
      <c r="A33" s="113"/>
      <c r="B33" s="93" t="s">
        <v>419</v>
      </c>
      <c r="C33" s="92"/>
      <c r="D33" s="92"/>
      <c r="E33" s="92"/>
      <c r="F33" s="92"/>
      <c r="G33" s="92"/>
      <c r="H33" s="92"/>
      <c r="I33" s="92"/>
      <c r="J33" s="92"/>
      <c r="K33" s="92"/>
      <c r="L33" s="92"/>
      <c r="M33" s="92"/>
      <c r="N33" s="92"/>
      <c r="O33" s="92"/>
      <c r="P33" s="92"/>
      <c r="Q33" s="92"/>
      <c r="R33" s="92"/>
      <c r="S33" s="115"/>
    </row>
    <row r="34" spans="1:19">
      <c r="A34" s="113"/>
      <c r="B34" s="134"/>
      <c r="C34" s="92"/>
      <c r="D34" s="92"/>
      <c r="E34" s="92"/>
      <c r="F34" s="92"/>
      <c r="G34" s="92"/>
      <c r="H34" s="92"/>
      <c r="I34" s="92"/>
      <c r="J34" s="92"/>
      <c r="K34" s="92"/>
      <c r="L34" s="92"/>
      <c r="M34" s="92"/>
      <c r="N34" s="92"/>
      <c r="O34" s="92"/>
      <c r="P34" s="92"/>
      <c r="Q34" s="92"/>
      <c r="R34" s="92"/>
      <c r="S34" s="115"/>
    </row>
    <row r="35" spans="1:19">
      <c r="A35" s="95"/>
      <c r="B35" s="95"/>
      <c r="C35" s="92"/>
      <c r="D35" s="92"/>
      <c r="E35" s="92"/>
      <c r="F35" s="92"/>
      <c r="G35" s="92"/>
      <c r="H35" s="92"/>
      <c r="I35" s="92"/>
      <c r="J35" s="92"/>
      <c r="K35" s="92"/>
      <c r="L35" s="92"/>
      <c r="M35" s="92"/>
      <c r="N35" s="92"/>
      <c r="O35" s="92"/>
      <c r="P35" s="92"/>
      <c r="Q35" s="92"/>
      <c r="R35" s="92"/>
      <c r="S35" s="115"/>
    </row>
    <row r="36" spans="1:19">
      <c r="A36" s="113"/>
      <c r="B36" s="120"/>
      <c r="C36" s="118"/>
      <c r="D36" s="118"/>
      <c r="E36" s="92"/>
      <c r="F36" s="92"/>
      <c r="G36" s="92"/>
      <c r="H36" s="92"/>
      <c r="I36" s="92"/>
      <c r="J36" s="92"/>
      <c r="K36" s="92"/>
      <c r="L36" s="92"/>
      <c r="M36" s="92"/>
      <c r="N36" s="92"/>
      <c r="O36" s="92"/>
      <c r="P36" s="92"/>
      <c r="Q36" s="92"/>
      <c r="R36" s="92"/>
      <c r="S36" s="115"/>
    </row>
    <row r="37" spans="1:19">
      <c r="A37" s="113"/>
      <c r="B37" s="120"/>
      <c r="C37" s="118"/>
      <c r="D37" s="118"/>
      <c r="E37" s="118"/>
      <c r="F37" s="118"/>
      <c r="G37" s="118"/>
      <c r="H37" s="92"/>
      <c r="I37" s="92"/>
      <c r="J37" s="92"/>
      <c r="K37" s="92"/>
      <c r="L37" s="92"/>
      <c r="M37" s="92"/>
      <c r="N37" s="92"/>
      <c r="O37" s="92"/>
      <c r="P37" s="92"/>
      <c r="Q37" s="92"/>
      <c r="R37" s="92"/>
      <c r="S37" s="115"/>
    </row>
    <row r="38" spans="1:19">
      <c r="A38" s="113"/>
      <c r="B38" s="92"/>
      <c r="C38" s="92"/>
      <c r="D38" s="92"/>
      <c r="E38" s="92"/>
      <c r="F38" s="92"/>
      <c r="G38" s="92"/>
      <c r="H38" s="92"/>
      <c r="I38" s="92"/>
      <c r="J38" s="92"/>
      <c r="K38" s="92"/>
      <c r="L38" s="92"/>
      <c r="M38" s="92"/>
      <c r="N38" s="92"/>
      <c r="O38" s="92"/>
      <c r="P38" s="92"/>
      <c r="Q38" s="92"/>
      <c r="R38" s="92"/>
      <c r="S38" s="114"/>
    </row>
    <row r="39" spans="1:19" ht="12.75" customHeight="1">
      <c r="A39" s="122"/>
      <c r="B39" s="419"/>
      <c r="C39" s="120"/>
      <c r="D39" s="120"/>
      <c r="E39" s="120"/>
      <c r="F39" s="120"/>
      <c r="G39" s="120"/>
      <c r="H39" s="120"/>
      <c r="I39" s="120"/>
      <c r="J39" s="120"/>
      <c r="K39" s="120"/>
      <c r="L39" s="120"/>
      <c r="M39" s="120"/>
      <c r="N39" s="120"/>
      <c r="O39" s="120"/>
      <c r="P39" s="120"/>
      <c r="Q39" s="120"/>
      <c r="R39" s="159" t="s">
        <v>270</v>
      </c>
      <c r="S39" s="114"/>
    </row>
    <row r="40" spans="1:19">
      <c r="A40" s="113"/>
      <c r="B40" s="92"/>
      <c r="C40" s="92"/>
      <c r="D40" s="92"/>
      <c r="E40" s="92"/>
      <c r="F40" s="92"/>
      <c r="G40" s="92"/>
      <c r="H40" s="92"/>
      <c r="I40" s="92"/>
      <c r="J40" s="92"/>
      <c r="K40" s="92"/>
      <c r="L40" s="92"/>
      <c r="M40" s="92"/>
      <c r="N40" s="92"/>
      <c r="O40" s="92"/>
      <c r="P40" s="92"/>
      <c r="Q40" s="92"/>
      <c r="R40" s="92"/>
      <c r="S40" s="114"/>
    </row>
    <row r="41" spans="1:19">
      <c r="A41" s="113"/>
      <c r="B41" s="92"/>
      <c r="C41" s="92"/>
      <c r="D41" s="92"/>
      <c r="E41" s="92"/>
      <c r="F41" s="92"/>
      <c r="G41" s="92"/>
      <c r="H41" s="92"/>
      <c r="I41" s="92"/>
      <c r="J41" s="92"/>
      <c r="K41" s="92"/>
      <c r="L41" s="92"/>
      <c r="M41" s="92"/>
      <c r="N41" s="92"/>
      <c r="O41" s="92"/>
      <c r="P41" s="92"/>
      <c r="Q41" s="92"/>
      <c r="R41" s="92"/>
      <c r="S41" s="114"/>
    </row>
    <row r="42" spans="1:19">
      <c r="A42" s="113"/>
      <c r="B42" s="92"/>
      <c r="C42" s="92"/>
      <c r="D42" s="92"/>
      <c r="E42" s="92"/>
      <c r="F42" s="92"/>
      <c r="G42" s="92"/>
      <c r="H42" s="92"/>
      <c r="I42" s="92"/>
      <c r="J42" s="92"/>
      <c r="K42" s="92"/>
      <c r="L42" s="92"/>
      <c r="M42" s="92"/>
      <c r="N42" s="92"/>
      <c r="O42" s="92"/>
      <c r="P42" s="92"/>
      <c r="Q42" s="92"/>
      <c r="R42" s="92"/>
      <c r="S42" s="114"/>
    </row>
    <row r="43" spans="1:19">
      <c r="A43" s="113"/>
      <c r="B43" s="92"/>
      <c r="C43" s="92"/>
      <c r="D43" s="92"/>
      <c r="E43" s="92"/>
      <c r="F43" s="92"/>
      <c r="G43" s="92"/>
      <c r="H43" s="92"/>
      <c r="I43" s="92"/>
      <c r="J43" s="92"/>
      <c r="K43" s="92"/>
      <c r="L43" s="92"/>
      <c r="M43" s="92"/>
      <c r="N43" s="92"/>
      <c r="O43" s="92"/>
      <c r="P43" s="92"/>
      <c r="Q43" s="92"/>
      <c r="R43" s="92"/>
      <c r="S43" s="114"/>
    </row>
    <row r="44" spans="1:19">
      <c r="A44" s="113"/>
      <c r="B44" s="92"/>
      <c r="C44" s="92"/>
      <c r="D44" s="92"/>
      <c r="E44" s="92"/>
      <c r="F44" s="92"/>
      <c r="G44" s="92"/>
      <c r="H44" s="92"/>
      <c r="I44" s="92"/>
      <c r="J44" s="92"/>
      <c r="K44" s="92"/>
      <c r="L44" s="92"/>
      <c r="M44" s="92"/>
      <c r="N44" s="92"/>
      <c r="O44" s="92"/>
      <c r="P44" s="92"/>
      <c r="Q44" s="92"/>
      <c r="R44" s="92"/>
      <c r="S44" s="114"/>
    </row>
    <row r="45" spans="1:19">
      <c r="A45" s="113"/>
      <c r="B45" s="92"/>
      <c r="C45" s="92"/>
      <c r="D45" s="92"/>
      <c r="E45" s="92"/>
      <c r="F45" s="92"/>
      <c r="G45" s="92"/>
      <c r="H45" s="92"/>
      <c r="I45" s="92"/>
      <c r="J45" s="92"/>
      <c r="K45" s="92"/>
      <c r="L45" s="92"/>
      <c r="M45" s="92"/>
      <c r="N45" s="92"/>
      <c r="O45" s="92"/>
      <c r="P45" s="92"/>
      <c r="Q45" s="92"/>
      <c r="R45" s="92"/>
      <c r="S45" s="114"/>
    </row>
    <row r="46" spans="1:19">
      <c r="A46" s="113"/>
      <c r="B46" s="92"/>
      <c r="C46" s="92"/>
      <c r="D46" s="92"/>
      <c r="E46" s="92"/>
      <c r="F46" s="92"/>
      <c r="G46" s="92"/>
      <c r="H46" s="92"/>
      <c r="I46" s="92"/>
      <c r="J46" s="92"/>
      <c r="K46" s="92"/>
      <c r="L46" s="92"/>
      <c r="M46" s="92"/>
      <c r="N46" s="92"/>
      <c r="O46" s="92"/>
      <c r="P46" s="92"/>
      <c r="Q46" s="92"/>
      <c r="R46" s="92"/>
      <c r="S46" s="114"/>
    </row>
    <row r="47" spans="1:19">
      <c r="A47" s="113"/>
      <c r="B47" s="92"/>
      <c r="C47" s="92"/>
      <c r="D47" s="92"/>
      <c r="E47" s="92"/>
      <c r="F47" s="92"/>
      <c r="G47" s="92"/>
      <c r="H47" s="92"/>
      <c r="I47" s="92"/>
      <c r="J47" s="92"/>
      <c r="K47" s="92"/>
      <c r="L47" s="92"/>
      <c r="M47" s="92"/>
      <c r="N47" s="92"/>
      <c r="O47" s="92"/>
      <c r="P47" s="92"/>
      <c r="Q47" s="92"/>
      <c r="R47" s="92"/>
      <c r="S47" s="114"/>
    </row>
    <row r="48" spans="1:19">
      <c r="A48" s="113"/>
      <c r="B48" s="92"/>
      <c r="C48" s="92"/>
      <c r="D48" s="92"/>
      <c r="E48" s="92"/>
      <c r="F48" s="92"/>
      <c r="G48" s="92"/>
      <c r="H48" s="92"/>
      <c r="I48" s="92"/>
      <c r="J48" s="92"/>
      <c r="K48" s="92"/>
      <c r="L48" s="92"/>
      <c r="M48" s="92"/>
      <c r="N48" s="92"/>
      <c r="O48" s="92"/>
      <c r="P48" s="92"/>
      <c r="Q48" s="92"/>
      <c r="R48" s="92"/>
      <c r="S48" s="114"/>
    </row>
    <row r="49" spans="1:19">
      <c r="A49" s="113"/>
      <c r="B49" s="92"/>
      <c r="C49" s="92"/>
      <c r="D49" s="92"/>
      <c r="E49" s="92"/>
      <c r="F49" s="92"/>
      <c r="G49" s="92"/>
      <c r="H49" s="92"/>
      <c r="I49" s="92"/>
      <c r="J49" s="92"/>
      <c r="K49" s="92"/>
      <c r="L49" s="92"/>
      <c r="M49" s="92"/>
      <c r="N49" s="92"/>
      <c r="O49" s="92"/>
      <c r="P49" s="92"/>
      <c r="Q49" s="92"/>
      <c r="R49" s="92"/>
      <c r="S49" s="114"/>
    </row>
    <row r="50" spans="1:19">
      <c r="A50" s="113"/>
      <c r="B50" s="92"/>
      <c r="C50" s="92"/>
      <c r="D50" s="92"/>
      <c r="E50" s="92"/>
      <c r="F50" s="92"/>
      <c r="G50" s="92"/>
      <c r="H50" s="92"/>
      <c r="I50" s="92"/>
      <c r="J50" s="92"/>
      <c r="K50" s="92"/>
      <c r="L50" s="92"/>
      <c r="M50" s="92"/>
      <c r="N50" s="92"/>
      <c r="O50" s="92"/>
      <c r="P50" s="92"/>
      <c r="Q50" s="92"/>
      <c r="R50" s="92"/>
      <c r="S50" s="114"/>
    </row>
    <row r="51" spans="1:19">
      <c r="A51" s="113"/>
      <c r="B51" s="92"/>
      <c r="C51" s="92"/>
      <c r="D51" s="92"/>
      <c r="E51" s="92"/>
      <c r="F51" s="92"/>
      <c r="G51" s="92"/>
      <c r="H51" s="92"/>
      <c r="I51" s="92"/>
      <c r="J51" s="92"/>
      <c r="K51" s="92"/>
      <c r="L51" s="92"/>
      <c r="M51" s="92"/>
      <c r="N51" s="92"/>
      <c r="O51" s="92"/>
      <c r="P51" s="92"/>
      <c r="Q51" s="92"/>
      <c r="R51" s="92"/>
      <c r="S51" s="114"/>
    </row>
    <row r="52" spans="1:19">
      <c r="A52" s="92"/>
      <c r="B52" s="92"/>
      <c r="C52" s="92"/>
      <c r="D52" s="92"/>
      <c r="E52" s="92"/>
      <c r="F52" s="92"/>
      <c r="G52" s="92"/>
      <c r="H52" s="92"/>
      <c r="I52" s="92"/>
      <c r="J52" s="92"/>
      <c r="K52" s="92"/>
      <c r="L52" s="92"/>
      <c r="M52" s="92"/>
      <c r="N52" s="92"/>
      <c r="O52" s="92"/>
      <c r="P52" s="92"/>
      <c r="Q52" s="92"/>
      <c r="R52" s="92"/>
      <c r="S52" s="92"/>
    </row>
    <row r="53" spans="1:19">
      <c r="A53" s="92"/>
      <c r="B53" s="92"/>
      <c r="C53" s="92"/>
      <c r="D53" s="92"/>
      <c r="E53" s="92"/>
      <c r="F53" s="92"/>
      <c r="G53" s="92"/>
      <c r="H53" s="92"/>
      <c r="I53" s="92"/>
      <c r="J53" s="92"/>
      <c r="K53" s="92"/>
      <c r="L53" s="92"/>
      <c r="M53" s="92"/>
      <c r="N53" s="92"/>
      <c r="O53" s="92"/>
      <c r="P53" s="92"/>
      <c r="Q53" s="92"/>
      <c r="R53" s="92"/>
      <c r="S53" s="92"/>
    </row>
    <row r="54" spans="1:19">
      <c r="A54" s="84"/>
      <c r="B54" s="84"/>
      <c r="C54" s="84"/>
      <c r="D54" s="84"/>
      <c r="E54" s="84"/>
      <c r="F54" s="84"/>
      <c r="G54" s="84"/>
      <c r="H54" s="84"/>
      <c r="I54" s="84"/>
      <c r="J54" s="84"/>
      <c r="K54" s="84"/>
      <c r="L54" s="84"/>
      <c r="M54" s="84"/>
      <c r="N54" s="84"/>
      <c r="O54" s="84"/>
      <c r="P54" s="84"/>
      <c r="Q54" s="84"/>
      <c r="R54" s="84"/>
      <c r="S54" s="84"/>
    </row>
    <row r="55" spans="1:19">
      <c r="A55" s="83"/>
      <c r="B55" s="84"/>
      <c r="C55" s="84"/>
      <c r="D55" s="84"/>
      <c r="E55" s="84"/>
      <c r="F55" s="84"/>
      <c r="G55" s="84"/>
      <c r="H55" s="84"/>
      <c r="I55" s="84"/>
      <c r="J55" s="84"/>
      <c r="K55" s="84"/>
      <c r="L55" s="84"/>
      <c r="M55" s="84"/>
      <c r="N55" s="84"/>
      <c r="O55" s="84"/>
      <c r="P55" s="84"/>
      <c r="Q55" s="84"/>
      <c r="S55" s="84"/>
    </row>
    <row r="56" spans="1:19">
      <c r="A56" s="85"/>
      <c r="B56" s="86"/>
      <c r="C56" s="86"/>
      <c r="D56" s="86"/>
      <c r="E56" s="86"/>
      <c r="F56" s="86"/>
      <c r="G56" s="86"/>
      <c r="H56" s="86"/>
      <c r="I56" s="86"/>
      <c r="J56" s="86"/>
      <c r="K56" s="86"/>
      <c r="L56" s="86"/>
      <c r="M56" s="86"/>
      <c r="N56" s="86"/>
      <c r="O56" s="86"/>
      <c r="P56" s="86"/>
      <c r="Q56" s="86"/>
      <c r="R56" s="86"/>
      <c r="S56" s="86"/>
    </row>
  </sheetData>
  <sheetProtection algorithmName="SHA-512" hashValue="9WHShWVKNYJ3wm5KJfqhBWYKjVxmRwFNZDTGHYklIimp8P3Oh6XrH9a8B2fT6B0ehMszyZXRei8YGSO6HrhATg==" saltValue="6N/kRafv9c4DLkyMKxJ5dA==" spinCount="100000" sheet="1" scenarios="1"/>
  <mergeCells count="1">
    <mergeCell ref="A1:S1"/>
  </mergeCells>
  <hyperlinks>
    <hyperlink ref="R39" location="'EV5.5.10-12 Cell Fixation'!A1" display="BACK" xr:uid="{904C866E-8C80-428B-B22C-77E4B8F402A2}"/>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16CB5-96A9-4E89-8354-86458793D3AD}">
  <sheetPr codeName="Tabelle10">
    <pageSetUpPr fitToPage="1"/>
  </sheetPr>
  <dimension ref="A1:U56"/>
  <sheetViews>
    <sheetView showGridLines="0" view="pageBreakPreview" zoomScaleNormal="100" zoomScaleSheetLayoutView="100" workbookViewId="0">
      <selection sqref="A1:S1"/>
    </sheetView>
  </sheetViews>
  <sheetFormatPr defaultColWidth="11.42578125" defaultRowHeight="12.75"/>
  <cols>
    <col min="1" max="27" width="5" style="109" customWidth="1"/>
    <col min="28" max="28" width="6.140625" style="109" customWidth="1"/>
    <col min="29" max="38" width="5" style="109" customWidth="1"/>
    <col min="39" max="16384" width="11.42578125" style="109"/>
  </cols>
  <sheetData>
    <row r="1" spans="1:21" ht="12.75" customHeight="1">
      <c r="A1" s="874" t="s">
        <v>294</v>
      </c>
      <c r="B1" s="874"/>
      <c r="C1" s="874"/>
      <c r="D1" s="874"/>
      <c r="E1" s="874"/>
      <c r="F1" s="874"/>
      <c r="G1" s="874"/>
      <c r="H1" s="874"/>
      <c r="I1" s="874"/>
      <c r="J1" s="874"/>
      <c r="K1" s="874"/>
      <c r="L1" s="874"/>
      <c r="M1" s="874"/>
      <c r="N1" s="874"/>
      <c r="O1" s="874"/>
      <c r="P1" s="874"/>
      <c r="Q1" s="874"/>
      <c r="R1" s="874"/>
      <c r="S1" s="874"/>
    </row>
    <row r="2" spans="1:21" ht="12.75" customHeight="1">
      <c r="A2" s="110"/>
      <c r="B2" s="111"/>
      <c r="C2" s="111"/>
      <c r="D2" s="111"/>
      <c r="E2" s="111"/>
      <c r="F2" s="111"/>
      <c r="G2" s="111"/>
      <c r="H2" s="111"/>
      <c r="I2" s="111"/>
      <c r="J2" s="111"/>
      <c r="K2" s="111"/>
      <c r="L2" s="111"/>
      <c r="M2" s="111"/>
      <c r="N2" s="111"/>
      <c r="O2" s="111"/>
      <c r="P2" s="111"/>
      <c r="Q2" s="111"/>
      <c r="R2" s="111"/>
      <c r="S2" s="112"/>
      <c r="U2" s="74"/>
    </row>
    <row r="3" spans="1:21" ht="12.75" customHeight="1">
      <c r="A3" s="113"/>
      <c r="B3" s="74" t="s">
        <v>295</v>
      </c>
      <c r="C3" s="92"/>
      <c r="D3" s="92"/>
      <c r="E3" s="92"/>
      <c r="F3" s="92"/>
      <c r="G3" s="92"/>
      <c r="H3" s="92"/>
      <c r="I3" s="92"/>
      <c r="J3" s="92"/>
      <c r="K3" s="92"/>
      <c r="L3" s="92"/>
      <c r="M3" s="92"/>
      <c r="N3" s="92"/>
      <c r="O3" s="92"/>
      <c r="P3" s="92"/>
      <c r="Q3" s="92"/>
      <c r="R3" s="92"/>
      <c r="S3" s="114"/>
    </row>
    <row r="4" spans="1:21" ht="12.75" customHeight="1">
      <c r="A4" s="92"/>
      <c r="B4" s="92" t="s">
        <v>296</v>
      </c>
      <c r="C4" s="92"/>
      <c r="D4" s="92"/>
      <c r="E4" s="92"/>
      <c r="F4" s="92"/>
      <c r="G4" s="92"/>
      <c r="H4" s="92"/>
      <c r="I4" s="92"/>
      <c r="J4" s="92"/>
      <c r="K4" s="92"/>
      <c r="L4" s="92"/>
      <c r="M4" s="92"/>
      <c r="N4" s="92"/>
      <c r="O4" s="92"/>
      <c r="P4" s="92"/>
      <c r="Q4" s="92"/>
      <c r="R4" s="92"/>
      <c r="S4" s="114"/>
      <c r="U4" s="74"/>
    </row>
    <row r="5" spans="1:21" ht="12.75" customHeight="1">
      <c r="A5" s="113"/>
      <c r="B5" s="92" t="s">
        <v>297</v>
      </c>
      <c r="C5" s="92"/>
      <c r="D5" s="92"/>
      <c r="E5" s="92"/>
      <c r="F5" s="92"/>
      <c r="G5" s="92"/>
      <c r="H5" s="92"/>
      <c r="I5" s="92"/>
      <c r="J5" s="92"/>
      <c r="K5" s="92"/>
      <c r="L5" s="92"/>
      <c r="M5" s="92"/>
      <c r="N5" s="92"/>
      <c r="O5" s="92"/>
      <c r="P5" s="92"/>
      <c r="Q5" s="92"/>
      <c r="R5" s="92"/>
      <c r="S5" s="114"/>
    </row>
    <row r="6" spans="1:21" ht="12.75" customHeight="1">
      <c r="A6" s="113"/>
      <c r="B6" s="92"/>
      <c r="C6" s="92"/>
      <c r="D6" s="92"/>
      <c r="E6" s="92"/>
      <c r="F6" s="92"/>
      <c r="G6" s="92"/>
      <c r="H6" s="92"/>
      <c r="I6" s="92"/>
      <c r="J6" s="92"/>
      <c r="K6" s="92"/>
      <c r="L6" s="92"/>
      <c r="M6" s="92"/>
      <c r="N6" s="92"/>
      <c r="O6" s="92"/>
      <c r="P6" s="92"/>
      <c r="Q6" s="92"/>
      <c r="R6" s="92"/>
      <c r="S6" s="114"/>
    </row>
    <row r="7" spans="1:21" ht="12.75" customHeight="1">
      <c r="A7" s="113"/>
      <c r="B7" s="92" t="s">
        <v>298</v>
      </c>
      <c r="C7" s="92"/>
      <c r="D7" s="92"/>
      <c r="E7" s="92"/>
      <c r="F7" s="92"/>
      <c r="G7" s="92"/>
      <c r="H7" s="92"/>
      <c r="I7" s="92"/>
      <c r="J7" s="92"/>
      <c r="K7" s="92"/>
      <c r="L7" s="92"/>
      <c r="M7" s="92"/>
      <c r="N7" s="92"/>
      <c r="O7" s="92"/>
      <c r="P7" s="92"/>
      <c r="Q7" s="92"/>
      <c r="R7" s="92"/>
      <c r="S7" s="114"/>
    </row>
    <row r="8" spans="1:21" ht="12.75" customHeight="1">
      <c r="A8" s="113"/>
      <c r="B8" s="92"/>
      <c r="C8" s="92"/>
      <c r="D8" s="92"/>
      <c r="E8" s="92"/>
      <c r="F8" s="92"/>
      <c r="G8" s="92"/>
      <c r="H8" s="92"/>
      <c r="I8" s="92"/>
      <c r="J8" s="92"/>
      <c r="K8" s="92"/>
      <c r="L8" s="92"/>
      <c r="M8" s="92"/>
      <c r="N8" s="92"/>
      <c r="O8" s="92"/>
      <c r="P8" s="92"/>
      <c r="Q8" s="92"/>
      <c r="R8" s="92"/>
      <c r="S8" s="114"/>
    </row>
    <row r="9" spans="1:21" ht="12.75" customHeight="1">
      <c r="A9" s="113"/>
      <c r="B9" s="92"/>
      <c r="C9" s="92"/>
      <c r="D9" s="92"/>
      <c r="E9" s="92"/>
      <c r="F9" s="92"/>
      <c r="G9" s="92"/>
      <c r="H9" s="92"/>
      <c r="I9" s="92"/>
      <c r="J9" s="92"/>
      <c r="K9" s="92"/>
      <c r="L9" s="92"/>
      <c r="M9" s="92"/>
      <c r="N9" s="92"/>
      <c r="O9" s="92"/>
      <c r="P9" s="92"/>
      <c r="Q9" s="92"/>
      <c r="R9" s="92"/>
      <c r="S9" s="114"/>
    </row>
    <row r="10" spans="1:21" ht="12.75" customHeight="1">
      <c r="A10" s="113"/>
      <c r="B10" s="92"/>
      <c r="C10" s="92"/>
      <c r="D10" s="92"/>
      <c r="E10" s="92"/>
      <c r="F10" s="92"/>
      <c r="G10" s="92"/>
      <c r="H10" s="92"/>
      <c r="I10" s="92"/>
      <c r="J10" s="92"/>
      <c r="K10" s="92"/>
      <c r="L10" s="92"/>
      <c r="M10" s="92"/>
      <c r="N10" s="92"/>
      <c r="O10" s="92"/>
      <c r="P10" s="92"/>
      <c r="Q10" s="92"/>
      <c r="R10" s="92"/>
      <c r="S10" s="114"/>
    </row>
    <row r="11" spans="1:21" ht="12.75" customHeight="1">
      <c r="A11" s="113"/>
      <c r="B11" s="92"/>
      <c r="C11" s="92"/>
      <c r="D11" s="92"/>
      <c r="E11" s="92"/>
      <c r="F11" s="92"/>
      <c r="G11" s="92"/>
      <c r="H11" s="92"/>
      <c r="I11" s="92"/>
      <c r="J11" s="92"/>
      <c r="K11" s="92"/>
      <c r="L11" s="92"/>
      <c r="M11" s="92"/>
      <c r="N11" s="92"/>
      <c r="O11" s="92"/>
      <c r="P11" s="92"/>
      <c r="Q11" s="92"/>
      <c r="R11" s="92"/>
      <c r="S11" s="114"/>
    </row>
    <row r="12" spans="1:21" ht="12.75" customHeight="1">
      <c r="A12" s="113"/>
      <c r="B12" s="95"/>
      <c r="C12" s="92"/>
      <c r="D12" s="92"/>
      <c r="E12" s="92"/>
      <c r="F12" s="92"/>
      <c r="G12" s="92"/>
      <c r="H12" s="92"/>
      <c r="I12" s="92"/>
      <c r="J12" s="92"/>
      <c r="K12" s="92"/>
      <c r="L12" s="92"/>
      <c r="M12" s="92"/>
      <c r="N12" s="92"/>
      <c r="O12" s="92"/>
      <c r="P12" s="92"/>
      <c r="Q12" s="92"/>
      <c r="R12" s="92"/>
      <c r="S12" s="114"/>
    </row>
    <row r="13" spans="1:21" ht="12.75" customHeight="1">
      <c r="A13" s="113"/>
      <c r="B13" s="93"/>
      <c r="C13" s="92"/>
      <c r="D13" s="92"/>
      <c r="E13" s="92"/>
      <c r="F13" s="92"/>
      <c r="G13" s="92"/>
      <c r="H13" s="92"/>
      <c r="I13" s="92"/>
      <c r="J13" s="92"/>
      <c r="K13" s="92"/>
      <c r="L13" s="92"/>
      <c r="M13" s="92"/>
      <c r="N13" s="92"/>
      <c r="O13" s="92"/>
      <c r="P13" s="92"/>
      <c r="Q13" s="92"/>
      <c r="R13" s="92"/>
      <c r="S13" s="114"/>
    </row>
    <row r="14" spans="1:21" ht="12.75" customHeight="1">
      <c r="A14" s="113"/>
      <c r="B14" s="93"/>
      <c r="C14" s="92"/>
      <c r="D14" s="92"/>
      <c r="E14" s="92"/>
      <c r="F14" s="92"/>
      <c r="G14" s="92"/>
      <c r="H14" s="92"/>
      <c r="I14" s="92"/>
      <c r="J14" s="92"/>
      <c r="K14" s="92"/>
      <c r="L14" s="92"/>
      <c r="M14" s="92"/>
      <c r="N14" s="92"/>
      <c r="O14" s="92"/>
      <c r="P14" s="92"/>
      <c r="Q14" s="92"/>
      <c r="R14" s="92"/>
      <c r="S14" s="114"/>
    </row>
    <row r="15" spans="1:21" ht="12.75" customHeight="1">
      <c r="A15" s="113"/>
      <c r="B15" s="94"/>
      <c r="C15" s="92"/>
      <c r="D15" s="92"/>
      <c r="E15" s="92"/>
      <c r="F15" s="92"/>
      <c r="G15" s="92"/>
      <c r="H15" s="92"/>
      <c r="I15" s="92"/>
      <c r="J15" s="92"/>
      <c r="K15" s="92"/>
      <c r="L15" s="92"/>
      <c r="M15" s="92"/>
      <c r="N15" s="92"/>
      <c r="O15" s="92"/>
      <c r="P15" s="92"/>
      <c r="Q15" s="92"/>
      <c r="R15" s="92"/>
      <c r="S15" s="114"/>
    </row>
    <row r="16" spans="1:21" ht="12.75" customHeight="1">
      <c r="A16" s="113"/>
      <c r="B16" s="95"/>
      <c r="C16" s="92"/>
      <c r="D16" s="92"/>
      <c r="E16" s="92"/>
      <c r="F16" s="92"/>
      <c r="G16" s="92"/>
      <c r="H16" s="92"/>
      <c r="I16" s="92"/>
      <c r="J16" s="92"/>
      <c r="K16" s="92"/>
      <c r="L16" s="92"/>
      <c r="M16" s="92"/>
      <c r="N16" s="92"/>
      <c r="O16" s="92"/>
      <c r="P16" s="92"/>
      <c r="Q16" s="92"/>
      <c r="R16" s="92"/>
      <c r="S16" s="114"/>
    </row>
    <row r="17" spans="1:19" ht="12.75" customHeight="1">
      <c r="A17" s="113"/>
      <c r="B17" s="94"/>
      <c r="C17" s="92"/>
      <c r="D17" s="92"/>
      <c r="E17" s="92"/>
      <c r="F17" s="92"/>
      <c r="G17" s="92"/>
      <c r="H17" s="92"/>
      <c r="I17" s="92"/>
      <c r="J17" s="92"/>
      <c r="K17" s="92"/>
      <c r="L17" s="92"/>
      <c r="M17" s="92"/>
      <c r="N17" s="92"/>
      <c r="O17" s="92"/>
      <c r="P17" s="92"/>
      <c r="Q17" s="92"/>
      <c r="R17" s="92"/>
      <c r="S17" s="114"/>
    </row>
    <row r="18" spans="1:19" ht="12.75" customHeight="1">
      <c r="A18" s="113"/>
      <c r="B18" s="92"/>
      <c r="C18" s="92"/>
      <c r="D18" s="92"/>
      <c r="E18" s="92"/>
      <c r="F18" s="92"/>
      <c r="G18" s="92"/>
      <c r="H18" s="92"/>
      <c r="I18" s="92"/>
      <c r="J18" s="92"/>
      <c r="K18" s="92"/>
      <c r="L18" s="92"/>
      <c r="M18" s="92"/>
      <c r="N18" s="92"/>
      <c r="O18" s="92"/>
      <c r="P18" s="92"/>
      <c r="Q18" s="92"/>
      <c r="R18" s="92"/>
      <c r="S18" s="114"/>
    </row>
    <row r="19" spans="1:19" ht="12.75" customHeight="1">
      <c r="A19" s="113"/>
      <c r="B19" s="92"/>
      <c r="C19" s="92"/>
      <c r="D19" s="92"/>
      <c r="E19" s="92"/>
      <c r="F19" s="92"/>
      <c r="G19" s="92"/>
      <c r="H19" s="92"/>
      <c r="I19" s="92"/>
      <c r="J19" s="92"/>
      <c r="K19" s="92"/>
      <c r="L19" s="92"/>
      <c r="M19" s="92"/>
      <c r="N19" s="92"/>
      <c r="O19" s="92"/>
      <c r="P19" s="92"/>
      <c r="Q19" s="92"/>
      <c r="R19" s="92"/>
      <c r="S19" s="114"/>
    </row>
    <row r="20" spans="1:19" ht="12.75" customHeight="1">
      <c r="A20" s="113"/>
      <c r="B20" s="92"/>
      <c r="C20" s="92"/>
      <c r="D20" s="92"/>
      <c r="E20" s="92"/>
      <c r="F20" s="92"/>
      <c r="G20" s="92"/>
      <c r="H20" s="92"/>
      <c r="I20" s="92"/>
      <c r="J20" s="92"/>
      <c r="K20" s="92"/>
      <c r="L20" s="92"/>
      <c r="M20" s="92"/>
      <c r="N20" s="92"/>
      <c r="O20" s="92"/>
      <c r="P20" s="92"/>
      <c r="Q20" s="92"/>
      <c r="R20" s="92"/>
      <c r="S20" s="114"/>
    </row>
    <row r="21" spans="1:19" ht="12.75" customHeight="1">
      <c r="A21" s="113"/>
      <c r="B21" s="95"/>
      <c r="C21" s="92"/>
      <c r="D21" s="92"/>
      <c r="E21" s="92"/>
      <c r="F21" s="92"/>
      <c r="G21" s="92"/>
      <c r="H21" s="92"/>
      <c r="I21" s="92"/>
      <c r="J21" s="92"/>
      <c r="K21" s="92"/>
      <c r="L21" s="92"/>
      <c r="M21" s="92"/>
      <c r="N21" s="92"/>
      <c r="O21" s="92"/>
      <c r="P21" s="92"/>
      <c r="Q21" s="92"/>
      <c r="R21" s="92"/>
      <c r="S21" s="114"/>
    </row>
    <row r="22" spans="1:19" ht="12.75" customHeight="1">
      <c r="A22" s="113"/>
      <c r="B22" s="93"/>
      <c r="C22" s="92"/>
      <c r="D22" s="92"/>
      <c r="E22" s="92"/>
      <c r="F22" s="92"/>
      <c r="G22" s="92"/>
      <c r="H22" s="92"/>
      <c r="I22" s="92"/>
      <c r="J22" s="92"/>
      <c r="K22" s="92"/>
      <c r="L22" s="92"/>
      <c r="M22" s="92"/>
      <c r="N22" s="92"/>
      <c r="O22" s="92"/>
      <c r="P22" s="92"/>
      <c r="Q22" s="92"/>
      <c r="R22" s="92"/>
      <c r="S22" s="114"/>
    </row>
    <row r="23" spans="1:19" ht="12.75" customHeight="1">
      <c r="A23" s="95"/>
      <c r="B23" s="95"/>
      <c r="C23" s="92"/>
      <c r="D23" s="92"/>
      <c r="E23" s="92"/>
      <c r="F23" s="92"/>
      <c r="G23" s="92"/>
      <c r="H23" s="92"/>
      <c r="I23" s="92"/>
      <c r="J23" s="92"/>
      <c r="K23" s="92"/>
      <c r="L23" s="92"/>
      <c r="M23" s="92"/>
      <c r="N23" s="92"/>
      <c r="O23" s="92"/>
      <c r="P23" s="92"/>
      <c r="Q23" s="92"/>
      <c r="R23" s="92"/>
      <c r="S23" s="115"/>
    </row>
    <row r="24" spans="1:19" ht="12.75" customHeight="1">
      <c r="A24" s="95"/>
      <c r="B24" s="123" t="s">
        <v>299</v>
      </c>
      <c r="C24" s="92"/>
      <c r="D24" s="92"/>
      <c r="E24" s="92"/>
      <c r="F24" s="92"/>
      <c r="G24" s="92"/>
      <c r="H24" s="92"/>
      <c r="I24" s="92"/>
      <c r="J24" s="92"/>
      <c r="K24" s="92"/>
      <c r="L24" s="92"/>
      <c r="M24" s="92"/>
      <c r="N24" s="92"/>
      <c r="O24" s="92"/>
      <c r="P24" s="92"/>
      <c r="Q24" s="92"/>
      <c r="R24" s="92"/>
      <c r="S24" s="115"/>
    </row>
    <row r="25" spans="1:19" ht="12.75" customHeight="1">
      <c r="A25" s="95"/>
      <c r="B25" s="95" t="s">
        <v>300</v>
      </c>
      <c r="C25" s="95"/>
      <c r="D25" s="95"/>
      <c r="E25" s="95"/>
      <c r="F25" s="95"/>
      <c r="G25" s="95"/>
      <c r="H25" s="95"/>
      <c r="I25" s="95"/>
      <c r="J25" s="95"/>
      <c r="K25" s="95"/>
      <c r="L25" s="95"/>
      <c r="M25" s="95"/>
      <c r="N25" s="95"/>
      <c r="O25" s="95"/>
      <c r="P25" s="95"/>
      <c r="Q25" s="95"/>
      <c r="R25" s="95"/>
      <c r="S25" s="116"/>
    </row>
    <row r="26" spans="1:19" ht="12.75" customHeight="1">
      <c r="A26" s="95"/>
      <c r="B26" s="95" t="s">
        <v>301</v>
      </c>
      <c r="C26" s="95"/>
      <c r="D26" s="95"/>
      <c r="E26" s="95"/>
      <c r="F26" s="95"/>
      <c r="G26" s="95"/>
      <c r="H26" s="95"/>
      <c r="I26" s="95"/>
      <c r="J26" s="95"/>
      <c r="K26" s="95"/>
      <c r="L26" s="95"/>
      <c r="M26" s="95"/>
      <c r="N26" s="95"/>
      <c r="O26" s="95"/>
      <c r="P26" s="95"/>
      <c r="Q26" s="95"/>
      <c r="R26" s="95"/>
      <c r="S26" s="116"/>
    </row>
    <row r="27" spans="1:19" ht="12.75" customHeight="1">
      <c r="A27" s="95"/>
      <c r="B27" s="95" t="s">
        <v>302</v>
      </c>
      <c r="C27" s="95"/>
      <c r="D27" s="95"/>
      <c r="E27" s="95"/>
      <c r="F27" s="95"/>
      <c r="G27" s="95"/>
      <c r="H27" s="95"/>
      <c r="I27" s="95"/>
      <c r="J27" s="95"/>
      <c r="K27" s="95"/>
      <c r="L27" s="95"/>
      <c r="M27" s="95"/>
      <c r="N27" s="95"/>
      <c r="O27" s="95"/>
      <c r="P27" s="95"/>
      <c r="Q27" s="95"/>
      <c r="R27" s="95"/>
      <c r="S27" s="116"/>
    </row>
    <row r="28" spans="1:19" ht="12.75" customHeight="1">
      <c r="A28" s="95"/>
      <c r="B28" s="95" t="s">
        <v>303</v>
      </c>
      <c r="C28" s="95"/>
      <c r="D28" s="95"/>
      <c r="E28" s="95"/>
      <c r="F28" s="95"/>
      <c r="G28" s="95"/>
      <c r="H28" s="95"/>
      <c r="I28" s="95"/>
      <c r="J28" s="95"/>
      <c r="K28" s="95"/>
      <c r="L28" s="95"/>
      <c r="M28" s="95"/>
      <c r="N28" s="95"/>
      <c r="O28" s="95"/>
      <c r="P28" s="95"/>
      <c r="Q28" s="95"/>
      <c r="R28" s="95"/>
      <c r="S28" s="116"/>
    </row>
    <row r="29" spans="1:19" ht="12.75" customHeight="1">
      <c r="A29" s="95"/>
      <c r="B29" s="95"/>
      <c r="C29" s="95"/>
      <c r="D29" s="95"/>
      <c r="E29" s="95"/>
      <c r="F29" s="95"/>
      <c r="G29" s="95"/>
      <c r="H29" s="95"/>
      <c r="I29" s="95"/>
      <c r="J29" s="95"/>
      <c r="K29" s="95"/>
      <c r="L29" s="95"/>
      <c r="M29" s="95"/>
      <c r="N29" s="95"/>
      <c r="O29" s="95"/>
      <c r="P29" s="95"/>
      <c r="Q29" s="95"/>
      <c r="R29" s="95"/>
      <c r="S29" s="116"/>
    </row>
    <row r="30" spans="1:19" ht="12.75" customHeight="1">
      <c r="A30" s="95"/>
      <c r="B30" s="123" t="s">
        <v>304</v>
      </c>
      <c r="C30" s="95"/>
      <c r="D30" s="95"/>
      <c r="E30" s="95"/>
      <c r="F30" s="95"/>
      <c r="G30" s="95"/>
      <c r="H30" s="95"/>
      <c r="I30" s="95"/>
      <c r="J30" s="95"/>
      <c r="K30" s="95"/>
      <c r="L30" s="95"/>
      <c r="M30" s="95"/>
      <c r="N30" s="95"/>
      <c r="O30" s="95"/>
      <c r="P30" s="95"/>
      <c r="Q30" s="95"/>
      <c r="R30" s="95"/>
      <c r="S30" s="116"/>
    </row>
    <row r="31" spans="1:19" ht="12.75" customHeight="1">
      <c r="A31" s="113"/>
      <c r="B31" s="92" t="s">
        <v>305</v>
      </c>
      <c r="C31" s="117"/>
      <c r="D31" s="117"/>
      <c r="E31" s="117"/>
      <c r="F31" s="117"/>
      <c r="G31" s="117"/>
      <c r="H31" s="117"/>
      <c r="I31" s="117"/>
      <c r="J31" s="117"/>
      <c r="K31" s="117"/>
      <c r="L31" s="117"/>
      <c r="M31" s="117"/>
      <c r="N31" s="117"/>
      <c r="O31" s="117"/>
      <c r="P31" s="92"/>
      <c r="Q31" s="92"/>
      <c r="R31" s="92"/>
      <c r="S31" s="115"/>
    </row>
    <row r="32" spans="1:19" ht="12.75" customHeight="1">
      <c r="A32" s="113"/>
      <c r="B32" s="92" t="s">
        <v>306</v>
      </c>
      <c r="C32" s="92"/>
      <c r="D32" s="92"/>
      <c r="E32" s="92"/>
      <c r="F32" s="92"/>
      <c r="G32" s="92"/>
      <c r="H32" s="92"/>
      <c r="I32" s="92"/>
      <c r="J32" s="92"/>
      <c r="K32" s="92"/>
      <c r="L32" s="92"/>
      <c r="M32" s="92"/>
      <c r="N32" s="92"/>
      <c r="O32" s="92"/>
      <c r="P32" s="92"/>
      <c r="Q32" s="92"/>
      <c r="R32" s="92"/>
      <c r="S32" s="115"/>
    </row>
    <row r="33" spans="1:19" ht="12.75" customHeight="1">
      <c r="A33" s="113"/>
      <c r="B33" s="93" t="s">
        <v>307</v>
      </c>
      <c r="C33" s="92"/>
      <c r="D33" s="92"/>
      <c r="E33" s="92"/>
      <c r="F33" s="92"/>
      <c r="G33" s="92"/>
      <c r="H33" s="92"/>
      <c r="I33" s="92"/>
      <c r="J33" s="92"/>
      <c r="K33" s="92"/>
      <c r="L33" s="92"/>
      <c r="M33" s="92"/>
      <c r="N33" s="92"/>
      <c r="O33" s="92"/>
      <c r="P33" s="92"/>
      <c r="Q33" s="92"/>
      <c r="R33" s="92"/>
      <c r="S33" s="115"/>
    </row>
    <row r="34" spans="1:19" ht="12.75" customHeight="1">
      <c r="A34" s="113"/>
      <c r="B34" s="121" t="s">
        <v>308</v>
      </c>
      <c r="C34" s="92"/>
      <c r="D34" s="92"/>
      <c r="E34" s="92"/>
      <c r="F34" s="92"/>
      <c r="G34" s="92"/>
      <c r="H34" s="92"/>
      <c r="I34" s="92"/>
      <c r="J34" s="92"/>
      <c r="K34" s="92"/>
      <c r="L34" s="92"/>
      <c r="M34" s="92"/>
      <c r="N34" s="92"/>
      <c r="O34" s="92"/>
      <c r="P34" s="92"/>
      <c r="Q34" s="92"/>
      <c r="R34" s="92"/>
      <c r="S34" s="115"/>
    </row>
    <row r="35" spans="1:19" ht="12.75" customHeight="1">
      <c r="A35" s="95"/>
      <c r="B35" s="95" t="s">
        <v>309</v>
      </c>
      <c r="C35" s="92"/>
      <c r="D35" s="92"/>
      <c r="E35" s="92"/>
      <c r="F35" s="92"/>
      <c r="G35" s="92"/>
      <c r="H35" s="92"/>
      <c r="I35" s="92"/>
      <c r="J35" s="92"/>
      <c r="K35" s="92"/>
      <c r="L35" s="92"/>
      <c r="M35" s="92"/>
      <c r="N35" s="92"/>
      <c r="O35" s="92"/>
      <c r="P35" s="92"/>
      <c r="Q35" s="92"/>
      <c r="R35" s="92"/>
      <c r="S35" s="115"/>
    </row>
    <row r="36" spans="1:19" ht="12.75" customHeight="1">
      <c r="A36" s="113"/>
      <c r="B36" s="95"/>
      <c r="C36" s="92"/>
      <c r="D36" s="92"/>
      <c r="E36" s="92"/>
      <c r="F36" s="92"/>
      <c r="G36" s="92"/>
      <c r="H36" s="92"/>
      <c r="I36" s="92"/>
      <c r="J36" s="92"/>
      <c r="K36" s="92"/>
      <c r="L36" s="92"/>
      <c r="M36" s="92"/>
      <c r="N36" s="92"/>
      <c r="O36" s="92"/>
      <c r="P36" s="92"/>
      <c r="Q36" s="92"/>
      <c r="R36" s="92"/>
      <c r="S36" s="115"/>
    </row>
    <row r="37" spans="1:19" ht="12.75" customHeight="1">
      <c r="A37" s="113"/>
      <c r="B37" s="123" t="s">
        <v>310</v>
      </c>
      <c r="C37" s="92"/>
      <c r="D37" s="92"/>
      <c r="E37" s="92"/>
      <c r="F37" s="92"/>
      <c r="G37" s="92"/>
      <c r="H37" s="92"/>
      <c r="I37" s="92"/>
      <c r="J37" s="92"/>
      <c r="K37" s="92"/>
      <c r="L37" s="92"/>
      <c r="M37" s="92"/>
      <c r="N37" s="92"/>
      <c r="O37" s="92"/>
      <c r="P37" s="92"/>
      <c r="Q37" s="92"/>
      <c r="R37" s="92"/>
      <c r="S37" s="115"/>
    </row>
    <row r="38" spans="1:19" ht="12.75" customHeight="1">
      <c r="A38" s="113"/>
      <c r="B38" s="92" t="s">
        <v>311</v>
      </c>
      <c r="C38" s="92"/>
      <c r="D38" s="92"/>
      <c r="E38" s="92"/>
      <c r="F38" s="92"/>
      <c r="G38" s="92"/>
      <c r="H38" s="92"/>
      <c r="I38" s="92"/>
      <c r="J38" s="92"/>
      <c r="K38" s="92"/>
      <c r="L38" s="92"/>
      <c r="M38" s="92"/>
      <c r="N38" s="92"/>
      <c r="O38" s="92"/>
      <c r="P38" s="92"/>
      <c r="Q38" s="92"/>
      <c r="R38" s="92"/>
      <c r="S38" s="114"/>
    </row>
    <row r="39" spans="1:19" ht="12.75" customHeight="1">
      <c r="A39" s="122"/>
      <c r="B39" s="95" t="s">
        <v>469</v>
      </c>
      <c r="C39" s="95"/>
      <c r="D39" s="95"/>
      <c r="E39" s="95"/>
      <c r="F39" s="95"/>
      <c r="G39" s="95"/>
      <c r="H39" s="95"/>
      <c r="I39" s="95"/>
      <c r="J39" s="95"/>
      <c r="K39" s="95"/>
      <c r="L39" s="95"/>
      <c r="M39" s="95"/>
      <c r="N39" s="95"/>
      <c r="O39" s="95"/>
      <c r="P39" s="95"/>
      <c r="Q39" s="95"/>
      <c r="R39" s="95"/>
      <c r="S39" s="114"/>
    </row>
    <row r="40" spans="1:19" ht="12.75" customHeight="1">
      <c r="A40" s="113"/>
      <c r="B40" s="92" t="s">
        <v>312</v>
      </c>
      <c r="C40" s="92"/>
      <c r="D40" s="92"/>
      <c r="E40" s="92"/>
      <c r="F40" s="92"/>
      <c r="G40" s="92"/>
      <c r="H40" s="92"/>
      <c r="I40" s="92"/>
      <c r="J40" s="92"/>
      <c r="K40" s="92"/>
      <c r="L40" s="92"/>
      <c r="M40" s="92"/>
      <c r="N40" s="92"/>
      <c r="O40" s="92"/>
      <c r="P40" s="92"/>
      <c r="Q40" s="92"/>
      <c r="R40" s="92"/>
      <c r="S40" s="114"/>
    </row>
    <row r="41" spans="1:19" ht="12.75" customHeight="1">
      <c r="A41" s="113"/>
      <c r="B41" s="92" t="s">
        <v>313</v>
      </c>
      <c r="C41" s="92"/>
      <c r="D41" s="92"/>
      <c r="E41" s="92"/>
      <c r="F41" s="92"/>
      <c r="G41" s="92"/>
      <c r="H41" s="92"/>
      <c r="I41" s="92"/>
      <c r="J41" s="92"/>
      <c r="K41" s="92"/>
      <c r="L41" s="92"/>
      <c r="M41" s="92"/>
      <c r="N41" s="92"/>
      <c r="O41" s="92"/>
      <c r="P41" s="92"/>
      <c r="Q41" s="92"/>
      <c r="R41" s="92"/>
      <c r="S41" s="114"/>
    </row>
    <row r="42" spans="1:19" ht="12.75" customHeight="1">
      <c r="A42" s="113"/>
      <c r="B42" s="92"/>
      <c r="C42" s="92"/>
      <c r="D42" s="92"/>
      <c r="E42" s="92"/>
      <c r="F42" s="92"/>
      <c r="G42" s="92"/>
      <c r="H42" s="92"/>
      <c r="I42" s="92"/>
      <c r="J42" s="92"/>
      <c r="K42" s="92"/>
      <c r="L42" s="92"/>
      <c r="M42" s="92"/>
      <c r="N42" s="92"/>
      <c r="O42" s="92"/>
      <c r="P42" s="92"/>
      <c r="Q42" s="92"/>
      <c r="R42" s="159" t="s">
        <v>270</v>
      </c>
      <c r="S42" s="114"/>
    </row>
    <row r="43" spans="1:19" ht="12.75" customHeight="1">
      <c r="A43" s="113"/>
      <c r="B43" s="92"/>
      <c r="C43" s="92"/>
      <c r="D43" s="92"/>
      <c r="E43" s="92"/>
      <c r="F43" s="92"/>
      <c r="G43" s="92"/>
      <c r="H43" s="92"/>
      <c r="I43" s="92"/>
      <c r="J43" s="92"/>
      <c r="K43" s="92"/>
      <c r="L43" s="92"/>
      <c r="M43" s="92"/>
      <c r="N43" s="92"/>
      <c r="O43" s="92"/>
      <c r="P43" s="92"/>
      <c r="Q43" s="92"/>
      <c r="R43" s="92"/>
      <c r="S43" s="114"/>
    </row>
    <row r="44" spans="1:19" ht="12.75" customHeight="1">
      <c r="A44" s="113"/>
      <c r="B44" s="92"/>
      <c r="C44" s="92"/>
      <c r="D44" s="92"/>
      <c r="E44" s="92"/>
      <c r="F44" s="92"/>
      <c r="G44" s="92"/>
      <c r="H44" s="92"/>
      <c r="I44" s="92"/>
      <c r="J44" s="92"/>
      <c r="K44" s="92"/>
      <c r="L44" s="92"/>
      <c r="M44" s="92"/>
      <c r="N44" s="92"/>
      <c r="O44" s="92"/>
      <c r="P44" s="92"/>
      <c r="Q44" s="92"/>
      <c r="R44" s="92"/>
      <c r="S44" s="114"/>
    </row>
    <row r="45" spans="1:19" ht="12.75" customHeight="1">
      <c r="A45" s="113"/>
      <c r="B45" s="92"/>
      <c r="C45" s="92"/>
      <c r="D45" s="92"/>
      <c r="E45" s="92"/>
      <c r="F45" s="92"/>
      <c r="G45" s="92"/>
      <c r="H45" s="92"/>
      <c r="I45" s="92"/>
      <c r="J45" s="92"/>
      <c r="K45" s="92"/>
      <c r="L45" s="92"/>
      <c r="M45" s="92"/>
      <c r="N45" s="92"/>
      <c r="O45" s="92"/>
      <c r="P45" s="92"/>
      <c r="Q45" s="92"/>
      <c r="R45" s="92"/>
      <c r="S45" s="114"/>
    </row>
    <row r="46" spans="1:19" ht="12.75" customHeight="1">
      <c r="A46" s="113"/>
      <c r="B46" s="92"/>
      <c r="C46" s="92"/>
      <c r="D46" s="92"/>
      <c r="E46" s="92"/>
      <c r="F46" s="92"/>
      <c r="G46" s="92"/>
      <c r="H46" s="92"/>
      <c r="I46" s="92"/>
      <c r="J46" s="92"/>
      <c r="K46" s="92"/>
      <c r="L46" s="92"/>
      <c r="M46" s="92"/>
      <c r="N46" s="92"/>
      <c r="O46" s="92"/>
      <c r="P46" s="92"/>
      <c r="Q46" s="92"/>
      <c r="R46" s="92"/>
      <c r="S46" s="114"/>
    </row>
    <row r="47" spans="1:19" ht="12.75" customHeight="1">
      <c r="A47" s="113"/>
      <c r="B47" s="92"/>
      <c r="C47" s="92"/>
      <c r="D47" s="92"/>
      <c r="E47" s="92"/>
      <c r="F47" s="92"/>
      <c r="G47" s="92"/>
      <c r="H47" s="92"/>
      <c r="I47" s="92"/>
      <c r="J47" s="92"/>
      <c r="K47" s="92"/>
      <c r="L47" s="92"/>
      <c r="M47" s="92"/>
      <c r="N47" s="92"/>
      <c r="O47" s="92"/>
      <c r="P47" s="92"/>
      <c r="Q47" s="92"/>
      <c r="R47" s="92"/>
      <c r="S47" s="114"/>
    </row>
    <row r="48" spans="1:19" ht="12.75" customHeight="1">
      <c r="A48" s="113"/>
      <c r="B48" s="92"/>
      <c r="C48" s="92"/>
      <c r="D48" s="92"/>
      <c r="E48" s="92"/>
      <c r="F48" s="92"/>
      <c r="G48" s="92"/>
      <c r="H48" s="92"/>
      <c r="I48" s="92"/>
      <c r="J48" s="92"/>
      <c r="K48" s="92"/>
      <c r="L48" s="92"/>
      <c r="M48" s="92"/>
      <c r="N48" s="92"/>
      <c r="O48" s="92"/>
      <c r="P48" s="92"/>
      <c r="Q48" s="92"/>
      <c r="R48" s="92"/>
      <c r="S48" s="114"/>
    </row>
    <row r="49" spans="1:19" ht="12.75" customHeight="1">
      <c r="A49" s="113"/>
      <c r="B49" s="92"/>
      <c r="C49" s="92"/>
      <c r="D49" s="92"/>
      <c r="E49" s="92"/>
      <c r="F49" s="92"/>
      <c r="G49" s="92"/>
      <c r="H49" s="92"/>
      <c r="I49" s="92"/>
      <c r="J49" s="92"/>
      <c r="K49" s="92"/>
      <c r="L49" s="92"/>
      <c r="M49" s="92"/>
      <c r="N49" s="92"/>
      <c r="O49" s="92"/>
      <c r="P49" s="92"/>
      <c r="Q49" s="92"/>
      <c r="R49" s="92"/>
      <c r="S49" s="114"/>
    </row>
    <row r="50" spans="1:19" ht="12.75" customHeight="1">
      <c r="A50" s="113"/>
      <c r="B50" s="92"/>
      <c r="C50" s="92"/>
      <c r="D50" s="92"/>
      <c r="E50" s="92"/>
      <c r="F50" s="92"/>
      <c r="G50" s="92"/>
      <c r="H50" s="92"/>
      <c r="I50" s="92"/>
      <c r="J50" s="92"/>
      <c r="K50" s="92"/>
      <c r="L50" s="92"/>
      <c r="M50" s="92"/>
      <c r="N50" s="92"/>
      <c r="O50" s="92"/>
      <c r="P50" s="92"/>
      <c r="Q50" s="92"/>
      <c r="R50" s="92"/>
      <c r="S50" s="114"/>
    </row>
    <row r="51" spans="1:19" ht="12.75" customHeight="1">
      <c r="A51" s="113"/>
      <c r="B51" s="92"/>
      <c r="C51" s="92"/>
      <c r="D51" s="92"/>
      <c r="E51" s="92"/>
      <c r="F51" s="92"/>
      <c r="G51" s="92"/>
      <c r="H51" s="92"/>
      <c r="I51" s="92"/>
      <c r="J51" s="92"/>
      <c r="K51" s="92"/>
      <c r="L51" s="92"/>
      <c r="M51" s="92"/>
      <c r="N51" s="92"/>
      <c r="O51" s="92"/>
      <c r="P51" s="92"/>
      <c r="Q51" s="92"/>
      <c r="R51" s="92"/>
      <c r="S51" s="114"/>
    </row>
    <row r="52" spans="1:19" ht="12.75" customHeight="1">
      <c r="A52" s="92"/>
      <c r="B52" s="92"/>
      <c r="C52" s="92"/>
      <c r="D52" s="92"/>
      <c r="E52" s="92"/>
      <c r="F52" s="92"/>
      <c r="G52" s="92"/>
      <c r="H52" s="92"/>
      <c r="I52" s="92"/>
      <c r="J52" s="92"/>
      <c r="K52" s="92"/>
      <c r="L52" s="92"/>
      <c r="M52" s="92"/>
      <c r="N52" s="92"/>
      <c r="O52" s="92"/>
      <c r="P52" s="92"/>
      <c r="Q52" s="92"/>
      <c r="R52" s="92"/>
      <c r="S52" s="92"/>
    </row>
    <row r="53" spans="1:19" ht="12.75" customHeight="1">
      <c r="A53" s="92"/>
      <c r="B53" s="92"/>
      <c r="C53" s="92"/>
      <c r="D53" s="92"/>
      <c r="E53" s="92"/>
      <c r="F53" s="92"/>
      <c r="G53" s="92"/>
      <c r="H53" s="92"/>
      <c r="I53" s="92"/>
      <c r="J53" s="92"/>
      <c r="K53" s="92"/>
      <c r="L53" s="92"/>
      <c r="M53" s="92"/>
      <c r="N53" s="92"/>
      <c r="O53" s="92"/>
      <c r="P53" s="92"/>
      <c r="Q53" s="92"/>
      <c r="R53" s="92"/>
      <c r="S53" s="92"/>
    </row>
    <row r="54" spans="1:19" ht="12.75" customHeight="1">
      <c r="A54" s="84"/>
      <c r="B54" s="84"/>
      <c r="C54" s="84"/>
      <c r="D54" s="84"/>
      <c r="E54" s="84"/>
      <c r="F54" s="84"/>
      <c r="G54" s="84"/>
      <c r="H54" s="84"/>
      <c r="I54" s="84"/>
      <c r="J54" s="84"/>
      <c r="K54" s="84"/>
      <c r="L54" s="84"/>
      <c r="M54" s="84"/>
      <c r="N54" s="84"/>
      <c r="O54" s="84"/>
      <c r="P54" s="84"/>
      <c r="Q54" s="84"/>
      <c r="R54" s="84"/>
      <c r="S54" s="84"/>
    </row>
    <row r="55" spans="1:19" ht="12.75" customHeight="1">
      <c r="A55" s="83"/>
      <c r="B55" s="84"/>
      <c r="C55" s="84"/>
      <c r="D55" s="84"/>
      <c r="E55" s="84"/>
      <c r="F55" s="84"/>
      <c r="G55" s="84"/>
      <c r="H55" s="84"/>
      <c r="I55" s="84"/>
      <c r="J55" s="84"/>
      <c r="K55" s="84"/>
      <c r="L55" s="84"/>
      <c r="M55" s="84"/>
      <c r="N55" s="84"/>
      <c r="O55" s="84"/>
      <c r="P55" s="84"/>
      <c r="Q55" s="84"/>
      <c r="S55" s="84"/>
    </row>
    <row r="56" spans="1:19" ht="12.75" customHeight="1">
      <c r="A56" s="85"/>
      <c r="B56" s="86"/>
      <c r="C56" s="86"/>
      <c r="D56" s="86"/>
      <c r="E56" s="86"/>
      <c r="F56" s="86"/>
      <c r="G56" s="86"/>
      <c r="H56" s="86"/>
      <c r="I56" s="86"/>
      <c r="J56" s="86"/>
      <c r="K56" s="86"/>
      <c r="L56" s="86"/>
      <c r="M56" s="86"/>
      <c r="N56" s="86"/>
      <c r="O56" s="86"/>
      <c r="P56" s="86"/>
      <c r="Q56" s="86"/>
      <c r="R56" s="86"/>
      <c r="S56" s="86"/>
    </row>
  </sheetData>
  <sheetProtection algorithmName="SHA-512" hashValue="widPc2m0XESjdMK+gwJKamN2U7nbalWJ0wq66LUeWvW8donmv/V3mJkv9DWbxE2+2CLfGEuylXfq+FSuFF8CRA==" saltValue="4ESNyg4qbVO1i0RGhpkTwg==" spinCount="100000" sheet="1" scenarios="1"/>
  <mergeCells count="1">
    <mergeCell ref="A1:S1"/>
  </mergeCells>
  <hyperlinks>
    <hyperlink ref="R42" location="'EV5.5.10-12 Cell Fixation'!A1" display="BACK" xr:uid="{A30AE3BF-5C3A-43B5-A1D7-34BA0B21F1B4}"/>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1">
    <pageSetUpPr fitToPage="1"/>
  </sheetPr>
  <dimension ref="A1:AL54"/>
  <sheetViews>
    <sheetView showGridLines="0" view="pageBreakPreview" zoomScaleNormal="100" zoomScaleSheetLayoutView="100" workbookViewId="0">
      <selection sqref="A1:S1"/>
    </sheetView>
  </sheetViews>
  <sheetFormatPr defaultColWidth="11.42578125" defaultRowHeight="12.75"/>
  <cols>
    <col min="1" max="1" width="5" customWidth="1"/>
    <col min="2" max="2" width="5.85546875" customWidth="1"/>
    <col min="3" max="38" width="5" customWidth="1"/>
  </cols>
  <sheetData>
    <row r="1" spans="1:38">
      <c r="A1" s="633" t="s">
        <v>314</v>
      </c>
      <c r="B1" s="634"/>
      <c r="C1" s="634"/>
      <c r="D1" s="634"/>
      <c r="E1" s="634"/>
      <c r="F1" s="634"/>
      <c r="G1" s="634"/>
      <c r="H1" s="634"/>
      <c r="I1" s="634"/>
      <c r="J1" s="634"/>
      <c r="K1" s="634"/>
      <c r="L1" s="634"/>
      <c r="M1" s="634"/>
      <c r="N1" s="634"/>
      <c r="O1" s="634"/>
      <c r="P1" s="634"/>
      <c r="Q1" s="634"/>
      <c r="R1" s="634"/>
      <c r="S1" s="635"/>
      <c r="T1" s="399"/>
      <c r="U1" s="399"/>
      <c r="V1" s="399"/>
      <c r="W1" s="399"/>
      <c r="X1" s="399"/>
      <c r="Y1" s="399"/>
      <c r="Z1" s="399"/>
      <c r="AA1" s="399"/>
      <c r="AB1" s="399"/>
      <c r="AC1" s="399"/>
      <c r="AD1" s="399"/>
      <c r="AE1" s="399"/>
      <c r="AF1" s="399"/>
      <c r="AG1" s="399"/>
      <c r="AH1" s="399"/>
      <c r="AI1" s="399"/>
      <c r="AJ1" s="399"/>
      <c r="AK1" s="399"/>
      <c r="AL1" s="399"/>
    </row>
    <row r="2" spans="1:38">
      <c r="A2" s="75"/>
      <c r="B2" s="76"/>
      <c r="C2" s="76"/>
      <c r="D2" s="76"/>
      <c r="E2" s="76"/>
      <c r="F2" s="76"/>
      <c r="G2" s="76"/>
      <c r="H2" s="76"/>
      <c r="I2" s="76"/>
      <c r="J2" s="76"/>
      <c r="K2" s="76"/>
      <c r="L2" s="76"/>
      <c r="M2" s="76"/>
      <c r="N2" s="76"/>
      <c r="O2" s="76"/>
      <c r="P2" s="76"/>
      <c r="Q2" s="76"/>
      <c r="R2" s="76"/>
      <c r="S2" s="77"/>
      <c r="T2" s="399"/>
      <c r="U2" s="399"/>
      <c r="V2" s="399"/>
      <c r="W2" s="399"/>
      <c r="X2" s="399"/>
      <c r="Y2" s="399"/>
      <c r="Z2" s="399"/>
      <c r="AA2" s="399"/>
      <c r="AB2" s="399"/>
      <c r="AC2" s="399"/>
      <c r="AD2" s="399"/>
      <c r="AE2" s="399"/>
      <c r="AF2" s="399"/>
      <c r="AG2" s="399"/>
      <c r="AH2" s="399"/>
      <c r="AI2" s="399"/>
      <c r="AJ2" s="399"/>
      <c r="AK2" s="399"/>
      <c r="AL2" s="399"/>
    </row>
    <row r="3" spans="1:38">
      <c r="A3" s="59"/>
      <c r="B3" s="401"/>
      <c r="C3" s="398"/>
      <c r="D3" s="398"/>
      <c r="E3" s="398"/>
      <c r="F3" s="398"/>
      <c r="G3" s="398"/>
      <c r="H3" s="398"/>
      <c r="I3" s="398"/>
      <c r="J3" s="398"/>
      <c r="K3" s="398"/>
      <c r="L3" s="398"/>
      <c r="M3" s="398"/>
      <c r="N3" s="398"/>
      <c r="O3" s="398"/>
      <c r="P3" s="398"/>
      <c r="Q3" s="398"/>
      <c r="R3" s="398"/>
      <c r="S3" s="60"/>
      <c r="T3" s="399"/>
      <c r="U3" s="400"/>
      <c r="V3" s="399"/>
      <c r="W3" s="399"/>
      <c r="X3" s="399"/>
      <c r="Y3" s="399"/>
      <c r="Z3" s="399"/>
      <c r="AA3" s="399"/>
      <c r="AB3" s="399"/>
      <c r="AC3" s="399"/>
      <c r="AD3" s="399"/>
      <c r="AE3" s="399"/>
      <c r="AF3" s="399"/>
      <c r="AG3" s="399"/>
      <c r="AH3" s="399"/>
      <c r="AI3" s="399"/>
      <c r="AJ3" s="399"/>
      <c r="AK3" s="399"/>
      <c r="AL3" s="399"/>
    </row>
    <row r="4" spans="1:38">
      <c r="A4" s="59"/>
      <c r="B4" s="401"/>
      <c r="C4" s="398"/>
      <c r="D4" s="398"/>
      <c r="E4" s="398"/>
      <c r="F4" s="398"/>
      <c r="G4" s="398"/>
      <c r="H4" s="398"/>
      <c r="I4" s="398"/>
      <c r="J4" s="398"/>
      <c r="K4" s="398"/>
      <c r="L4" s="398"/>
      <c r="M4" s="398"/>
      <c r="N4" s="398"/>
      <c r="O4" s="398"/>
      <c r="P4" s="398"/>
      <c r="Q4" s="398"/>
      <c r="R4" s="398"/>
      <c r="S4" s="60"/>
      <c r="T4" s="399"/>
      <c r="U4" s="400"/>
      <c r="V4" s="399"/>
      <c r="W4" s="399"/>
      <c r="X4" s="399"/>
      <c r="Y4" s="399"/>
      <c r="Z4" s="399"/>
      <c r="AA4" s="399"/>
      <c r="AB4" s="399"/>
      <c r="AC4" s="399"/>
      <c r="AD4" s="399"/>
      <c r="AE4" s="399"/>
      <c r="AF4" s="399"/>
      <c r="AG4" s="399"/>
      <c r="AH4" s="399"/>
      <c r="AI4" s="399"/>
      <c r="AJ4" s="399"/>
      <c r="AK4" s="399"/>
      <c r="AL4" s="399"/>
    </row>
    <row r="5" spans="1:38">
      <c r="A5" s="59"/>
      <c r="B5" s="405"/>
      <c r="C5" s="398"/>
      <c r="D5" s="398"/>
      <c r="E5" s="398"/>
      <c r="F5" s="398"/>
      <c r="G5" s="398"/>
      <c r="H5" s="398"/>
      <c r="I5" s="398"/>
      <c r="J5" s="398"/>
      <c r="K5" s="398"/>
      <c r="L5" s="398"/>
      <c r="M5" s="398"/>
      <c r="N5" s="398"/>
      <c r="O5" s="398"/>
      <c r="P5" s="398"/>
      <c r="Q5" s="398"/>
      <c r="R5" s="398"/>
      <c r="S5" s="60"/>
      <c r="T5" s="399"/>
      <c r="U5" s="400"/>
      <c r="V5" s="399"/>
      <c r="W5" s="399"/>
      <c r="X5" s="399"/>
      <c r="Y5" s="399"/>
      <c r="Z5" s="399"/>
      <c r="AA5" s="399"/>
      <c r="AB5" s="399"/>
      <c r="AC5" s="399"/>
      <c r="AD5" s="399"/>
      <c r="AE5" s="399"/>
      <c r="AF5" s="399"/>
      <c r="AG5" s="399"/>
      <c r="AH5" s="399"/>
      <c r="AI5" s="399"/>
      <c r="AJ5" s="399"/>
      <c r="AK5" s="399"/>
      <c r="AL5" s="399"/>
    </row>
    <row r="6" spans="1:38">
      <c r="A6" s="59"/>
      <c r="B6" s="401"/>
      <c r="C6" s="398"/>
      <c r="D6" s="398"/>
      <c r="E6" s="398"/>
      <c r="F6" s="398"/>
      <c r="G6" s="398"/>
      <c r="H6" s="398"/>
      <c r="I6" s="398"/>
      <c r="J6" s="398"/>
      <c r="K6" s="398"/>
      <c r="L6" s="398"/>
      <c r="M6" s="398"/>
      <c r="N6" s="398"/>
      <c r="O6" s="398"/>
      <c r="P6" s="398"/>
      <c r="Q6" s="398"/>
      <c r="R6" s="398"/>
      <c r="S6" s="60"/>
      <c r="T6" s="399"/>
      <c r="U6" s="400"/>
      <c r="V6" s="399"/>
      <c r="W6" s="399"/>
      <c r="X6" s="399"/>
      <c r="Y6" s="399"/>
      <c r="Z6" s="399"/>
      <c r="AA6" s="399"/>
      <c r="AB6" s="399"/>
      <c r="AC6" s="399"/>
      <c r="AD6" s="399"/>
      <c r="AE6" s="399"/>
      <c r="AF6" s="399"/>
      <c r="AG6" s="399"/>
      <c r="AH6" s="399"/>
      <c r="AI6" s="399"/>
      <c r="AJ6" s="399"/>
      <c r="AK6" s="399"/>
      <c r="AL6" s="399"/>
    </row>
    <row r="7" spans="1:38">
      <c r="A7" s="59"/>
      <c r="B7" s="401"/>
      <c r="C7" s="398"/>
      <c r="D7" s="398"/>
      <c r="E7" s="398"/>
      <c r="F7" s="398"/>
      <c r="G7" s="398"/>
      <c r="H7" s="398"/>
      <c r="I7" s="398"/>
      <c r="J7" s="398"/>
      <c r="K7" s="398"/>
      <c r="L7" s="402"/>
      <c r="M7" s="398"/>
      <c r="N7" s="398"/>
      <c r="O7" s="398"/>
      <c r="P7" s="398"/>
      <c r="Q7" s="398"/>
      <c r="R7" s="398"/>
      <c r="S7" s="60"/>
      <c r="T7" s="399"/>
      <c r="U7" s="399"/>
      <c r="V7" s="399"/>
      <c r="W7" s="399"/>
      <c r="X7" s="399"/>
      <c r="Y7" s="399"/>
      <c r="Z7" s="399"/>
      <c r="AA7" s="399"/>
      <c r="AB7" s="399"/>
      <c r="AC7" s="399"/>
      <c r="AD7" s="399"/>
      <c r="AE7" s="399"/>
      <c r="AF7" s="399"/>
      <c r="AG7" s="399"/>
      <c r="AH7" s="399"/>
      <c r="AI7" s="399"/>
      <c r="AJ7" s="399"/>
      <c r="AK7" s="399"/>
      <c r="AL7" s="399"/>
    </row>
    <row r="8" spans="1:38">
      <c r="A8" s="59"/>
      <c r="B8" s="401"/>
      <c r="C8" s="398"/>
      <c r="D8" s="398"/>
      <c r="E8" s="398"/>
      <c r="F8" s="398"/>
      <c r="G8" s="398"/>
      <c r="H8" s="398"/>
      <c r="I8" s="398"/>
      <c r="J8" s="398"/>
      <c r="K8" s="398"/>
      <c r="L8" s="398"/>
      <c r="M8" s="398"/>
      <c r="N8" s="398"/>
      <c r="O8" s="398"/>
      <c r="P8" s="398"/>
      <c r="Q8" s="398"/>
      <c r="R8" s="398"/>
      <c r="S8" s="60"/>
      <c r="T8" s="399"/>
      <c r="U8" s="399"/>
      <c r="V8" s="399"/>
      <c r="W8" s="399"/>
      <c r="X8" s="399"/>
      <c r="Y8" s="399"/>
      <c r="Z8" s="399"/>
      <c r="AA8" s="399"/>
      <c r="AB8" s="399"/>
      <c r="AC8" s="399"/>
      <c r="AD8" s="399"/>
      <c r="AE8" s="399"/>
      <c r="AF8" s="399"/>
      <c r="AG8" s="399"/>
      <c r="AH8" s="399"/>
      <c r="AI8" s="399"/>
      <c r="AJ8" s="399"/>
      <c r="AK8" s="399"/>
      <c r="AL8" s="399"/>
    </row>
    <row r="9" spans="1:38">
      <c r="A9" s="59"/>
      <c r="B9" s="401"/>
      <c r="C9" s="398"/>
      <c r="D9" s="398"/>
      <c r="E9" s="398"/>
      <c r="F9" s="398"/>
      <c r="G9" s="398"/>
      <c r="H9" s="398"/>
      <c r="I9" s="398"/>
      <c r="J9" s="398"/>
      <c r="K9" s="398"/>
      <c r="L9" s="398"/>
      <c r="M9" s="398"/>
      <c r="N9" s="398"/>
      <c r="O9" s="398"/>
      <c r="P9" s="398"/>
      <c r="Q9" s="398"/>
      <c r="R9" s="398"/>
      <c r="S9" s="60"/>
      <c r="T9" s="399"/>
      <c r="U9" s="399"/>
      <c r="V9" s="399"/>
      <c r="W9" s="399"/>
      <c r="X9" s="399"/>
      <c r="Y9" s="399"/>
      <c r="Z9" s="399"/>
      <c r="AA9" s="399"/>
      <c r="AB9" s="399"/>
      <c r="AC9" s="399"/>
      <c r="AD9" s="399"/>
      <c r="AE9" s="399"/>
      <c r="AF9" s="399"/>
      <c r="AG9" s="399"/>
      <c r="AH9" s="399"/>
      <c r="AI9" s="399"/>
      <c r="AJ9" s="399"/>
      <c r="AK9" s="399"/>
      <c r="AL9" s="399"/>
    </row>
    <row r="10" spans="1:38">
      <c r="A10" s="59"/>
      <c r="B10" s="401"/>
      <c r="C10" s="398"/>
      <c r="D10" s="398"/>
      <c r="E10" s="398"/>
      <c r="F10" s="398"/>
      <c r="G10" s="398"/>
      <c r="H10" s="398"/>
      <c r="I10" s="398"/>
      <c r="J10" s="398"/>
      <c r="K10" s="398"/>
      <c r="L10" s="398"/>
      <c r="M10" s="398"/>
      <c r="N10" s="398"/>
      <c r="O10" s="398"/>
      <c r="P10" s="398"/>
      <c r="Q10" s="398"/>
      <c r="R10" s="398"/>
      <c r="S10" s="60"/>
      <c r="T10" s="399"/>
      <c r="U10" s="399"/>
      <c r="V10" s="399"/>
      <c r="W10" s="399"/>
      <c r="X10" s="399"/>
      <c r="Y10" s="399"/>
      <c r="Z10" s="399"/>
      <c r="AA10" s="399"/>
      <c r="AB10" s="399"/>
      <c r="AC10" s="399"/>
      <c r="AD10" s="399"/>
      <c r="AE10" s="399"/>
      <c r="AF10" s="399"/>
      <c r="AG10" s="399"/>
      <c r="AH10" s="399"/>
      <c r="AI10" s="399"/>
      <c r="AJ10" s="399"/>
      <c r="AK10" s="399"/>
      <c r="AL10" s="399"/>
    </row>
    <row r="11" spans="1:38">
      <c r="A11" s="59"/>
      <c r="B11" s="401"/>
      <c r="C11" s="398"/>
      <c r="D11" s="398"/>
      <c r="E11" s="398"/>
      <c r="F11" s="398"/>
      <c r="G11" s="398"/>
      <c r="H11" s="398"/>
      <c r="I11" s="398"/>
      <c r="J11" s="398"/>
      <c r="K11" s="398"/>
      <c r="L11" s="398"/>
      <c r="M11" s="398"/>
      <c r="N11" s="398"/>
      <c r="O11" s="398"/>
      <c r="P11" s="398"/>
      <c r="Q11" s="398"/>
      <c r="R11" s="398"/>
      <c r="S11" s="60"/>
      <c r="T11" s="399"/>
      <c r="U11" s="399"/>
      <c r="V11" s="399"/>
      <c r="W11" s="399"/>
      <c r="X11" s="399"/>
      <c r="Y11" s="399"/>
      <c r="Z11" s="399"/>
      <c r="AA11" s="399"/>
      <c r="AB11" s="399"/>
      <c r="AC11" s="399"/>
      <c r="AD11" s="399"/>
      <c r="AE11" s="399"/>
      <c r="AF11" s="399"/>
      <c r="AG11" s="399"/>
      <c r="AH11" s="399"/>
      <c r="AI11" s="399"/>
      <c r="AJ11" s="399"/>
      <c r="AK11" s="399"/>
      <c r="AL11" s="399"/>
    </row>
    <row r="12" spans="1:38">
      <c r="A12" s="59"/>
      <c r="B12" s="401"/>
      <c r="C12" s="398"/>
      <c r="D12" s="398"/>
      <c r="E12" s="398"/>
      <c r="F12" s="398"/>
      <c r="G12" s="398"/>
      <c r="H12" s="398"/>
      <c r="I12" s="398"/>
      <c r="J12" s="398"/>
      <c r="K12" s="398"/>
      <c r="L12" s="398"/>
      <c r="M12" s="398"/>
      <c r="N12" s="398"/>
      <c r="O12" s="398"/>
      <c r="P12" s="398"/>
      <c r="Q12" s="398"/>
      <c r="R12" s="398"/>
      <c r="S12" s="60"/>
      <c r="T12" s="399"/>
      <c r="U12" s="399"/>
      <c r="V12" s="399"/>
      <c r="W12" s="399"/>
      <c r="X12" s="399"/>
      <c r="Y12" s="399"/>
      <c r="Z12" s="399"/>
      <c r="AA12" s="399"/>
      <c r="AB12" s="399"/>
      <c r="AC12" s="399"/>
      <c r="AD12" s="399"/>
      <c r="AE12" s="399"/>
      <c r="AF12" s="399"/>
      <c r="AG12" s="399"/>
      <c r="AH12" s="399"/>
      <c r="AI12" s="399"/>
      <c r="AJ12" s="399"/>
      <c r="AK12" s="399"/>
      <c r="AL12" s="399"/>
    </row>
    <row r="13" spans="1:38">
      <c r="A13" s="59"/>
      <c r="C13" s="398"/>
      <c r="D13" s="398"/>
      <c r="E13" s="398"/>
      <c r="F13" s="398"/>
      <c r="G13" s="398"/>
      <c r="H13" s="398"/>
      <c r="I13" s="398"/>
      <c r="J13" s="398"/>
      <c r="K13" s="398"/>
      <c r="L13" s="398"/>
      <c r="M13" s="398"/>
      <c r="N13" s="398"/>
      <c r="O13" s="398"/>
      <c r="P13" s="398"/>
      <c r="Q13" s="398"/>
      <c r="R13" s="398"/>
      <c r="S13" s="60"/>
      <c r="T13" s="399"/>
      <c r="U13" s="399"/>
      <c r="V13" s="399"/>
      <c r="W13" s="399"/>
      <c r="X13" s="399"/>
      <c r="Y13" s="399"/>
      <c r="Z13" s="399"/>
      <c r="AA13" s="399"/>
      <c r="AB13" s="399"/>
      <c r="AC13" s="399"/>
      <c r="AD13" s="399"/>
      <c r="AE13" s="399"/>
      <c r="AF13" s="399"/>
      <c r="AG13" s="399"/>
      <c r="AH13" s="399"/>
      <c r="AI13" s="399"/>
      <c r="AJ13" s="399"/>
      <c r="AK13" s="399"/>
      <c r="AL13" s="399"/>
    </row>
    <row r="14" spans="1:38">
      <c r="A14" s="59"/>
      <c r="B14" s="403"/>
      <c r="C14" s="401"/>
      <c r="D14" s="398"/>
      <c r="E14" s="398"/>
      <c r="F14" s="398"/>
      <c r="G14" s="398"/>
      <c r="H14" s="398"/>
      <c r="I14" s="398"/>
      <c r="J14" s="398"/>
      <c r="K14" s="398"/>
      <c r="L14" s="398"/>
      <c r="M14" s="398"/>
      <c r="N14" s="398"/>
      <c r="O14" s="398"/>
      <c r="P14" s="398"/>
      <c r="Q14" s="398"/>
      <c r="R14" s="398"/>
      <c r="S14" s="60"/>
      <c r="T14" s="399"/>
      <c r="U14" s="399"/>
      <c r="V14" s="399"/>
      <c r="W14" s="399"/>
      <c r="X14" s="399"/>
      <c r="Y14" s="399"/>
      <c r="Z14" s="399"/>
      <c r="AA14" s="399"/>
      <c r="AB14" s="399"/>
      <c r="AC14" s="399"/>
      <c r="AD14" s="399"/>
      <c r="AE14" s="399"/>
      <c r="AF14" s="399"/>
      <c r="AG14" s="399"/>
      <c r="AH14" s="399"/>
      <c r="AI14" s="399"/>
      <c r="AJ14" s="399"/>
      <c r="AK14" s="399"/>
      <c r="AL14" s="399"/>
    </row>
    <row r="15" spans="1:38">
      <c r="A15" s="59"/>
      <c r="B15" s="403"/>
      <c r="C15" s="401"/>
      <c r="D15" s="398"/>
      <c r="E15" s="398"/>
      <c r="F15" s="398"/>
      <c r="G15" s="398"/>
      <c r="H15" s="398"/>
      <c r="I15" s="398"/>
      <c r="J15" s="398"/>
      <c r="K15" s="398"/>
      <c r="L15" s="398"/>
      <c r="M15" s="398"/>
      <c r="N15" s="398"/>
      <c r="O15" s="398"/>
      <c r="P15" s="398"/>
      <c r="Q15" s="398"/>
      <c r="R15" s="398"/>
      <c r="S15" s="60"/>
      <c r="T15" s="399"/>
      <c r="U15" s="399"/>
      <c r="V15" s="399"/>
      <c r="W15" s="399"/>
      <c r="X15" s="399"/>
      <c r="Y15" s="399"/>
      <c r="Z15" s="399"/>
      <c r="AA15" s="399"/>
      <c r="AB15" s="399"/>
      <c r="AC15" s="399"/>
      <c r="AD15" s="399"/>
      <c r="AE15" s="399"/>
      <c r="AF15" s="399"/>
      <c r="AG15" s="399"/>
      <c r="AH15" s="399"/>
      <c r="AI15" s="399"/>
      <c r="AJ15" s="399"/>
      <c r="AK15" s="399"/>
      <c r="AL15" s="399"/>
    </row>
    <row r="16" spans="1:38">
      <c r="A16" s="59"/>
      <c r="B16" s="404"/>
      <c r="C16" s="401"/>
      <c r="D16" s="398"/>
      <c r="E16" s="398"/>
      <c r="F16" s="398"/>
      <c r="G16" s="398"/>
      <c r="H16" s="398"/>
      <c r="I16" s="398"/>
      <c r="J16" s="398"/>
      <c r="K16" s="398"/>
      <c r="L16" s="398"/>
      <c r="M16" s="398"/>
      <c r="N16" s="398"/>
      <c r="O16" s="398"/>
      <c r="P16" s="398"/>
      <c r="Q16" s="398"/>
      <c r="R16" s="398"/>
      <c r="S16" s="60"/>
      <c r="T16" s="399"/>
      <c r="U16" s="399"/>
      <c r="V16" s="399"/>
      <c r="W16" s="399"/>
      <c r="X16" s="399"/>
      <c r="Y16" s="399"/>
      <c r="Z16" s="399"/>
      <c r="AA16" s="399"/>
      <c r="AB16" s="399"/>
      <c r="AC16" s="399"/>
      <c r="AD16" s="399"/>
      <c r="AE16" s="399"/>
      <c r="AF16" s="399"/>
      <c r="AG16" s="399"/>
      <c r="AH16" s="399"/>
      <c r="AI16" s="399"/>
      <c r="AJ16" s="399"/>
      <c r="AK16" s="399"/>
      <c r="AL16" s="399"/>
    </row>
    <row r="17" spans="1:38">
      <c r="A17" s="59"/>
      <c r="B17" s="296"/>
      <c r="C17" s="398"/>
      <c r="D17" s="398"/>
      <c r="E17" s="398"/>
      <c r="F17" s="398"/>
      <c r="G17" s="398"/>
      <c r="H17" s="398"/>
      <c r="I17" s="398"/>
      <c r="J17" s="398"/>
      <c r="K17" s="398"/>
      <c r="L17" s="398"/>
      <c r="M17" s="398"/>
      <c r="N17" s="398"/>
      <c r="O17" s="398"/>
      <c r="P17" s="398"/>
      <c r="Q17" s="398"/>
      <c r="R17" s="398"/>
      <c r="S17" s="60"/>
      <c r="T17" s="399"/>
      <c r="U17" s="399"/>
      <c r="V17" s="399"/>
      <c r="W17" s="399"/>
      <c r="X17" s="399"/>
      <c r="Y17" s="399"/>
      <c r="Z17" s="399"/>
      <c r="AA17" s="399"/>
      <c r="AB17" s="399"/>
      <c r="AC17" s="399"/>
      <c r="AD17" s="399"/>
      <c r="AE17" s="399"/>
      <c r="AF17" s="399"/>
      <c r="AG17" s="399"/>
      <c r="AH17" s="399"/>
      <c r="AI17" s="399"/>
      <c r="AJ17" s="399"/>
      <c r="AK17" s="399"/>
      <c r="AL17" s="399"/>
    </row>
    <row r="18" spans="1:38">
      <c r="A18" s="59"/>
      <c r="B18" s="404"/>
      <c r="C18" s="398"/>
      <c r="D18" s="398"/>
      <c r="E18" s="398"/>
      <c r="F18" s="398"/>
      <c r="G18" s="398"/>
      <c r="H18" s="398"/>
      <c r="I18" s="398"/>
      <c r="J18" s="398"/>
      <c r="K18" s="398"/>
      <c r="L18" s="398"/>
      <c r="M18" s="398"/>
      <c r="N18" s="398"/>
      <c r="O18" s="398"/>
      <c r="P18" s="398"/>
      <c r="Q18" s="398"/>
      <c r="R18" s="398"/>
      <c r="S18" s="60"/>
      <c r="T18" s="399"/>
      <c r="U18" s="399"/>
      <c r="V18" s="399"/>
      <c r="W18" s="399"/>
      <c r="X18" s="399"/>
      <c r="Y18" s="399"/>
      <c r="Z18" s="399"/>
      <c r="AA18" s="399"/>
      <c r="AB18" s="399"/>
      <c r="AC18" s="399"/>
      <c r="AD18" s="399"/>
      <c r="AE18" s="399"/>
      <c r="AF18" s="399"/>
      <c r="AG18" s="399"/>
      <c r="AH18" s="399"/>
      <c r="AI18" s="399"/>
      <c r="AJ18" s="399"/>
      <c r="AK18" s="399"/>
      <c r="AL18" s="399"/>
    </row>
    <row r="19" spans="1:38">
      <c r="A19" s="59"/>
      <c r="B19" s="401"/>
      <c r="C19" s="398"/>
      <c r="D19" s="398"/>
      <c r="E19" s="398"/>
      <c r="F19" s="398"/>
      <c r="G19" s="398"/>
      <c r="H19" s="398"/>
      <c r="I19" s="398"/>
      <c r="J19" s="398"/>
      <c r="K19" s="398"/>
      <c r="L19" s="398"/>
      <c r="M19" s="398"/>
      <c r="N19" s="398"/>
      <c r="O19" s="398"/>
      <c r="P19" s="398"/>
      <c r="Q19" s="398"/>
      <c r="R19" s="398"/>
      <c r="S19" s="60"/>
      <c r="T19" s="399"/>
      <c r="U19" s="399"/>
      <c r="V19" s="399"/>
      <c r="W19" s="399"/>
      <c r="X19" s="399"/>
      <c r="Y19" s="399"/>
      <c r="Z19" s="399"/>
      <c r="AA19" s="399"/>
      <c r="AB19" s="399"/>
      <c r="AC19" s="399"/>
      <c r="AD19" s="399"/>
      <c r="AE19" s="399"/>
      <c r="AF19" s="399"/>
      <c r="AG19" s="399"/>
      <c r="AH19" s="399"/>
      <c r="AI19" s="399"/>
      <c r="AJ19" s="399"/>
      <c r="AK19" s="399"/>
      <c r="AL19" s="399"/>
    </row>
    <row r="20" spans="1:38">
      <c r="A20" s="59"/>
      <c r="B20" s="401"/>
      <c r="C20" s="398"/>
      <c r="D20" s="398"/>
      <c r="E20" s="398"/>
      <c r="F20" s="398"/>
      <c r="G20" s="398"/>
      <c r="H20" s="398"/>
      <c r="I20" s="398"/>
      <c r="J20" s="398"/>
      <c r="K20" s="398"/>
      <c r="L20" s="398"/>
      <c r="M20" s="398"/>
      <c r="N20" s="398"/>
      <c r="O20" s="398"/>
      <c r="P20" s="398"/>
      <c r="Q20" s="398"/>
      <c r="R20" s="398"/>
      <c r="S20" s="60"/>
      <c r="T20" s="399"/>
      <c r="U20" s="399"/>
      <c r="V20" s="399"/>
      <c r="W20" s="399"/>
      <c r="X20" s="399"/>
      <c r="Y20" s="399"/>
      <c r="Z20" s="399"/>
      <c r="AA20" s="399"/>
      <c r="AB20" s="399"/>
      <c r="AC20" s="399"/>
      <c r="AD20" s="399"/>
      <c r="AE20" s="399"/>
      <c r="AF20" s="399"/>
      <c r="AG20" s="399"/>
      <c r="AH20" s="399"/>
      <c r="AI20" s="399"/>
      <c r="AJ20" s="399"/>
      <c r="AK20" s="399"/>
      <c r="AL20" s="399"/>
    </row>
    <row r="21" spans="1:38">
      <c r="A21" s="59"/>
      <c r="B21" s="401"/>
      <c r="C21" s="398"/>
      <c r="D21" s="398"/>
      <c r="E21" s="398"/>
      <c r="F21" s="398"/>
      <c r="G21" s="398"/>
      <c r="H21" s="398"/>
      <c r="I21" s="398"/>
      <c r="J21" s="398"/>
      <c r="K21" s="398"/>
      <c r="L21" s="398"/>
      <c r="M21" s="398"/>
      <c r="N21" s="398"/>
      <c r="O21" s="398"/>
      <c r="P21" s="398"/>
      <c r="Q21" s="398"/>
      <c r="R21" s="398"/>
      <c r="S21" s="60"/>
      <c r="T21" s="399"/>
      <c r="U21" s="399"/>
      <c r="V21" s="399"/>
      <c r="W21" s="399"/>
      <c r="X21" s="399"/>
      <c r="Y21" s="399"/>
      <c r="Z21" s="399"/>
      <c r="AA21" s="399"/>
      <c r="AB21" s="399"/>
      <c r="AC21" s="399"/>
      <c r="AD21" s="399"/>
      <c r="AE21" s="399"/>
      <c r="AF21" s="399"/>
      <c r="AG21" s="399"/>
      <c r="AH21" s="399"/>
      <c r="AI21" s="399"/>
      <c r="AJ21" s="399"/>
      <c r="AK21" s="399"/>
      <c r="AL21" s="399"/>
    </row>
    <row r="22" spans="1:38">
      <c r="A22" s="59"/>
      <c r="C22" s="398"/>
      <c r="D22" s="398"/>
      <c r="E22" s="398"/>
      <c r="F22" s="398"/>
      <c r="G22" s="398"/>
      <c r="H22" s="398"/>
      <c r="I22" s="398"/>
      <c r="J22" s="398"/>
      <c r="K22" s="398"/>
      <c r="L22" s="398"/>
      <c r="M22" s="398"/>
      <c r="N22" s="398"/>
      <c r="O22" s="398"/>
      <c r="P22" s="398"/>
      <c r="Q22" s="398"/>
      <c r="R22" s="398"/>
      <c r="S22" s="60"/>
      <c r="T22" s="399"/>
      <c r="U22" s="399"/>
      <c r="V22" s="399"/>
      <c r="W22" s="399"/>
      <c r="X22" s="399"/>
      <c r="Y22" s="399"/>
      <c r="Z22" s="399"/>
      <c r="AA22" s="399"/>
      <c r="AB22" s="399"/>
      <c r="AC22" s="399"/>
      <c r="AD22" s="399"/>
      <c r="AE22" s="399"/>
      <c r="AF22" s="399"/>
      <c r="AG22" s="399"/>
      <c r="AH22" s="399"/>
      <c r="AI22" s="399"/>
      <c r="AJ22" s="399"/>
      <c r="AK22" s="399"/>
      <c r="AL22" s="399"/>
    </row>
    <row r="23" spans="1:38">
      <c r="A23" s="59"/>
      <c r="B23" s="403"/>
      <c r="C23" s="398"/>
      <c r="D23" s="398"/>
      <c r="E23" s="398"/>
      <c r="F23" s="398"/>
      <c r="G23" s="398"/>
      <c r="H23" s="398"/>
      <c r="I23" s="398"/>
      <c r="J23" s="398"/>
      <c r="K23" s="398"/>
      <c r="L23" s="398"/>
      <c r="M23" s="398"/>
      <c r="N23" s="398"/>
      <c r="O23" s="398"/>
      <c r="P23" s="398"/>
      <c r="Q23" s="398"/>
      <c r="R23" s="398"/>
      <c r="S23" s="60"/>
      <c r="T23" s="399"/>
      <c r="U23" s="399"/>
      <c r="V23" s="399"/>
      <c r="W23" s="399"/>
      <c r="X23" s="399"/>
      <c r="Y23" s="399"/>
      <c r="Z23" s="399"/>
      <c r="AA23" s="399"/>
      <c r="AB23" s="399"/>
      <c r="AC23" s="399"/>
      <c r="AD23" s="399"/>
      <c r="AE23" s="399"/>
      <c r="AF23" s="399"/>
      <c r="AG23" s="399"/>
      <c r="AH23" s="399"/>
      <c r="AI23" s="399"/>
      <c r="AJ23" s="399"/>
      <c r="AK23" s="399"/>
      <c r="AL23" s="399"/>
    </row>
    <row r="24" spans="1:38">
      <c r="A24" s="59"/>
      <c r="B24" s="403"/>
      <c r="C24" s="398"/>
      <c r="D24" s="398"/>
      <c r="E24" s="398"/>
      <c r="F24" s="398"/>
      <c r="G24" s="398"/>
      <c r="H24" s="398"/>
      <c r="I24" s="398"/>
      <c r="J24" s="398"/>
      <c r="K24" s="398"/>
      <c r="L24" s="398"/>
      <c r="M24" s="398"/>
      <c r="N24" s="398"/>
      <c r="O24" s="398"/>
      <c r="P24" s="398"/>
      <c r="Q24" s="398"/>
      <c r="R24" s="398"/>
      <c r="S24" s="60"/>
      <c r="T24" s="399"/>
      <c r="U24" s="399"/>
      <c r="V24" s="399"/>
      <c r="W24" s="399"/>
      <c r="X24" s="399"/>
      <c r="Y24" s="399"/>
      <c r="Z24" s="399"/>
      <c r="AA24" s="399"/>
      <c r="AB24" s="399"/>
      <c r="AC24" s="399"/>
      <c r="AD24" s="399"/>
      <c r="AE24" s="399"/>
      <c r="AF24" s="399"/>
      <c r="AG24" s="399"/>
      <c r="AH24" s="399"/>
      <c r="AI24" s="399"/>
      <c r="AJ24" s="399"/>
      <c r="AK24" s="399"/>
      <c r="AL24" s="399"/>
    </row>
    <row r="25" spans="1:38">
      <c r="A25" s="59"/>
      <c r="B25" s="406"/>
      <c r="C25" s="398"/>
      <c r="D25" s="398"/>
      <c r="E25" s="398"/>
      <c r="F25" s="398"/>
      <c r="G25" s="398"/>
      <c r="H25" s="398"/>
      <c r="I25" s="398"/>
      <c r="J25" s="398"/>
      <c r="K25" s="398"/>
      <c r="L25" s="398"/>
      <c r="M25" s="398"/>
      <c r="N25" s="398"/>
      <c r="O25" s="398"/>
      <c r="P25" s="398"/>
      <c r="Q25" s="398"/>
      <c r="R25" s="398"/>
      <c r="S25" s="60"/>
      <c r="T25" s="399"/>
      <c r="U25" s="399"/>
      <c r="V25" s="399"/>
      <c r="W25" s="399"/>
      <c r="X25" s="399"/>
      <c r="Y25" s="399"/>
      <c r="Z25" s="399"/>
      <c r="AA25" s="399"/>
      <c r="AB25" s="399"/>
      <c r="AC25" s="399"/>
      <c r="AD25" s="399"/>
      <c r="AE25" s="399"/>
      <c r="AF25" s="399"/>
      <c r="AG25" s="399"/>
      <c r="AH25" s="399"/>
      <c r="AI25" s="399"/>
      <c r="AJ25" s="399"/>
      <c r="AK25" s="399"/>
      <c r="AL25" s="399"/>
    </row>
    <row r="26" spans="1:38">
      <c r="A26" s="59"/>
      <c r="B26" s="296"/>
      <c r="C26" s="398"/>
      <c r="D26" s="398"/>
      <c r="E26" s="398"/>
      <c r="F26" s="398"/>
      <c r="G26" s="398"/>
      <c r="H26" s="398"/>
      <c r="I26" s="398"/>
      <c r="J26" s="398"/>
      <c r="K26" s="398"/>
      <c r="L26" s="398"/>
      <c r="M26" s="398"/>
      <c r="N26" s="398"/>
      <c r="O26" s="398"/>
      <c r="P26" s="398"/>
      <c r="Q26" s="398"/>
      <c r="R26" s="398"/>
      <c r="S26" s="60"/>
      <c r="T26" s="399"/>
      <c r="U26" s="399"/>
      <c r="V26" s="399"/>
      <c r="W26" s="399"/>
      <c r="X26" s="399"/>
      <c r="Y26" s="399"/>
      <c r="Z26" s="399"/>
      <c r="AA26" s="399"/>
      <c r="AB26" s="399"/>
      <c r="AC26" s="399"/>
      <c r="AD26" s="399"/>
      <c r="AE26" s="399"/>
      <c r="AF26" s="399"/>
      <c r="AG26" s="399"/>
      <c r="AH26" s="399"/>
      <c r="AI26" s="399"/>
      <c r="AJ26" s="399"/>
      <c r="AK26" s="399"/>
      <c r="AL26" s="399"/>
    </row>
    <row r="27" spans="1:38" ht="18">
      <c r="A27" s="59"/>
      <c r="B27" s="407" t="s">
        <v>287</v>
      </c>
      <c r="C27" s="408"/>
      <c r="D27" s="408"/>
      <c r="E27" s="398"/>
      <c r="F27" s="398"/>
      <c r="G27" s="398"/>
      <c r="H27" s="398"/>
      <c r="I27" s="398"/>
      <c r="J27" s="398"/>
      <c r="K27" s="398"/>
      <c r="L27" s="398"/>
      <c r="M27" s="398"/>
      <c r="N27" s="398"/>
      <c r="O27" s="398"/>
      <c r="P27" s="398"/>
      <c r="Q27" s="398"/>
      <c r="R27" s="398"/>
      <c r="S27" s="60"/>
      <c r="T27" s="399"/>
      <c r="U27" s="399"/>
      <c r="V27" s="399"/>
      <c r="W27" s="399"/>
      <c r="X27" s="399"/>
      <c r="Y27" s="399"/>
      <c r="Z27" s="399"/>
      <c r="AA27" s="399"/>
      <c r="AB27" s="399"/>
      <c r="AC27" s="399"/>
      <c r="AD27" s="399"/>
      <c r="AE27" s="399"/>
      <c r="AF27" s="399"/>
      <c r="AG27" s="399"/>
      <c r="AH27" s="399"/>
      <c r="AI27" s="399"/>
      <c r="AJ27" s="399"/>
      <c r="AK27" s="399"/>
      <c r="AL27" s="399"/>
    </row>
    <row r="28" spans="1:38" ht="18">
      <c r="A28" s="59"/>
      <c r="B28" s="409" t="s">
        <v>369</v>
      </c>
      <c r="C28" s="410"/>
      <c r="D28" s="410"/>
      <c r="E28" s="410"/>
      <c r="F28" s="410"/>
      <c r="G28" s="410"/>
      <c r="H28" s="398"/>
      <c r="I28" s="398"/>
      <c r="J28" s="398"/>
      <c r="K28" s="398"/>
      <c r="L28" s="398"/>
      <c r="M28" s="398"/>
      <c r="N28" s="398"/>
      <c r="O28" s="398"/>
      <c r="P28" s="398"/>
      <c r="Q28" s="398"/>
      <c r="R28" s="398"/>
      <c r="S28" s="60"/>
      <c r="T28" s="399"/>
      <c r="U28" s="399"/>
      <c r="V28" s="399"/>
      <c r="W28" s="399"/>
      <c r="X28" s="399"/>
      <c r="Y28" s="399"/>
      <c r="Z28" s="399"/>
      <c r="AA28" s="399"/>
      <c r="AB28" s="399"/>
      <c r="AC28" s="399"/>
      <c r="AD28" s="399"/>
      <c r="AE28" s="399"/>
      <c r="AF28" s="399"/>
      <c r="AG28" s="399"/>
      <c r="AH28" s="399"/>
      <c r="AI28" s="399"/>
      <c r="AJ28" s="399"/>
      <c r="AK28" s="399"/>
      <c r="AL28" s="399"/>
    </row>
    <row r="29" spans="1:38">
      <c r="A29" s="59"/>
      <c r="B29" s="401"/>
      <c r="C29" s="401"/>
      <c r="D29" s="398"/>
      <c r="E29" s="398"/>
      <c r="F29" s="398"/>
      <c r="G29" s="398"/>
      <c r="H29" s="398"/>
      <c r="I29" s="398"/>
      <c r="J29" s="398"/>
      <c r="K29" s="398"/>
      <c r="L29" s="398"/>
      <c r="M29" s="398"/>
      <c r="N29" s="398"/>
      <c r="O29" s="398"/>
      <c r="P29" s="398"/>
      <c r="Q29" s="398"/>
      <c r="R29" s="398"/>
      <c r="S29" s="60"/>
      <c r="T29" s="399"/>
      <c r="U29" s="399"/>
      <c r="V29" s="399"/>
      <c r="W29" s="399"/>
      <c r="X29" s="399"/>
      <c r="Y29" s="399"/>
      <c r="Z29" s="399"/>
      <c r="AA29" s="399"/>
      <c r="AB29" s="399"/>
      <c r="AC29" s="399"/>
      <c r="AD29" s="399"/>
      <c r="AE29" s="399"/>
      <c r="AF29" s="399"/>
      <c r="AG29" s="399"/>
      <c r="AH29" s="399"/>
      <c r="AI29" s="399"/>
      <c r="AJ29" s="399"/>
      <c r="AK29" s="399"/>
      <c r="AL29" s="399"/>
    </row>
    <row r="30" spans="1:38" ht="29.25" customHeight="1">
      <c r="A30" s="80" t="s">
        <v>315</v>
      </c>
      <c r="B30" s="879" t="s">
        <v>370</v>
      </c>
      <c r="C30" s="880"/>
      <c r="D30" s="880"/>
      <c r="E30" s="880"/>
      <c r="F30" s="880"/>
      <c r="G30" s="880"/>
      <c r="H30" s="880"/>
      <c r="I30" s="880"/>
      <c r="J30" s="880"/>
      <c r="K30" s="880"/>
      <c r="L30" s="880"/>
      <c r="M30" s="880"/>
      <c r="N30" s="880"/>
      <c r="O30" s="880"/>
      <c r="P30" s="880"/>
      <c r="Q30" s="880"/>
      <c r="R30" s="880"/>
      <c r="S30" s="79" t="s">
        <v>315</v>
      </c>
      <c r="T30" s="399"/>
      <c r="U30" s="399"/>
      <c r="V30" s="399"/>
      <c r="W30" s="399"/>
      <c r="X30" s="399"/>
      <c r="Y30" s="399"/>
      <c r="Z30" s="399"/>
      <c r="AA30" s="399"/>
      <c r="AB30" s="399"/>
      <c r="AC30" s="399"/>
      <c r="AD30" s="399"/>
      <c r="AE30" s="399"/>
      <c r="AF30" s="399"/>
      <c r="AG30" s="399"/>
      <c r="AH30" s="399"/>
      <c r="AI30" s="399"/>
      <c r="AJ30" s="399"/>
      <c r="AK30" s="399"/>
      <c r="AL30" s="399"/>
    </row>
    <row r="31" spans="1:38">
      <c r="A31" s="59"/>
      <c r="B31" s="398"/>
      <c r="C31" s="398"/>
      <c r="D31" s="398"/>
      <c r="E31" s="398"/>
      <c r="F31" s="398"/>
      <c r="G31" s="398"/>
      <c r="H31" s="398"/>
      <c r="I31" s="398"/>
      <c r="J31" s="398"/>
      <c r="K31" s="398"/>
      <c r="L31" s="398"/>
      <c r="M31" s="398"/>
      <c r="N31" s="398"/>
      <c r="O31" s="398"/>
      <c r="P31" s="398"/>
      <c r="Q31" s="398"/>
      <c r="R31" s="398"/>
      <c r="S31" s="60"/>
      <c r="T31" s="399"/>
      <c r="U31" s="399"/>
      <c r="V31" s="399"/>
      <c r="W31" s="399"/>
      <c r="X31" s="399"/>
      <c r="Y31" s="399"/>
      <c r="Z31" s="399"/>
      <c r="AA31" s="399"/>
      <c r="AB31" s="399"/>
      <c r="AC31" s="399"/>
      <c r="AD31" s="399"/>
      <c r="AE31" s="399"/>
      <c r="AF31" s="399"/>
      <c r="AG31" s="399"/>
      <c r="AH31" s="399"/>
      <c r="AI31" s="399"/>
      <c r="AJ31" s="399"/>
      <c r="AK31" s="399"/>
      <c r="AL31" s="399"/>
    </row>
    <row r="32" spans="1:38">
      <c r="A32" s="59"/>
      <c r="B32" s="398"/>
      <c r="C32" s="398"/>
      <c r="D32" s="398"/>
      <c r="E32" s="398"/>
      <c r="F32" s="398"/>
      <c r="G32" s="398"/>
      <c r="H32" s="398"/>
      <c r="I32" s="398"/>
      <c r="J32" s="398"/>
      <c r="K32" s="398"/>
      <c r="L32" s="398"/>
      <c r="M32" s="398"/>
      <c r="N32" s="398"/>
      <c r="O32" s="398"/>
      <c r="P32" s="398"/>
      <c r="Q32" s="398"/>
      <c r="R32" s="398"/>
      <c r="S32" s="60"/>
      <c r="T32" s="399"/>
      <c r="U32" s="399"/>
      <c r="V32" s="399"/>
      <c r="W32" s="399"/>
      <c r="X32" s="399"/>
      <c r="Y32" s="399"/>
      <c r="Z32" s="399"/>
      <c r="AA32" s="399"/>
      <c r="AB32" s="399"/>
      <c r="AC32" s="399"/>
      <c r="AD32" s="399"/>
      <c r="AE32" s="399"/>
      <c r="AF32" s="399"/>
      <c r="AG32" s="399"/>
      <c r="AH32" s="399"/>
      <c r="AI32" s="399"/>
      <c r="AJ32" s="399"/>
      <c r="AK32" s="399"/>
      <c r="AL32" s="399"/>
    </row>
    <row r="33" spans="1:38">
      <c r="A33" s="59"/>
      <c r="B33" s="398"/>
      <c r="C33" s="398"/>
      <c r="D33" s="398"/>
      <c r="E33" s="398"/>
      <c r="F33" s="398"/>
      <c r="G33" s="398"/>
      <c r="H33" s="398"/>
      <c r="I33" s="398"/>
      <c r="J33" s="398"/>
      <c r="K33" s="398"/>
      <c r="L33" s="398"/>
      <c r="M33" s="398"/>
      <c r="N33" s="398"/>
      <c r="O33" s="398"/>
      <c r="P33" s="398"/>
      <c r="Q33" s="398"/>
      <c r="R33" s="398"/>
      <c r="S33" s="60"/>
      <c r="T33" s="399"/>
      <c r="U33" s="399"/>
      <c r="V33" s="399"/>
      <c r="W33" s="399"/>
      <c r="X33" s="399"/>
      <c r="Y33" s="399"/>
      <c r="Z33" s="399"/>
      <c r="AA33" s="399"/>
      <c r="AB33" s="399"/>
      <c r="AC33" s="399"/>
      <c r="AD33" s="399"/>
      <c r="AE33" s="399"/>
      <c r="AF33" s="399"/>
      <c r="AG33" s="399"/>
      <c r="AH33" s="399"/>
      <c r="AI33" s="399"/>
      <c r="AJ33" s="399"/>
      <c r="AK33" s="399"/>
      <c r="AL33" s="399"/>
    </row>
    <row r="34" spans="1:38">
      <c r="A34" s="59"/>
      <c r="B34" s="398"/>
      <c r="C34" s="398"/>
      <c r="D34" s="398"/>
      <c r="E34" s="398"/>
      <c r="F34" s="398"/>
      <c r="G34" s="398"/>
      <c r="H34" s="398"/>
      <c r="I34" s="398"/>
      <c r="J34" s="398"/>
      <c r="K34" s="398"/>
      <c r="L34" s="398"/>
      <c r="M34" s="398"/>
      <c r="N34" s="398"/>
      <c r="O34" s="398"/>
      <c r="P34" s="398"/>
      <c r="Q34" s="398"/>
      <c r="R34" s="411" t="s">
        <v>270</v>
      </c>
      <c r="S34" s="60"/>
      <c r="T34" s="399"/>
      <c r="U34" s="399"/>
      <c r="V34" s="399"/>
      <c r="W34" s="399"/>
      <c r="X34" s="399"/>
      <c r="Y34" s="399"/>
      <c r="Z34" s="399"/>
      <c r="AA34" s="399"/>
      <c r="AB34" s="399"/>
      <c r="AC34" s="399"/>
      <c r="AD34" s="399"/>
      <c r="AE34" s="399"/>
      <c r="AF34" s="399"/>
      <c r="AG34" s="399"/>
      <c r="AH34" s="399"/>
      <c r="AI34" s="399"/>
      <c r="AJ34" s="399"/>
      <c r="AK34" s="399"/>
      <c r="AL34" s="399"/>
    </row>
    <row r="35" spans="1:38">
      <c r="A35" s="59"/>
      <c r="B35" s="398"/>
      <c r="C35" s="398"/>
      <c r="D35" s="398"/>
      <c r="E35" s="398"/>
      <c r="F35" s="398"/>
      <c r="G35" s="398"/>
      <c r="H35" s="398"/>
      <c r="I35" s="398"/>
      <c r="J35" s="398"/>
      <c r="K35" s="398"/>
      <c r="L35" s="398"/>
      <c r="M35" s="398"/>
      <c r="N35" s="398"/>
      <c r="O35" s="398"/>
      <c r="P35" s="398"/>
      <c r="Q35" s="398"/>
      <c r="R35" s="398"/>
      <c r="S35" s="60"/>
      <c r="T35" s="399"/>
      <c r="U35" s="399"/>
      <c r="V35" s="399"/>
      <c r="W35" s="399"/>
      <c r="X35" s="399"/>
      <c r="Y35" s="399"/>
      <c r="Z35" s="399"/>
      <c r="AA35" s="399"/>
      <c r="AB35" s="399"/>
      <c r="AC35" s="399"/>
      <c r="AD35" s="399"/>
      <c r="AE35" s="399"/>
      <c r="AF35" s="399"/>
      <c r="AG35" s="399"/>
      <c r="AH35" s="399"/>
      <c r="AI35" s="399"/>
      <c r="AJ35" s="399"/>
      <c r="AK35" s="399"/>
      <c r="AL35" s="399"/>
    </row>
    <row r="36" spans="1:38">
      <c r="A36" s="59"/>
      <c r="B36" s="398"/>
      <c r="C36" s="398"/>
      <c r="D36" s="398"/>
      <c r="E36" s="398"/>
      <c r="F36" s="398"/>
      <c r="G36" s="398"/>
      <c r="H36" s="398"/>
      <c r="I36" s="398"/>
      <c r="J36" s="398"/>
      <c r="K36" s="398"/>
      <c r="L36" s="398"/>
      <c r="M36" s="398"/>
      <c r="N36" s="398"/>
      <c r="O36" s="398"/>
      <c r="P36" s="398"/>
      <c r="Q36" s="398"/>
      <c r="R36" s="398"/>
      <c r="S36" s="60"/>
      <c r="T36" s="399"/>
      <c r="U36" s="399"/>
      <c r="V36" s="399"/>
      <c r="W36" s="399"/>
      <c r="X36" s="399"/>
      <c r="Y36" s="399"/>
      <c r="Z36" s="399"/>
      <c r="AA36" s="399"/>
      <c r="AB36" s="399"/>
      <c r="AC36" s="399"/>
      <c r="AD36" s="399"/>
      <c r="AE36" s="399"/>
      <c r="AF36" s="399"/>
      <c r="AG36" s="399"/>
      <c r="AH36" s="399"/>
      <c r="AI36" s="399"/>
      <c r="AJ36" s="399"/>
      <c r="AK36" s="399"/>
      <c r="AL36" s="399"/>
    </row>
    <row r="37" spans="1:38">
      <c r="A37" s="59"/>
      <c r="B37" s="398"/>
      <c r="C37" s="398"/>
      <c r="D37" s="398"/>
      <c r="E37" s="398"/>
      <c r="F37" s="398"/>
      <c r="G37" s="398"/>
      <c r="H37" s="398"/>
      <c r="I37" s="398"/>
      <c r="J37" s="398"/>
      <c r="K37" s="398"/>
      <c r="L37" s="398"/>
      <c r="M37" s="398"/>
      <c r="N37" s="398"/>
      <c r="O37" s="398"/>
      <c r="P37" s="398"/>
      <c r="Q37" s="398"/>
      <c r="R37" s="398"/>
      <c r="S37" s="60"/>
      <c r="T37" s="399"/>
      <c r="U37" s="399"/>
      <c r="V37" s="399"/>
      <c r="W37" s="399"/>
      <c r="X37" s="399"/>
      <c r="Y37" s="399"/>
      <c r="Z37" s="399"/>
      <c r="AA37" s="399"/>
      <c r="AB37" s="399"/>
      <c r="AC37" s="399"/>
      <c r="AD37" s="399"/>
      <c r="AE37" s="399"/>
      <c r="AF37" s="399"/>
      <c r="AG37" s="399"/>
      <c r="AH37" s="399"/>
      <c r="AI37" s="399"/>
      <c r="AJ37" s="399"/>
      <c r="AK37" s="399"/>
      <c r="AL37" s="399"/>
    </row>
    <row r="38" spans="1:38">
      <c r="A38" s="59"/>
      <c r="B38" s="398"/>
      <c r="C38" s="398"/>
      <c r="D38" s="398"/>
      <c r="E38" s="398"/>
      <c r="F38" s="398"/>
      <c r="G38" s="398"/>
      <c r="H38" s="398"/>
      <c r="I38" s="398"/>
      <c r="J38" s="398"/>
      <c r="K38" s="398"/>
      <c r="L38" s="398"/>
      <c r="M38" s="398"/>
      <c r="N38" s="398"/>
      <c r="O38" s="398"/>
      <c r="P38" s="398"/>
      <c r="Q38" s="398"/>
      <c r="R38" s="398"/>
      <c r="S38" s="60"/>
      <c r="T38" s="399"/>
      <c r="U38" s="399"/>
      <c r="V38" s="399"/>
      <c r="W38" s="399"/>
      <c r="X38" s="399"/>
      <c r="Y38" s="399"/>
      <c r="Z38" s="399"/>
      <c r="AA38" s="399"/>
      <c r="AB38" s="399"/>
      <c r="AC38" s="399"/>
      <c r="AD38" s="399"/>
      <c r="AE38" s="399"/>
      <c r="AF38" s="399"/>
      <c r="AG38" s="399"/>
      <c r="AH38" s="399"/>
      <c r="AI38" s="399"/>
      <c r="AJ38" s="399"/>
      <c r="AK38" s="399"/>
      <c r="AL38" s="399"/>
    </row>
    <row r="39" spans="1:38">
      <c r="A39" s="59"/>
      <c r="B39" s="398"/>
      <c r="C39" s="398"/>
      <c r="D39" s="398"/>
      <c r="E39" s="398"/>
      <c r="F39" s="398"/>
      <c r="G39" s="398"/>
      <c r="H39" s="398"/>
      <c r="I39" s="398"/>
      <c r="J39" s="398"/>
      <c r="K39" s="398"/>
      <c r="L39" s="398"/>
      <c r="M39" s="398"/>
      <c r="N39" s="398"/>
      <c r="O39" s="398"/>
      <c r="P39" s="398"/>
      <c r="Q39" s="398"/>
      <c r="R39" s="398"/>
      <c r="S39" s="60"/>
      <c r="T39" s="399"/>
      <c r="U39" s="399"/>
      <c r="V39" s="399"/>
      <c r="W39" s="399"/>
      <c r="X39" s="399"/>
      <c r="Y39" s="399"/>
      <c r="Z39" s="399"/>
      <c r="AA39" s="399"/>
      <c r="AB39" s="399"/>
      <c r="AC39" s="399"/>
      <c r="AD39" s="399"/>
      <c r="AE39" s="399"/>
      <c r="AF39" s="399"/>
      <c r="AG39" s="399"/>
      <c r="AH39" s="399"/>
      <c r="AI39" s="399"/>
      <c r="AJ39" s="399"/>
      <c r="AK39" s="399"/>
      <c r="AL39" s="399"/>
    </row>
    <row r="40" spans="1:38">
      <c r="A40" s="59"/>
      <c r="B40" s="398"/>
      <c r="C40" s="398"/>
      <c r="D40" s="398"/>
      <c r="E40" s="398"/>
      <c r="F40" s="398"/>
      <c r="G40" s="398"/>
      <c r="H40" s="398"/>
      <c r="I40" s="398"/>
      <c r="J40" s="398"/>
      <c r="K40" s="398"/>
      <c r="L40" s="398"/>
      <c r="M40" s="398"/>
      <c r="N40" s="398"/>
      <c r="O40" s="398"/>
      <c r="P40" s="398"/>
      <c r="Q40" s="398"/>
      <c r="R40" s="398"/>
      <c r="S40" s="60"/>
      <c r="T40" s="399"/>
      <c r="U40" s="399"/>
      <c r="V40" s="399"/>
      <c r="W40" s="399"/>
      <c r="X40" s="399"/>
      <c r="Y40" s="399"/>
      <c r="Z40" s="399"/>
      <c r="AA40" s="399"/>
      <c r="AB40" s="399"/>
      <c r="AC40" s="399"/>
      <c r="AD40" s="399"/>
      <c r="AE40" s="399"/>
      <c r="AF40" s="399"/>
      <c r="AG40" s="399"/>
      <c r="AH40" s="399"/>
      <c r="AI40" s="399"/>
      <c r="AJ40" s="399"/>
      <c r="AK40" s="399"/>
      <c r="AL40" s="399"/>
    </row>
    <row r="41" spans="1:38">
      <c r="A41" s="59"/>
      <c r="B41" s="398"/>
      <c r="C41" s="398"/>
      <c r="D41" s="398"/>
      <c r="E41" s="398"/>
      <c r="F41" s="398"/>
      <c r="G41" s="398"/>
      <c r="H41" s="398"/>
      <c r="I41" s="398"/>
      <c r="J41" s="398"/>
      <c r="K41" s="398"/>
      <c r="L41" s="398"/>
      <c r="M41" s="398"/>
      <c r="N41" s="398"/>
      <c r="O41" s="398"/>
      <c r="P41" s="398"/>
      <c r="Q41" s="398"/>
      <c r="R41" s="398"/>
      <c r="S41" s="60"/>
      <c r="T41" s="399"/>
      <c r="U41" s="399"/>
      <c r="V41" s="399"/>
      <c r="W41" s="399"/>
      <c r="X41" s="399"/>
      <c r="Y41" s="399"/>
      <c r="Z41" s="399"/>
      <c r="AA41" s="399"/>
      <c r="AB41" s="399"/>
      <c r="AC41" s="399"/>
      <c r="AD41" s="399"/>
      <c r="AE41" s="399"/>
      <c r="AF41" s="399"/>
      <c r="AG41" s="399"/>
      <c r="AH41" s="399"/>
      <c r="AI41" s="399"/>
      <c r="AJ41" s="399"/>
      <c r="AK41" s="399"/>
      <c r="AL41" s="399"/>
    </row>
    <row r="42" spans="1:38">
      <c r="A42" s="59"/>
      <c r="B42" s="398"/>
      <c r="C42" s="398"/>
      <c r="D42" s="398"/>
      <c r="E42" s="398"/>
      <c r="F42" s="398"/>
      <c r="G42" s="398"/>
      <c r="H42" s="398"/>
      <c r="I42" s="398"/>
      <c r="J42" s="398"/>
      <c r="K42" s="398"/>
      <c r="L42" s="398"/>
      <c r="M42" s="398"/>
      <c r="N42" s="398"/>
      <c r="O42" s="398"/>
      <c r="P42" s="398"/>
      <c r="Q42" s="398"/>
      <c r="R42" s="398"/>
      <c r="S42" s="60"/>
      <c r="T42" s="399"/>
      <c r="U42" s="399"/>
      <c r="V42" s="399"/>
      <c r="W42" s="399"/>
      <c r="X42" s="399"/>
      <c r="Y42" s="399"/>
      <c r="Z42" s="399"/>
      <c r="AA42" s="399"/>
      <c r="AB42" s="399"/>
      <c r="AC42" s="399"/>
      <c r="AD42" s="399"/>
      <c r="AE42" s="399"/>
      <c r="AF42" s="399"/>
      <c r="AG42" s="399"/>
      <c r="AH42" s="399"/>
      <c r="AI42" s="399"/>
      <c r="AJ42" s="399"/>
      <c r="AK42" s="399"/>
      <c r="AL42" s="399"/>
    </row>
    <row r="43" spans="1:38">
      <c r="A43" s="59"/>
      <c r="B43" s="398"/>
      <c r="C43" s="398"/>
      <c r="D43" s="398"/>
      <c r="E43" s="398"/>
      <c r="F43" s="398"/>
      <c r="G43" s="398"/>
      <c r="H43" s="398"/>
      <c r="I43" s="398"/>
      <c r="J43" s="398"/>
      <c r="K43" s="398"/>
      <c r="L43" s="398"/>
      <c r="M43" s="398"/>
      <c r="N43" s="398"/>
      <c r="O43" s="398"/>
      <c r="P43" s="398"/>
      <c r="Q43" s="398"/>
      <c r="R43" s="398"/>
      <c r="S43" s="60"/>
      <c r="T43" s="399"/>
      <c r="U43" s="399"/>
      <c r="V43" s="399"/>
      <c r="W43" s="399"/>
      <c r="X43" s="399"/>
      <c r="Y43" s="399"/>
      <c r="Z43" s="399"/>
      <c r="AA43" s="399"/>
      <c r="AB43" s="399"/>
      <c r="AC43" s="399"/>
      <c r="AD43" s="399"/>
      <c r="AE43" s="399"/>
      <c r="AF43" s="399"/>
      <c r="AG43" s="399"/>
      <c r="AH43" s="399"/>
      <c r="AI43" s="399"/>
      <c r="AJ43" s="399"/>
      <c r="AK43" s="399"/>
      <c r="AL43" s="399"/>
    </row>
    <row r="44" spans="1:38">
      <c r="A44" s="59"/>
      <c r="B44" s="398"/>
      <c r="C44" s="398"/>
      <c r="D44" s="398"/>
      <c r="E44" s="398"/>
      <c r="F44" s="398"/>
      <c r="G44" s="398"/>
      <c r="H44" s="398"/>
      <c r="I44" s="398"/>
      <c r="J44" s="398"/>
      <c r="K44" s="398"/>
      <c r="L44" s="398"/>
      <c r="M44" s="398"/>
      <c r="N44" s="398"/>
      <c r="O44" s="398"/>
      <c r="P44" s="398"/>
      <c r="Q44" s="398"/>
      <c r="R44" s="398"/>
      <c r="S44" s="60"/>
      <c r="T44" s="399"/>
      <c r="U44" s="399"/>
      <c r="V44" s="399"/>
      <c r="W44" s="399"/>
      <c r="X44" s="399"/>
      <c r="Y44" s="399"/>
      <c r="Z44" s="399"/>
      <c r="AA44" s="399"/>
      <c r="AB44" s="399"/>
      <c r="AC44" s="399"/>
      <c r="AD44" s="399"/>
      <c r="AE44" s="399"/>
      <c r="AF44" s="399"/>
      <c r="AG44" s="399"/>
      <c r="AH44" s="399"/>
      <c r="AI44" s="399"/>
      <c r="AJ44" s="399"/>
      <c r="AK44" s="399"/>
      <c r="AL44" s="399"/>
    </row>
    <row r="45" spans="1:38">
      <c r="A45" s="59"/>
      <c r="B45" s="398"/>
      <c r="C45" s="398"/>
      <c r="D45" s="398"/>
      <c r="E45" s="398"/>
      <c r="F45" s="398"/>
      <c r="G45" s="398"/>
      <c r="H45" s="398"/>
      <c r="I45" s="398"/>
      <c r="J45" s="398"/>
      <c r="K45" s="398"/>
      <c r="L45" s="398"/>
      <c r="M45" s="398"/>
      <c r="N45" s="398"/>
      <c r="O45" s="398"/>
      <c r="P45" s="398"/>
      <c r="Q45" s="398"/>
      <c r="R45" s="398"/>
      <c r="S45" s="60"/>
      <c r="T45" s="399"/>
      <c r="U45" s="399"/>
      <c r="V45" s="399"/>
      <c r="W45" s="399"/>
      <c r="X45" s="399"/>
      <c r="Y45" s="399"/>
      <c r="Z45" s="399"/>
      <c r="AA45" s="399"/>
      <c r="AB45" s="399"/>
      <c r="AC45" s="399"/>
      <c r="AD45" s="399"/>
      <c r="AE45" s="399"/>
      <c r="AF45" s="399"/>
      <c r="AG45" s="399"/>
      <c r="AH45" s="399"/>
      <c r="AI45" s="399"/>
      <c r="AJ45" s="399"/>
      <c r="AK45" s="399"/>
      <c r="AL45" s="399"/>
    </row>
    <row r="46" spans="1:38">
      <c r="A46" s="59"/>
      <c r="B46" s="398"/>
      <c r="C46" s="398"/>
      <c r="D46" s="398"/>
      <c r="E46" s="398"/>
      <c r="F46" s="398"/>
      <c r="G46" s="398"/>
      <c r="H46" s="398"/>
      <c r="I46" s="398"/>
      <c r="J46" s="398"/>
      <c r="K46" s="398"/>
      <c r="L46" s="398"/>
      <c r="M46" s="398"/>
      <c r="N46" s="398"/>
      <c r="O46" s="398"/>
      <c r="P46" s="398"/>
      <c r="Q46" s="398"/>
      <c r="R46" s="398"/>
      <c r="S46" s="60"/>
      <c r="T46" s="399"/>
      <c r="U46" s="399"/>
      <c r="V46" s="399"/>
      <c r="W46" s="399"/>
      <c r="X46" s="399"/>
      <c r="Y46" s="399"/>
      <c r="Z46" s="399"/>
      <c r="AA46" s="399"/>
      <c r="AB46" s="399"/>
      <c r="AC46" s="399"/>
      <c r="AD46" s="399"/>
      <c r="AE46" s="399"/>
      <c r="AF46" s="399"/>
      <c r="AG46" s="399"/>
      <c r="AH46" s="399"/>
      <c r="AI46" s="399"/>
      <c r="AJ46" s="399"/>
      <c r="AK46" s="399"/>
      <c r="AL46" s="399"/>
    </row>
    <row r="47" spans="1:38">
      <c r="A47" s="59"/>
      <c r="B47" s="398"/>
      <c r="C47" s="398"/>
      <c r="D47" s="398"/>
      <c r="E47" s="398"/>
      <c r="F47" s="398"/>
      <c r="G47" s="398"/>
      <c r="H47" s="398"/>
      <c r="I47" s="398"/>
      <c r="J47" s="398"/>
      <c r="K47" s="398"/>
      <c r="L47" s="398"/>
      <c r="M47" s="398"/>
      <c r="N47" s="398"/>
      <c r="O47" s="398"/>
      <c r="P47" s="398"/>
      <c r="Q47" s="398"/>
      <c r="R47" s="398"/>
      <c r="S47" s="60"/>
      <c r="T47" s="399"/>
      <c r="U47" s="399"/>
      <c r="V47" s="399"/>
      <c r="W47" s="399"/>
      <c r="X47" s="399"/>
      <c r="Y47" s="399"/>
      <c r="Z47" s="399"/>
      <c r="AA47" s="399"/>
      <c r="AB47" s="399"/>
      <c r="AC47" s="399"/>
      <c r="AD47" s="399"/>
      <c r="AE47" s="399"/>
      <c r="AF47" s="399"/>
      <c r="AG47" s="399"/>
      <c r="AH47" s="399"/>
      <c r="AI47" s="399"/>
      <c r="AJ47" s="399"/>
      <c r="AK47" s="399"/>
      <c r="AL47" s="399"/>
    </row>
    <row r="48" spans="1:38">
      <c r="A48" s="59"/>
      <c r="B48" s="398"/>
      <c r="C48" s="398"/>
      <c r="D48" s="398"/>
      <c r="E48" s="398"/>
      <c r="F48" s="398"/>
      <c r="G48" s="398"/>
      <c r="H48" s="398"/>
      <c r="I48" s="398"/>
      <c r="J48" s="398"/>
      <c r="K48" s="398"/>
      <c r="L48" s="398"/>
      <c r="M48" s="398"/>
      <c r="N48" s="398"/>
      <c r="O48" s="398"/>
      <c r="P48" s="398"/>
      <c r="Q48" s="398"/>
      <c r="R48" s="398"/>
      <c r="S48" s="60"/>
      <c r="T48" s="399"/>
      <c r="U48" s="399"/>
      <c r="V48" s="399"/>
      <c r="W48" s="399"/>
      <c r="X48" s="399"/>
      <c r="Y48" s="399"/>
      <c r="Z48" s="399"/>
      <c r="AA48" s="399"/>
      <c r="AB48" s="399"/>
      <c r="AC48" s="399"/>
      <c r="AD48" s="399"/>
      <c r="AE48" s="399"/>
      <c r="AF48" s="399"/>
      <c r="AG48" s="399"/>
      <c r="AH48" s="399"/>
      <c r="AI48" s="399"/>
      <c r="AJ48" s="399"/>
      <c r="AK48" s="399"/>
      <c r="AL48" s="399"/>
    </row>
    <row r="49" spans="1:38">
      <c r="A49" s="59"/>
      <c r="B49" s="398"/>
      <c r="C49" s="398"/>
      <c r="D49" s="398"/>
      <c r="E49" s="398"/>
      <c r="F49" s="398"/>
      <c r="G49" s="398"/>
      <c r="H49" s="398"/>
      <c r="I49" s="398"/>
      <c r="J49" s="398"/>
      <c r="K49" s="398"/>
      <c r="L49" s="398"/>
      <c r="M49" s="398"/>
      <c r="N49" s="398"/>
      <c r="O49" s="398"/>
      <c r="P49" s="398"/>
      <c r="Q49" s="398"/>
      <c r="R49" s="398"/>
      <c r="S49" s="60"/>
      <c r="T49" s="399"/>
      <c r="U49" s="399"/>
      <c r="V49" s="399"/>
      <c r="W49" s="399"/>
      <c r="X49" s="399"/>
      <c r="Y49" s="399"/>
      <c r="Z49" s="399"/>
      <c r="AA49" s="399"/>
      <c r="AB49" s="399"/>
      <c r="AC49" s="399"/>
      <c r="AD49" s="399"/>
      <c r="AE49" s="399"/>
      <c r="AF49" s="399"/>
      <c r="AG49" s="399"/>
      <c r="AH49" s="399"/>
      <c r="AI49" s="399"/>
      <c r="AJ49" s="399"/>
      <c r="AK49" s="399"/>
      <c r="AL49" s="399"/>
    </row>
    <row r="50" spans="1:38">
      <c r="A50" s="59"/>
      <c r="B50" s="398"/>
      <c r="C50" s="398"/>
      <c r="D50" s="398"/>
      <c r="E50" s="398"/>
      <c r="F50" s="398"/>
      <c r="G50" s="398"/>
      <c r="H50" s="398"/>
      <c r="I50" s="398"/>
      <c r="J50" s="398"/>
      <c r="K50" s="398"/>
      <c r="L50" s="398"/>
      <c r="M50" s="398"/>
      <c r="N50" s="398"/>
      <c r="O50" s="398"/>
      <c r="P50" s="398"/>
      <c r="Q50" s="398"/>
      <c r="R50" s="398"/>
      <c r="S50" s="60"/>
      <c r="T50" s="399"/>
      <c r="U50" s="399"/>
      <c r="V50" s="399"/>
      <c r="W50" s="399"/>
      <c r="X50" s="399"/>
      <c r="Y50" s="399"/>
      <c r="Z50" s="399"/>
      <c r="AA50" s="399"/>
      <c r="AB50" s="399"/>
      <c r="AC50" s="399"/>
      <c r="AD50" s="399"/>
      <c r="AE50" s="399"/>
      <c r="AF50" s="399"/>
      <c r="AG50" s="399"/>
      <c r="AH50" s="399"/>
      <c r="AI50" s="399"/>
      <c r="AJ50" s="399"/>
      <c r="AK50" s="399"/>
      <c r="AL50" s="399"/>
    </row>
    <row r="51" spans="1:38">
      <c r="A51" s="59"/>
      <c r="B51" s="398"/>
      <c r="C51" s="398"/>
      <c r="D51" s="398"/>
      <c r="E51" s="398"/>
      <c r="F51" s="398"/>
      <c r="G51" s="398"/>
      <c r="H51" s="398"/>
      <c r="I51" s="398"/>
      <c r="J51" s="398"/>
      <c r="K51" s="398"/>
      <c r="L51" s="398"/>
      <c r="M51" s="398"/>
      <c r="N51" s="398"/>
      <c r="O51" s="398"/>
      <c r="P51" s="398"/>
      <c r="Q51" s="398"/>
      <c r="R51" s="398"/>
      <c r="S51" s="60"/>
      <c r="T51" s="399"/>
      <c r="U51" s="399"/>
      <c r="V51" s="399"/>
      <c r="W51" s="399"/>
      <c r="X51" s="399"/>
      <c r="Y51" s="399"/>
      <c r="Z51" s="399"/>
      <c r="AA51" s="399"/>
      <c r="AB51" s="399"/>
      <c r="AC51" s="399"/>
      <c r="AD51" s="399"/>
      <c r="AE51" s="399"/>
      <c r="AF51" s="399"/>
      <c r="AG51" s="399"/>
      <c r="AH51" s="399"/>
      <c r="AI51" s="399"/>
      <c r="AJ51" s="399"/>
      <c r="AK51" s="399"/>
      <c r="AL51" s="399"/>
    </row>
    <row r="52" spans="1:38">
      <c r="A52" s="59"/>
      <c r="B52" s="401"/>
      <c r="C52" s="398"/>
      <c r="D52" s="398"/>
      <c r="E52" s="398"/>
      <c r="F52" s="398"/>
      <c r="G52" s="398"/>
      <c r="H52" s="398"/>
      <c r="I52" s="398"/>
      <c r="J52" s="398"/>
      <c r="K52" s="398"/>
      <c r="L52" s="398"/>
      <c r="M52" s="398"/>
      <c r="N52" s="398"/>
      <c r="O52" s="398"/>
      <c r="P52" s="398"/>
      <c r="Q52" s="398"/>
      <c r="S52" s="60"/>
      <c r="T52" s="399"/>
      <c r="U52" s="399"/>
      <c r="V52" s="399"/>
      <c r="W52" s="399"/>
      <c r="X52" s="399"/>
      <c r="Y52" s="399"/>
      <c r="Z52" s="399"/>
      <c r="AA52" s="399"/>
      <c r="AB52" s="399"/>
      <c r="AC52" s="399"/>
      <c r="AD52" s="399"/>
      <c r="AE52" s="399"/>
      <c r="AF52" s="399"/>
      <c r="AG52" s="399"/>
      <c r="AH52" s="399"/>
      <c r="AI52" s="399"/>
      <c r="AJ52" s="399"/>
      <c r="AK52" s="399"/>
      <c r="AL52" s="399"/>
    </row>
    <row r="53" spans="1:38">
      <c r="A53" s="59"/>
      <c r="B53" s="401"/>
      <c r="C53" s="398"/>
      <c r="D53" s="398"/>
      <c r="E53" s="398"/>
      <c r="F53" s="398"/>
      <c r="G53" s="398"/>
      <c r="H53" s="398"/>
      <c r="I53" s="398"/>
      <c r="J53" s="398"/>
      <c r="K53" s="398"/>
      <c r="L53" s="398"/>
      <c r="M53" s="398"/>
      <c r="N53" s="398"/>
      <c r="O53" s="398"/>
      <c r="P53" s="398"/>
      <c r="Q53" s="398"/>
      <c r="R53" s="398"/>
      <c r="S53" s="60"/>
      <c r="T53" s="399"/>
      <c r="U53" s="399"/>
      <c r="V53" s="399"/>
      <c r="W53" s="399"/>
      <c r="X53" s="399"/>
      <c r="Y53" s="399"/>
      <c r="Z53" s="399"/>
      <c r="AA53" s="399"/>
      <c r="AB53" s="399"/>
      <c r="AC53" s="399"/>
      <c r="AD53" s="399"/>
      <c r="AE53" s="399"/>
      <c r="AF53" s="399"/>
      <c r="AG53" s="399"/>
      <c r="AH53" s="399"/>
      <c r="AI53" s="399"/>
      <c r="AJ53" s="399"/>
      <c r="AK53" s="399"/>
      <c r="AL53" s="399"/>
    </row>
    <row r="54" spans="1:38">
      <c r="A54" s="78"/>
      <c r="B54" s="61"/>
      <c r="C54" s="61"/>
      <c r="D54" s="61"/>
      <c r="E54" s="61"/>
      <c r="F54" s="61"/>
      <c r="G54" s="61"/>
      <c r="H54" s="61"/>
      <c r="I54" s="61"/>
      <c r="J54" s="61"/>
      <c r="K54" s="61"/>
      <c r="L54" s="61"/>
      <c r="M54" s="61"/>
      <c r="N54" s="61"/>
      <c r="O54" s="61"/>
      <c r="P54" s="61"/>
      <c r="Q54" s="61"/>
      <c r="R54" s="61"/>
      <c r="S54" s="62"/>
      <c r="T54" s="399"/>
      <c r="U54" s="399"/>
      <c r="V54" s="399"/>
      <c r="W54" s="399"/>
      <c r="X54" s="399"/>
      <c r="Y54" s="399"/>
      <c r="Z54" s="399"/>
      <c r="AA54" s="399"/>
      <c r="AB54" s="399"/>
      <c r="AC54" s="399"/>
      <c r="AD54" s="399"/>
      <c r="AE54" s="399"/>
      <c r="AF54" s="399"/>
      <c r="AG54" s="399"/>
      <c r="AH54" s="399"/>
      <c r="AI54" s="399"/>
      <c r="AJ54" s="399"/>
      <c r="AK54" s="399"/>
      <c r="AL54" s="399"/>
    </row>
  </sheetData>
  <sheetProtection algorithmName="SHA-512" hashValue="z+ozuBbUSIttYXCdhjcW9/sJJcEQksgRoZoywpBK0DFIXhW02RdNvKohRy9U49/wCp5miCTBvHOoI8uGzAdLFA==" saltValue="2dVTf3p2ODGw6eo8D2nJ4Q==" spinCount="100000" sheet="1" scenarios="1"/>
  <mergeCells count="2">
    <mergeCell ref="A1:S1"/>
    <mergeCell ref="B30:R30"/>
  </mergeCells>
  <phoneticPr fontId="27" type="noConversion"/>
  <hyperlinks>
    <hyperlink ref="R34" location="'EV5.5.9 TSAC attachments'!A1" display="BACK" xr:uid="{18F2B4BC-FDD1-4B84-AEAF-73E1427F7C99}"/>
  </hyperlinks>
  <pageMargins left="0.39370078740157483" right="0.39370078740157483" top="0.39370078740157483" bottom="0.39370078740157483"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27</vt:i4>
      </vt:variant>
    </vt:vector>
  </HeadingPairs>
  <TitlesOfParts>
    <vt:vector size="54" baseType="lpstr">
      <vt:lpstr>Read_Me</vt:lpstr>
      <vt:lpstr>Version History</vt:lpstr>
      <vt:lpstr>Rules Clarifications</vt:lpstr>
      <vt:lpstr>Cover Sheet</vt:lpstr>
      <vt:lpstr>Accumulator Pics</vt:lpstr>
      <vt:lpstr>EV5.5.1&amp;2 EV4.4 ACPS TSPS sidex</vt:lpstr>
      <vt:lpstr>EV5.5.1&amp;2 EV4.4 ACPS TSPS rearx</vt:lpstr>
      <vt:lpstr>EV5.5.5 Alt. Matls Summary</vt:lpstr>
      <vt:lpstr>EV5.5.5 Alt. Matl - 3pt Bending</vt:lpstr>
      <vt:lpstr>EV5.5.5 Alt. Matl - Shear</vt:lpstr>
      <vt:lpstr>Datasheets Fiber</vt:lpstr>
      <vt:lpstr>Datasheets Other Matl</vt:lpstr>
      <vt:lpstr>Datasheets Glue</vt:lpstr>
      <vt:lpstr>Materials Overview</vt:lpstr>
      <vt:lpstr>EV5.5.10-12 Cell Fixation</vt:lpstr>
      <vt:lpstr>EV5.5.9 Segment</vt:lpstr>
      <vt:lpstr>EV5.5.9 TSAC</vt:lpstr>
      <vt:lpstr>EV5.5.9 TSAC attachments</vt:lpstr>
      <vt:lpstr>EV5.5.13 Fasteners</vt:lpstr>
      <vt:lpstr>EV5.5.14-17 Openings&amp;Separation</vt:lpstr>
      <vt:lpstr>Additional Info</vt:lpstr>
      <vt:lpstr>T3.5.9 Guidance Notes</vt:lpstr>
      <vt:lpstr>EV5.5.3 Guidance Notes</vt:lpstr>
      <vt:lpstr>EV5.5.9 Guidance Notes</vt:lpstr>
      <vt:lpstr>EV5.5.10-11 Guidance Notes</vt:lpstr>
      <vt:lpstr>EV5.5.12 Guidance Notes</vt:lpstr>
      <vt:lpstr>EV5.5 TSAC Attachment Guidance</vt:lpstr>
      <vt:lpstr>Guidance_notes_Perimeter_Shear</vt:lpstr>
      <vt:lpstr>'EV5.5.10-11 Guidance Notes'!Link_to_guidance_notes</vt:lpstr>
      <vt:lpstr>'EV5.5.12 Guidance Notes'!Link_to_guidance_notes</vt:lpstr>
      <vt:lpstr>'EV5.5.3 Guidance Notes'!Link_to_guidance_notes</vt:lpstr>
      <vt:lpstr>'EV5.5.9 Guidance Notes'!Link_to_guidance_notes</vt:lpstr>
      <vt:lpstr>'EV5.5.10-11 Guidance Notes'!Link_to_guidance_notes__Front_Hoop__FH__attachments</vt:lpstr>
      <vt:lpstr>'EV5.5.12 Guidance Notes'!Link_to_guidance_notes__Front_Hoop__FH__attachments</vt:lpstr>
      <vt:lpstr>'EV5.5.3 Guidance Notes'!Link_to_guidance_notes__Front_Hoop__FH__attachments</vt:lpstr>
      <vt:lpstr>'EV5.5.9 Guidance Notes'!Link_to_guidance_notes__Front_Hoop__FH__attachments</vt:lpstr>
      <vt:lpstr>'EV5.5.10-11 Guidance Notes'!Link_to_guidance_notes_cell_stacks</vt:lpstr>
      <vt:lpstr>'EV5.5.12 Guidance Notes'!Link_to_guidance_notes_cell_stacks</vt:lpstr>
      <vt:lpstr>'EV5.5.3 Guidance Notes'!Link_to_guidance_notes_cell_stacks</vt:lpstr>
      <vt:lpstr>'EV5.5.9 Guidance Notes'!Link_to_guidance_notes_cell_stacks</vt:lpstr>
      <vt:lpstr>Link_to_guidance_notes_TSAC_attachment</vt:lpstr>
      <vt:lpstr>'Additional Info'!Print_Area</vt:lpstr>
      <vt:lpstr>'EV5.5 TSAC Attachment Guidance'!Print_Area</vt:lpstr>
      <vt:lpstr>'EV5.5.10-11 Guidance Notes'!Print_Area</vt:lpstr>
      <vt:lpstr>'EV5.5.10-12 Cell Fixation'!Print_Area</vt:lpstr>
      <vt:lpstr>'EV5.5.12 Guidance Notes'!Print_Area</vt:lpstr>
      <vt:lpstr>'EV5.5.14-17 Openings&amp;Separation'!Print_Area</vt:lpstr>
      <vt:lpstr>'EV5.5.3 Guidance Notes'!Print_Area</vt:lpstr>
      <vt:lpstr>'EV5.5.5 Alt. Matl - Shear'!Print_Area</vt:lpstr>
      <vt:lpstr>'EV5.5.5 Alt. Matls Summary'!Print_Area</vt:lpstr>
      <vt:lpstr>'EV5.5.9 Guidance Notes'!Print_Area</vt:lpstr>
      <vt:lpstr>'Rules Clarifications'!Print_Area</vt:lpstr>
      <vt:lpstr>'T3.5.9 Guidance Notes'!Print_Area</vt:lpstr>
      <vt:lpstr>'Version History'!Print_Area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 Structural Equivalency Spreadsheet</dc:title>
  <dc:subject/>
  <dc:creator>Tuitert</dc:creator>
  <cp:keywords/>
  <dc:description/>
  <cp:lastModifiedBy>Oliver Clemens</cp:lastModifiedBy>
  <cp:revision/>
  <cp:lastPrinted>2024-12-06T16:33:29Z</cp:lastPrinted>
  <dcterms:created xsi:type="dcterms:W3CDTF">2011-03-12T12:50:23Z</dcterms:created>
  <dcterms:modified xsi:type="dcterms:W3CDTF">2026-01-25T15:26:58Z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2025-11-11T10:02:49Z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18b79d8a-1e25-4fb9-bb4f-b213914bd015</vt:lpwstr>
  </property>
  <property fmtid="{D5CDD505-2E9C-101B-9397-08002B2CF9AE}" pid="7" name="MSIP_Label_defa4170-0d19-0005-0004-bc88714345d2_ActionId">
    <vt:lpwstr>f32f84ed-e699-4f87-8734-675982efe52f</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